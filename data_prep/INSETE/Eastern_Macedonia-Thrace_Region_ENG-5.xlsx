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51" documentId="13_ncr:1_{F0876199-542D-4B45-AE6E-199D5C42226B}" xr6:coauthVersionLast="47" xr6:coauthVersionMax="47" xr10:uidLastSave="{F4A267D5-5AE3-43A6-BEA7-01CAD5FA8D20}"/>
  <bookViews>
    <workbookView xWindow="-108" yWindow="-108" windowWidth="23256" windowHeight="12456"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Museums'!$A$1:$J$19</definedName>
    <definedName name="_xlnm.Print_Area" localSheetId="7">'Arrivals-Overnights-Occupancy'!$A$1:$J$41</definedName>
    <definedName name="_xlnm.Print_Area" localSheetId="0">'Cover Page'!$A$1:$O$27</definedName>
    <definedName name="_xlnm.Print_Area" localSheetId="10">'Domestic Traffic in Ports'!$A$1:$F$101</definedName>
    <definedName name="_xlnm.Print_Area" localSheetId="3">Employment!$A$1:$I$17</definedName>
    <definedName name="_xlnm.Print_Area" localSheetId="9">'Intern-Domestic Air Arrivals'!$A$1:$H$213</definedName>
    <definedName name="_xlnm.Print_Area" localSheetId="8">'Short stay_ArrivOvernights'!$A$1:$B$34</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6" i="1" l="1"/>
  <c r="F26" i="1"/>
  <c r="E26" i="1"/>
  <c r="D26" i="1"/>
  <c r="C26" i="1"/>
  <c r="G25" i="1"/>
  <c r="F25" i="1"/>
  <c r="E25" i="1"/>
  <c r="D25" i="1"/>
  <c r="C25" i="1"/>
  <c r="G24" i="1"/>
  <c r="F24" i="1"/>
  <c r="E24" i="1"/>
  <c r="D24" i="1"/>
  <c r="C24" i="1"/>
  <c r="H23" i="1"/>
  <c r="H22" i="1"/>
  <c r="H21" i="1"/>
  <c r="H20" i="1"/>
  <c r="H19" i="1"/>
  <c r="H18" i="1"/>
  <c r="H17" i="1"/>
  <c r="H16" i="1"/>
  <c r="H15" i="1"/>
  <c r="H14" i="1"/>
  <c r="H13" i="1"/>
  <c r="H12" i="1"/>
  <c r="H11" i="1"/>
  <c r="H10" i="1"/>
  <c r="H9" i="1"/>
  <c r="H8" i="1"/>
  <c r="H7" i="1"/>
  <c r="H6" i="1"/>
  <c r="O9" i="14"/>
  <c r="O10" i="14"/>
  <c r="N9" i="14"/>
  <c r="N10" i="14"/>
  <c r="G53" i="1"/>
  <c r="F53" i="1"/>
  <c r="E53" i="1"/>
  <c r="D53" i="1"/>
  <c r="C53" i="1"/>
  <c r="G52" i="1"/>
  <c r="F52" i="1"/>
  <c r="E52" i="1"/>
  <c r="D52" i="1"/>
  <c r="C52" i="1"/>
  <c r="G51" i="1"/>
  <c r="F51" i="1"/>
  <c r="E51" i="1"/>
  <c r="D51" i="1"/>
  <c r="C51" i="1"/>
  <c r="H50" i="1"/>
  <c r="H49" i="1"/>
  <c r="H48" i="1"/>
  <c r="H47" i="1"/>
  <c r="H46" i="1"/>
  <c r="H52" i="1"/>
  <c r="H45" i="1"/>
  <c r="H44" i="1"/>
  <c r="H43" i="1"/>
  <c r="H42" i="1"/>
  <c r="H41" i="1"/>
  <c r="H40" i="1"/>
  <c r="H39" i="1"/>
  <c r="H38" i="1"/>
  <c r="H53" i="1"/>
  <c r="H37" i="1"/>
  <c r="H36" i="1"/>
  <c r="H35" i="1"/>
  <c r="H34" i="1"/>
  <c r="H33" i="1"/>
  <c r="O38" i="3"/>
  <c r="N38" i="3"/>
  <c r="M38" i="3"/>
  <c r="L38" i="3"/>
  <c r="K38" i="3"/>
  <c r="J38" i="3"/>
  <c r="I38" i="3"/>
  <c r="H38" i="3"/>
  <c r="G38" i="3"/>
  <c r="F38" i="3"/>
  <c r="E38" i="3"/>
  <c r="D38" i="3"/>
  <c r="O37" i="3"/>
  <c r="N37" i="3"/>
  <c r="M37" i="3"/>
  <c r="L37" i="3"/>
  <c r="K37" i="3"/>
  <c r="J37" i="3"/>
  <c r="I37" i="3"/>
  <c r="H37" i="3"/>
  <c r="G37" i="3"/>
  <c r="F37" i="3"/>
  <c r="E37" i="3"/>
  <c r="D37" i="3"/>
  <c r="O36" i="3"/>
  <c r="N36" i="3"/>
  <c r="M36" i="3"/>
  <c r="L36" i="3"/>
  <c r="K36" i="3"/>
  <c r="J36" i="3"/>
  <c r="I36" i="3"/>
  <c r="H36" i="3"/>
  <c r="G36" i="3"/>
  <c r="F36" i="3"/>
  <c r="E36" i="3"/>
  <c r="D36" i="3"/>
  <c r="O35" i="3"/>
  <c r="N35" i="3"/>
  <c r="M35" i="3"/>
  <c r="L35" i="3"/>
  <c r="K35" i="3"/>
  <c r="J35" i="3"/>
  <c r="I35" i="3"/>
  <c r="H35" i="3"/>
  <c r="G35" i="3"/>
  <c r="F35" i="3"/>
  <c r="E35" i="3"/>
  <c r="D35" i="3"/>
  <c r="C36" i="3"/>
  <c r="C37" i="3"/>
  <c r="C38" i="3"/>
  <c r="C35" i="3"/>
  <c r="P17" i="2"/>
  <c r="P18" i="2"/>
  <c r="O9" i="10"/>
  <c r="N9" i="10"/>
  <c r="O6" i="10"/>
  <c r="O10" i="10"/>
  <c r="N6" i="10"/>
  <c r="N10" i="10"/>
  <c r="M9" i="14"/>
  <c r="M10" i="14"/>
  <c r="G80" i="1"/>
  <c r="F80" i="1"/>
  <c r="E80" i="1"/>
  <c r="D80" i="1"/>
  <c r="C80" i="1"/>
  <c r="G79" i="1"/>
  <c r="F79" i="1"/>
  <c r="E79" i="1"/>
  <c r="D79" i="1"/>
  <c r="C79" i="1"/>
  <c r="G78" i="1"/>
  <c r="F78" i="1"/>
  <c r="E78" i="1"/>
  <c r="D78" i="1"/>
  <c r="C78" i="1"/>
  <c r="H77" i="1"/>
  <c r="H76" i="1"/>
  <c r="H75" i="1"/>
  <c r="H74" i="1"/>
  <c r="H73" i="1"/>
  <c r="H72" i="1"/>
  <c r="H71" i="1"/>
  <c r="H70" i="1"/>
  <c r="H69" i="1"/>
  <c r="H68" i="1"/>
  <c r="H67" i="1"/>
  <c r="H61" i="1"/>
  <c r="H64" i="1"/>
  <c r="H79" i="1"/>
  <c r="H66" i="1"/>
  <c r="H65" i="1"/>
  <c r="H63" i="1"/>
  <c r="H62" i="1"/>
  <c r="H60" i="1"/>
  <c r="H78" i="1"/>
  <c r="O17" i="2"/>
  <c r="O18" i="2"/>
  <c r="G107" i="1"/>
  <c r="F107" i="1"/>
  <c r="E107" i="1"/>
  <c r="D107" i="1"/>
  <c r="C107" i="1"/>
  <c r="G106" i="1"/>
  <c r="F106" i="1"/>
  <c r="E106" i="1"/>
  <c r="D106" i="1"/>
  <c r="C106" i="1"/>
  <c r="G105" i="1"/>
  <c r="F105" i="1"/>
  <c r="E105" i="1"/>
  <c r="D105" i="1"/>
  <c r="C105" i="1"/>
  <c r="H104" i="1"/>
  <c r="H103" i="1"/>
  <c r="H102" i="1"/>
  <c r="H101" i="1"/>
  <c r="H100" i="1"/>
  <c r="H99" i="1"/>
  <c r="H98" i="1"/>
  <c r="H97" i="1"/>
  <c r="H88" i="1"/>
  <c r="H106" i="1"/>
  <c r="H91" i="1"/>
  <c r="H94" i="1"/>
  <c r="H96" i="1"/>
  <c r="H95" i="1"/>
  <c r="H93" i="1"/>
  <c r="H92" i="1"/>
  <c r="H90" i="1"/>
  <c r="H89" i="1"/>
  <c r="H107" i="1"/>
  <c r="H87" i="1"/>
  <c r="H105" i="1"/>
  <c r="L9" i="14"/>
  <c r="L10" i="14"/>
  <c r="N17" i="2"/>
  <c r="N18" i="2"/>
  <c r="H80" i="1"/>
  <c r="G58" i="11"/>
  <c r="F58" i="11"/>
  <c r="E57" i="11"/>
  <c r="D57" i="11"/>
  <c r="G57" i="11"/>
  <c r="C57" i="11"/>
  <c r="F57" i="11"/>
  <c r="G56" i="11"/>
  <c r="F56" i="11"/>
  <c r="G55" i="11"/>
  <c r="F55" i="11"/>
  <c r="G54" i="11"/>
  <c r="F54" i="11"/>
  <c r="H54" i="11"/>
  <c r="G53" i="11"/>
  <c r="F53" i="11"/>
  <c r="H53" i="11"/>
  <c r="G134" i="1"/>
  <c r="F134" i="1"/>
  <c r="E134" i="1"/>
  <c r="D134" i="1"/>
  <c r="C134" i="1"/>
  <c r="G133" i="1"/>
  <c r="F133" i="1"/>
  <c r="E133" i="1"/>
  <c r="D133" i="1"/>
  <c r="C133" i="1"/>
  <c r="G132" i="1"/>
  <c r="F132" i="1"/>
  <c r="E132" i="1"/>
  <c r="D132" i="1"/>
  <c r="C132" i="1"/>
  <c r="H131" i="1"/>
  <c r="H130" i="1"/>
  <c r="H129" i="1"/>
  <c r="H128" i="1"/>
  <c r="H127" i="1"/>
  <c r="H126" i="1"/>
  <c r="H125" i="1"/>
  <c r="H124" i="1"/>
  <c r="H123" i="1"/>
  <c r="H122" i="1"/>
  <c r="H121" i="1"/>
  <c r="H120" i="1"/>
  <c r="H119" i="1"/>
  <c r="H118" i="1"/>
  <c r="H115" i="1"/>
  <c r="H133" i="1"/>
  <c r="H117" i="1"/>
  <c r="H116" i="1"/>
  <c r="H134" i="1"/>
  <c r="H114" i="1"/>
  <c r="H132" i="1"/>
  <c r="H58" i="11"/>
  <c r="H55" i="11"/>
  <c r="H69" i="5"/>
  <c r="D69" i="5"/>
  <c r="H68" i="5"/>
  <c r="D68" i="5"/>
  <c r="H67" i="5"/>
  <c r="D67" i="5"/>
  <c r="H66" i="5"/>
  <c r="D66" i="5"/>
  <c r="H65" i="5"/>
  <c r="D65" i="5"/>
  <c r="H64" i="5"/>
  <c r="D64" i="5"/>
  <c r="H63" i="5"/>
  <c r="D63" i="5"/>
  <c r="H62" i="5"/>
  <c r="D62" i="5"/>
  <c r="H61" i="5"/>
  <c r="D61" i="5"/>
  <c r="H60" i="5"/>
  <c r="D60" i="5"/>
  <c r="H59" i="5"/>
  <c r="D59" i="5"/>
  <c r="D58" i="5"/>
  <c r="D57" i="5"/>
  <c r="H58" i="5"/>
  <c r="G57" i="5"/>
  <c r="F57" i="5"/>
  <c r="C57" i="5"/>
  <c r="B57" i="5"/>
  <c r="K10" i="14"/>
  <c r="J10" i="14"/>
  <c r="I10" i="14"/>
  <c r="H10" i="14"/>
  <c r="G10" i="14"/>
  <c r="F10" i="14"/>
  <c r="E10" i="14"/>
  <c r="D10" i="14"/>
  <c r="C10" i="14"/>
  <c r="K9" i="14"/>
  <c r="J9" i="14"/>
  <c r="I9" i="14"/>
  <c r="H9" i="14"/>
  <c r="G9" i="14"/>
  <c r="F9" i="14"/>
  <c r="E9" i="14"/>
  <c r="D9" i="14"/>
  <c r="C9" i="14"/>
  <c r="F38" i="7"/>
  <c r="F39" i="7"/>
  <c r="F37" i="7"/>
  <c r="F40" i="7"/>
  <c r="F41" i="7"/>
  <c r="F42" i="7"/>
  <c r="F43" i="7"/>
  <c r="F44" i="7"/>
  <c r="E44" i="7"/>
  <c r="D44" i="7"/>
  <c r="F67" i="7"/>
  <c r="F46" i="7"/>
  <c r="F47" i="7"/>
  <c r="F48" i="7"/>
  <c r="F49" i="7"/>
  <c r="F50" i="7"/>
  <c r="F51" i="7"/>
  <c r="F45" i="7"/>
  <c r="E52" i="7"/>
  <c r="D52" i="7"/>
  <c r="E60" i="7"/>
  <c r="D60" i="7"/>
  <c r="E68" i="7"/>
  <c r="D68" i="7"/>
  <c r="E76" i="7"/>
  <c r="D76" i="7"/>
  <c r="E84" i="7"/>
  <c r="D84" i="7"/>
  <c r="E92" i="7"/>
  <c r="D92" i="7"/>
  <c r="E100" i="7"/>
  <c r="D100" i="7"/>
  <c r="M17" i="2"/>
  <c r="M18" i="2"/>
  <c r="G70" i="11"/>
  <c r="F70" i="11"/>
  <c r="E69" i="11"/>
  <c r="D69" i="11"/>
  <c r="C69" i="11"/>
  <c r="F69" i="11"/>
  <c r="G68" i="11"/>
  <c r="F68" i="11"/>
  <c r="G67" i="11"/>
  <c r="F67" i="11"/>
  <c r="G66" i="11"/>
  <c r="F66" i="11"/>
  <c r="H66" i="11"/>
  <c r="G65" i="11"/>
  <c r="F65" i="11"/>
  <c r="H65" i="11"/>
  <c r="H68" i="11"/>
  <c r="F52" i="7"/>
  <c r="H82" i="5"/>
  <c r="D82" i="5"/>
  <c r="H81" i="5"/>
  <c r="D81" i="5"/>
  <c r="H80" i="5"/>
  <c r="D80" i="5"/>
  <c r="H79" i="5"/>
  <c r="D79" i="5"/>
  <c r="H78" i="5"/>
  <c r="D78" i="5"/>
  <c r="H77" i="5"/>
  <c r="D77" i="5"/>
  <c r="H76" i="5"/>
  <c r="D76" i="5"/>
  <c r="H75" i="5"/>
  <c r="D75" i="5"/>
  <c r="H74" i="5"/>
  <c r="D74" i="5"/>
  <c r="H73" i="5"/>
  <c r="D73" i="5"/>
  <c r="H72" i="5"/>
  <c r="H71" i="5"/>
  <c r="H70" i="5"/>
  <c r="D72" i="5"/>
  <c r="D71" i="5"/>
  <c r="G70" i="5"/>
  <c r="F70" i="5"/>
  <c r="C70" i="5"/>
  <c r="B70" i="5"/>
  <c r="G161" i="1"/>
  <c r="F161" i="1"/>
  <c r="E161" i="1"/>
  <c r="D161" i="1"/>
  <c r="C161" i="1"/>
  <c r="G160" i="1"/>
  <c r="F160" i="1"/>
  <c r="E160" i="1"/>
  <c r="D160" i="1"/>
  <c r="C160" i="1"/>
  <c r="G159" i="1"/>
  <c r="F159" i="1"/>
  <c r="E159" i="1"/>
  <c r="D159" i="1"/>
  <c r="C159" i="1"/>
  <c r="H158" i="1"/>
  <c r="H157" i="1"/>
  <c r="H156" i="1"/>
  <c r="H155" i="1"/>
  <c r="H154" i="1"/>
  <c r="H153" i="1"/>
  <c r="H152" i="1"/>
  <c r="H151" i="1"/>
  <c r="H150" i="1"/>
  <c r="H149" i="1"/>
  <c r="H143" i="1"/>
  <c r="H146" i="1"/>
  <c r="H161" i="1"/>
  <c r="H148" i="1"/>
  <c r="H147" i="1"/>
  <c r="H145" i="1"/>
  <c r="H144" i="1"/>
  <c r="H142" i="1"/>
  <c r="H160" i="1"/>
  <c r="H141" i="1"/>
  <c r="H159" i="1"/>
  <c r="L17" i="2"/>
  <c r="L18" i="2"/>
  <c r="K9" i="10"/>
  <c r="K10" i="10"/>
  <c r="H95" i="5"/>
  <c r="D95" i="5"/>
  <c r="H94" i="5"/>
  <c r="D94" i="5"/>
  <c r="H93" i="5"/>
  <c r="D93" i="5"/>
  <c r="H92" i="5"/>
  <c r="D92" i="5"/>
  <c r="H91" i="5"/>
  <c r="D91" i="5"/>
  <c r="H90" i="5"/>
  <c r="D90" i="5"/>
  <c r="H89" i="5"/>
  <c r="D89" i="5"/>
  <c r="H88" i="5"/>
  <c r="D88" i="5"/>
  <c r="H87" i="5"/>
  <c r="D87" i="5"/>
  <c r="H86" i="5"/>
  <c r="D86" i="5"/>
  <c r="D84" i="5"/>
  <c r="D85" i="5"/>
  <c r="D83" i="5"/>
  <c r="H85" i="5"/>
  <c r="H84" i="5"/>
  <c r="G83" i="5"/>
  <c r="F83" i="5"/>
  <c r="C83" i="5"/>
  <c r="B83" i="5"/>
  <c r="G82" i="11"/>
  <c r="F82" i="11"/>
  <c r="H82" i="11"/>
  <c r="E81" i="11"/>
  <c r="D81" i="11"/>
  <c r="G81" i="11"/>
  <c r="C81" i="11"/>
  <c r="G80" i="11"/>
  <c r="F80" i="11"/>
  <c r="H80" i="11"/>
  <c r="G79" i="11"/>
  <c r="F79" i="11"/>
  <c r="G78" i="11"/>
  <c r="F78" i="11"/>
  <c r="G77" i="11"/>
  <c r="F77" i="11"/>
  <c r="H77" i="11"/>
  <c r="H79" i="11"/>
  <c r="F81" i="11"/>
  <c r="G188" i="1"/>
  <c r="F188" i="1"/>
  <c r="E188" i="1"/>
  <c r="D188" i="1"/>
  <c r="C188" i="1"/>
  <c r="G187" i="1"/>
  <c r="F187" i="1"/>
  <c r="E187" i="1"/>
  <c r="D187" i="1"/>
  <c r="C187" i="1"/>
  <c r="G186" i="1"/>
  <c r="F186" i="1"/>
  <c r="E186" i="1"/>
  <c r="D186" i="1"/>
  <c r="C186" i="1"/>
  <c r="H185" i="1"/>
  <c r="H184" i="1"/>
  <c r="H183" i="1"/>
  <c r="H182" i="1"/>
  <c r="H181" i="1"/>
  <c r="H180" i="1"/>
  <c r="H179" i="1"/>
  <c r="H178" i="1"/>
  <c r="H177" i="1"/>
  <c r="H176" i="1"/>
  <c r="H175" i="1"/>
  <c r="H174" i="1"/>
  <c r="H173" i="1"/>
  <c r="H172" i="1"/>
  <c r="H169" i="1"/>
  <c r="H187" i="1"/>
  <c r="H171" i="1"/>
  <c r="H170" i="1"/>
  <c r="H188" i="1"/>
  <c r="H168" i="1"/>
  <c r="H186" i="1"/>
  <c r="F26" i="13"/>
  <c r="E26" i="13"/>
  <c r="D26" i="13"/>
  <c r="C26" i="13"/>
  <c r="F25" i="13"/>
  <c r="E25" i="13"/>
  <c r="D25" i="13"/>
  <c r="C25" i="13"/>
  <c r="F24" i="13"/>
  <c r="E24" i="13"/>
  <c r="D24" i="13"/>
  <c r="C24" i="13"/>
  <c r="G23" i="13"/>
  <c r="G22" i="13"/>
  <c r="G21" i="13"/>
  <c r="G20" i="13"/>
  <c r="G19" i="13"/>
  <c r="G18" i="13"/>
  <c r="G17" i="13"/>
  <c r="G16" i="13"/>
  <c r="G15" i="13"/>
  <c r="G14" i="13"/>
  <c r="G13" i="13"/>
  <c r="G12" i="13"/>
  <c r="G11" i="13"/>
  <c r="G10" i="13"/>
  <c r="G9" i="13"/>
  <c r="G8" i="13"/>
  <c r="G7" i="13"/>
  <c r="G6" i="13"/>
  <c r="G26" i="13"/>
  <c r="G24" i="13"/>
  <c r="G25" i="13"/>
  <c r="F58" i="7"/>
  <c r="F57" i="7"/>
  <c r="F56" i="7"/>
  <c r="F55" i="7"/>
  <c r="F54" i="7"/>
  <c r="F53" i="7"/>
  <c r="F60" i="7"/>
  <c r="K18" i="2"/>
  <c r="K17" i="2"/>
  <c r="J5" i="10"/>
  <c r="J6" i="10"/>
  <c r="J10" i="10"/>
  <c r="J9" i="10"/>
  <c r="G94" i="11"/>
  <c r="F94" i="11"/>
  <c r="E93" i="11"/>
  <c r="D93" i="11"/>
  <c r="C93" i="11"/>
  <c r="G92" i="11"/>
  <c r="F92" i="11"/>
  <c r="H92" i="11"/>
  <c r="G91" i="11"/>
  <c r="F91" i="11"/>
  <c r="G90" i="11"/>
  <c r="F90" i="11"/>
  <c r="H90" i="11"/>
  <c r="G89" i="11"/>
  <c r="F89" i="11"/>
  <c r="H89" i="11"/>
  <c r="E106" i="11"/>
  <c r="D106" i="11"/>
  <c r="C106" i="11"/>
  <c r="G105" i="11"/>
  <c r="F105" i="11"/>
  <c r="H105" i="11"/>
  <c r="G104" i="11"/>
  <c r="F104" i="11"/>
  <c r="G103" i="11"/>
  <c r="F103" i="11"/>
  <c r="G102" i="11"/>
  <c r="F102" i="11"/>
  <c r="G101" i="11"/>
  <c r="F101" i="11"/>
  <c r="H101" i="11"/>
  <c r="E118" i="11"/>
  <c r="D118" i="11"/>
  <c r="C118" i="11"/>
  <c r="G117" i="11"/>
  <c r="F117" i="11"/>
  <c r="H117" i="11"/>
  <c r="G116" i="11"/>
  <c r="F116" i="11"/>
  <c r="H116" i="11"/>
  <c r="G115" i="11"/>
  <c r="F115" i="11"/>
  <c r="H115" i="11"/>
  <c r="G114" i="11"/>
  <c r="F114" i="11"/>
  <c r="G113" i="11"/>
  <c r="F113" i="11"/>
  <c r="H113" i="11"/>
  <c r="H103" i="11"/>
  <c r="G118" i="11"/>
  <c r="F93" i="11"/>
  <c r="F118" i="11"/>
  <c r="H118" i="11"/>
  <c r="H114" i="11"/>
  <c r="H91" i="11"/>
  <c r="H94" i="11"/>
  <c r="G215" i="1"/>
  <c r="F215" i="1"/>
  <c r="E215" i="1"/>
  <c r="D215" i="1"/>
  <c r="C215" i="1"/>
  <c r="G214" i="1"/>
  <c r="F214" i="1"/>
  <c r="E214" i="1"/>
  <c r="D214" i="1"/>
  <c r="C214" i="1"/>
  <c r="G213" i="1"/>
  <c r="F213" i="1"/>
  <c r="E213" i="1"/>
  <c r="D213" i="1"/>
  <c r="C213" i="1"/>
  <c r="H212" i="1"/>
  <c r="H211" i="1"/>
  <c r="H210" i="1"/>
  <c r="H209" i="1"/>
  <c r="H208" i="1"/>
  <c r="H207" i="1"/>
  <c r="H206" i="1"/>
  <c r="H197" i="1"/>
  <c r="H215" i="1"/>
  <c r="H200" i="1"/>
  <c r="H203" i="1"/>
  <c r="H205" i="1"/>
  <c r="H204" i="1"/>
  <c r="H202" i="1"/>
  <c r="H214" i="1"/>
  <c r="H201" i="1"/>
  <c r="H199" i="1"/>
  <c r="H196" i="1"/>
  <c r="H198" i="1"/>
  <c r="H195" i="1"/>
  <c r="H213" i="1"/>
  <c r="F53" i="13"/>
  <c r="E53" i="13"/>
  <c r="D53" i="13"/>
  <c r="C53" i="13"/>
  <c r="F52" i="13"/>
  <c r="E52" i="13"/>
  <c r="D52" i="13"/>
  <c r="C52" i="13"/>
  <c r="F51" i="13"/>
  <c r="E51" i="13"/>
  <c r="D51" i="13"/>
  <c r="C51" i="13"/>
  <c r="G47" i="13"/>
  <c r="G46" i="13"/>
  <c r="G45" i="13"/>
  <c r="G50" i="13"/>
  <c r="G49" i="13"/>
  <c r="G48" i="13"/>
  <c r="G38" i="13"/>
  <c r="G37" i="13"/>
  <c r="G36" i="13"/>
  <c r="G35" i="13"/>
  <c r="G34" i="13"/>
  <c r="G33" i="13"/>
  <c r="G41" i="13"/>
  <c r="G40" i="13"/>
  <c r="G39" i="13"/>
  <c r="G44" i="13"/>
  <c r="G43" i="13"/>
  <c r="G42" i="13"/>
  <c r="G52" i="13"/>
  <c r="G53" i="13"/>
  <c r="G51" i="13"/>
  <c r="H108" i="5"/>
  <c r="D108" i="5"/>
  <c r="H107" i="5"/>
  <c r="D107" i="5"/>
  <c r="H106" i="5"/>
  <c r="D106" i="5"/>
  <c r="H105" i="5"/>
  <c r="D105" i="5"/>
  <c r="H104" i="5"/>
  <c r="D104" i="5"/>
  <c r="H103" i="5"/>
  <c r="D103" i="5"/>
  <c r="H102" i="5"/>
  <c r="D102" i="5"/>
  <c r="H101" i="5"/>
  <c r="D101" i="5"/>
  <c r="H100" i="5"/>
  <c r="D100" i="5"/>
  <c r="H99" i="5"/>
  <c r="D99" i="5"/>
  <c r="H98" i="5"/>
  <c r="D98" i="5"/>
  <c r="H97" i="5"/>
  <c r="H96" i="5"/>
  <c r="D97" i="5"/>
  <c r="G96" i="5"/>
  <c r="F96" i="5"/>
  <c r="C96" i="5"/>
  <c r="B96" i="5"/>
  <c r="F66" i="7"/>
  <c r="F65" i="7"/>
  <c r="F64" i="7"/>
  <c r="F63" i="7"/>
  <c r="F62" i="7"/>
  <c r="F61" i="7"/>
  <c r="F68" i="7"/>
  <c r="J17" i="2"/>
  <c r="J18" i="2"/>
  <c r="I9" i="10"/>
  <c r="I6" i="10"/>
  <c r="I10" i="10"/>
  <c r="G242" i="1"/>
  <c r="F242" i="1"/>
  <c r="E242" i="1"/>
  <c r="D242" i="1"/>
  <c r="C242" i="1"/>
  <c r="G241" i="1"/>
  <c r="F241" i="1"/>
  <c r="E241" i="1"/>
  <c r="D241" i="1"/>
  <c r="C241" i="1"/>
  <c r="G240" i="1"/>
  <c r="F240" i="1"/>
  <c r="E240" i="1"/>
  <c r="D240" i="1"/>
  <c r="C240" i="1"/>
  <c r="H239" i="1"/>
  <c r="H238" i="1"/>
  <c r="H237" i="1"/>
  <c r="H236" i="1"/>
  <c r="H235" i="1"/>
  <c r="H234" i="1"/>
  <c r="H233" i="1"/>
  <c r="H232" i="1"/>
  <c r="H223" i="1"/>
  <c r="H241" i="1"/>
  <c r="H226" i="1"/>
  <c r="H229" i="1"/>
  <c r="H231" i="1"/>
  <c r="H230" i="1"/>
  <c r="H228" i="1"/>
  <c r="H227" i="1"/>
  <c r="H225" i="1"/>
  <c r="H224" i="1"/>
  <c r="H242" i="1"/>
  <c r="H222" i="1"/>
  <c r="H240" i="1"/>
  <c r="H111" i="5"/>
  <c r="H112" i="5"/>
  <c r="H113" i="5"/>
  <c r="H114" i="5"/>
  <c r="H115" i="5"/>
  <c r="H116" i="5"/>
  <c r="H117" i="5"/>
  <c r="H118" i="5"/>
  <c r="H119" i="5"/>
  <c r="H120" i="5"/>
  <c r="H121" i="5"/>
  <c r="H110" i="5"/>
  <c r="G109" i="5"/>
  <c r="F109" i="5"/>
  <c r="D111" i="5"/>
  <c r="D112" i="5"/>
  <c r="D113" i="5"/>
  <c r="D114" i="5"/>
  <c r="D115" i="5"/>
  <c r="D116" i="5"/>
  <c r="D117" i="5"/>
  <c r="D118" i="5"/>
  <c r="D119" i="5"/>
  <c r="D120" i="5"/>
  <c r="D121" i="5"/>
  <c r="D110" i="5"/>
  <c r="C109" i="5"/>
  <c r="B109" i="5"/>
  <c r="C79" i="13"/>
  <c r="D79" i="13"/>
  <c r="E79" i="13"/>
  <c r="F79" i="13"/>
  <c r="C80" i="13"/>
  <c r="D80" i="13"/>
  <c r="E80" i="13"/>
  <c r="F80" i="13"/>
  <c r="D78" i="13"/>
  <c r="E78" i="13"/>
  <c r="F78" i="13"/>
  <c r="C78" i="13"/>
  <c r="G74" i="13"/>
  <c r="G73" i="13"/>
  <c r="G72" i="13"/>
  <c r="G77" i="13"/>
  <c r="G76" i="13"/>
  <c r="G75" i="13"/>
  <c r="G65" i="13"/>
  <c r="G64" i="13"/>
  <c r="G63" i="13"/>
  <c r="G62" i="13"/>
  <c r="G61" i="13"/>
  <c r="G60" i="13"/>
  <c r="G68" i="13"/>
  <c r="G67" i="13"/>
  <c r="G66" i="13"/>
  <c r="G71" i="13"/>
  <c r="G70" i="13"/>
  <c r="G69" i="13"/>
  <c r="G79" i="13"/>
  <c r="G80" i="13"/>
  <c r="G78" i="13"/>
  <c r="F74" i="7"/>
  <c r="F69" i="7"/>
  <c r="F70" i="7"/>
  <c r="F71" i="7"/>
  <c r="F72" i="7"/>
  <c r="F73" i="7"/>
  <c r="F76" i="7"/>
  <c r="B6" i="10"/>
  <c r="B10" i="10"/>
  <c r="C6" i="10"/>
  <c r="C10" i="10"/>
  <c r="D6" i="10"/>
  <c r="D10" i="10"/>
  <c r="E6" i="10"/>
  <c r="E10" i="10"/>
  <c r="F6" i="10"/>
  <c r="G6" i="10"/>
  <c r="G10" i="10"/>
  <c r="H6" i="10"/>
  <c r="H10" i="10"/>
  <c r="B9" i="10"/>
  <c r="C9" i="10"/>
  <c r="D9" i="10"/>
  <c r="E9" i="10"/>
  <c r="F9" i="10"/>
  <c r="G9" i="10"/>
  <c r="H9" i="10"/>
  <c r="F10" i="10"/>
  <c r="I18" i="2"/>
  <c r="I17" i="2"/>
  <c r="G122" i="5"/>
  <c r="F122" i="5"/>
  <c r="C122" i="5"/>
  <c r="B122" i="5"/>
  <c r="D122" i="5"/>
  <c r="H122" i="5"/>
  <c r="H357" i="1"/>
  <c r="H360" i="1"/>
  <c r="H372" i="1"/>
  <c r="H363" i="1"/>
  <c r="H366" i="1"/>
  <c r="H369" i="1"/>
  <c r="H358" i="1"/>
  <c r="H361" i="1"/>
  <c r="H364" i="1"/>
  <c r="H367" i="1"/>
  <c r="H373" i="1"/>
  <c r="H370" i="1"/>
  <c r="H359" i="1"/>
  <c r="H362" i="1"/>
  <c r="H374" i="1"/>
  <c r="H365" i="1"/>
  <c r="H368" i="1"/>
  <c r="H371" i="1"/>
  <c r="C372" i="1"/>
  <c r="D372" i="1"/>
  <c r="E372" i="1"/>
  <c r="F372" i="1"/>
  <c r="G372" i="1"/>
  <c r="C373" i="1"/>
  <c r="D373" i="1"/>
  <c r="E373" i="1"/>
  <c r="F373" i="1"/>
  <c r="G373" i="1"/>
  <c r="C374" i="1"/>
  <c r="D374" i="1"/>
  <c r="E374" i="1"/>
  <c r="F374" i="1"/>
  <c r="G374" i="1"/>
  <c r="H249" i="1"/>
  <c r="H267" i="1"/>
  <c r="H252" i="1"/>
  <c r="H255" i="1"/>
  <c r="H258" i="1"/>
  <c r="H261" i="1"/>
  <c r="H264" i="1"/>
  <c r="H250" i="1"/>
  <c r="H251" i="1"/>
  <c r="H269" i="1"/>
  <c r="H253" i="1"/>
  <c r="H268" i="1"/>
  <c r="H254" i="1"/>
  <c r="H257" i="1"/>
  <c r="H260" i="1"/>
  <c r="H263" i="1"/>
  <c r="H266" i="1"/>
  <c r="H256" i="1"/>
  <c r="H259" i="1"/>
  <c r="H262" i="1"/>
  <c r="H265" i="1"/>
  <c r="G269" i="1"/>
  <c r="F269" i="1"/>
  <c r="E269" i="1"/>
  <c r="D269" i="1"/>
  <c r="C269" i="1"/>
  <c r="G268" i="1"/>
  <c r="F268" i="1"/>
  <c r="E268" i="1"/>
  <c r="D268" i="1"/>
  <c r="C268" i="1"/>
  <c r="G267" i="1"/>
  <c r="F267" i="1"/>
  <c r="E267" i="1"/>
  <c r="D267" i="1"/>
  <c r="C267" i="1"/>
  <c r="C200" i="5"/>
  <c r="D200" i="5"/>
  <c r="B200" i="5"/>
  <c r="C187" i="5"/>
  <c r="D187" i="5"/>
  <c r="B187" i="5"/>
  <c r="C174" i="5"/>
  <c r="D174" i="5"/>
  <c r="B174" i="5"/>
  <c r="G200" i="5"/>
  <c r="F200" i="5"/>
  <c r="H202" i="5"/>
  <c r="H203" i="5"/>
  <c r="H204" i="5"/>
  <c r="H205" i="5"/>
  <c r="H206" i="5"/>
  <c r="H207" i="5"/>
  <c r="H208" i="5"/>
  <c r="H209" i="5"/>
  <c r="H210" i="5"/>
  <c r="H211" i="5"/>
  <c r="H212" i="5"/>
  <c r="H201" i="5"/>
  <c r="H189" i="5"/>
  <c r="H188" i="5"/>
  <c r="H190" i="5"/>
  <c r="H191" i="5"/>
  <c r="H192" i="5"/>
  <c r="H199" i="5"/>
  <c r="H198" i="5"/>
  <c r="H197" i="5"/>
  <c r="H196" i="5"/>
  <c r="H195" i="5"/>
  <c r="H194" i="5"/>
  <c r="H193" i="5"/>
  <c r="H187" i="5"/>
  <c r="F187" i="5"/>
  <c r="G187" i="5"/>
  <c r="G174" i="5"/>
  <c r="F174" i="5"/>
  <c r="H176" i="5"/>
  <c r="H177" i="5"/>
  <c r="H178" i="5"/>
  <c r="H179" i="5"/>
  <c r="H180" i="5"/>
  <c r="H181" i="5"/>
  <c r="H182" i="5"/>
  <c r="H183" i="5"/>
  <c r="H184" i="5"/>
  <c r="H185" i="5"/>
  <c r="H186" i="5"/>
  <c r="H175" i="5"/>
  <c r="H163" i="5"/>
  <c r="H164" i="5"/>
  <c r="H165" i="5"/>
  <c r="H166" i="5"/>
  <c r="H167" i="5"/>
  <c r="H168" i="5"/>
  <c r="H169" i="5"/>
  <c r="H170" i="5"/>
  <c r="H171" i="5"/>
  <c r="H172" i="5"/>
  <c r="H173" i="5"/>
  <c r="H162" i="5"/>
  <c r="G161" i="5"/>
  <c r="F161" i="5"/>
  <c r="H160" i="5"/>
  <c r="H159" i="5"/>
  <c r="H158" i="5"/>
  <c r="H157" i="5"/>
  <c r="H156" i="5"/>
  <c r="H155" i="5"/>
  <c r="H154" i="5"/>
  <c r="H149" i="5"/>
  <c r="H150" i="5"/>
  <c r="H151" i="5"/>
  <c r="H152" i="5"/>
  <c r="H153" i="5"/>
  <c r="H148" i="5"/>
  <c r="G148" i="5"/>
  <c r="F148" i="5"/>
  <c r="H147" i="5"/>
  <c r="H146" i="5"/>
  <c r="H145" i="5"/>
  <c r="H144" i="5"/>
  <c r="H143" i="5"/>
  <c r="H142" i="5"/>
  <c r="H141" i="5"/>
  <c r="H140" i="5"/>
  <c r="H139" i="5"/>
  <c r="H136" i="5"/>
  <c r="H137" i="5"/>
  <c r="H138" i="5"/>
  <c r="H135" i="5"/>
  <c r="G135" i="5"/>
  <c r="F135" i="5"/>
  <c r="D161" i="5"/>
  <c r="C161" i="5"/>
  <c r="B161" i="5"/>
  <c r="D150" i="5"/>
  <c r="D151" i="5"/>
  <c r="D152" i="5"/>
  <c r="D153" i="5"/>
  <c r="D154" i="5"/>
  <c r="D155" i="5"/>
  <c r="D156" i="5"/>
  <c r="D157" i="5"/>
  <c r="D158" i="5"/>
  <c r="D159" i="5"/>
  <c r="D160" i="5"/>
  <c r="D149" i="5"/>
  <c r="C148" i="5"/>
  <c r="B148" i="5"/>
  <c r="B135" i="5"/>
  <c r="C135" i="5"/>
  <c r="D137" i="5"/>
  <c r="D138" i="5"/>
  <c r="D139" i="5"/>
  <c r="D140" i="5"/>
  <c r="D141" i="5"/>
  <c r="D142" i="5"/>
  <c r="D143" i="5"/>
  <c r="D144" i="5"/>
  <c r="D145" i="5"/>
  <c r="D146" i="5"/>
  <c r="D147" i="5"/>
  <c r="D136" i="5"/>
  <c r="F82" i="7"/>
  <c r="F81" i="7"/>
  <c r="F77" i="7"/>
  <c r="F78" i="7"/>
  <c r="F79" i="7"/>
  <c r="F80" i="7"/>
  <c r="F84" i="7"/>
  <c r="F90" i="7"/>
  <c r="F89" i="7"/>
  <c r="F88" i="7"/>
  <c r="F87" i="7"/>
  <c r="F85" i="7"/>
  <c r="F86" i="7"/>
  <c r="F92" i="7"/>
  <c r="F98" i="7"/>
  <c r="F97" i="7"/>
  <c r="F96" i="7"/>
  <c r="F95" i="7"/>
  <c r="F94" i="7"/>
  <c r="F93" i="7"/>
  <c r="F100" i="7"/>
  <c r="C18" i="2"/>
  <c r="D18" i="2"/>
  <c r="E18" i="2"/>
  <c r="F18" i="2"/>
  <c r="G18" i="2"/>
  <c r="H18" i="2"/>
  <c r="D17" i="2"/>
  <c r="E17" i="2"/>
  <c r="F17" i="2"/>
  <c r="G17" i="2"/>
  <c r="H17" i="2"/>
  <c r="C17" i="2"/>
  <c r="C424" i="1"/>
  <c r="D424" i="1"/>
  <c r="E424" i="1"/>
  <c r="F424" i="1"/>
  <c r="G424" i="1"/>
  <c r="C425" i="1"/>
  <c r="D425" i="1"/>
  <c r="E425" i="1"/>
  <c r="F425" i="1"/>
  <c r="G425" i="1"/>
  <c r="D423" i="1"/>
  <c r="E423" i="1"/>
  <c r="F423" i="1"/>
  <c r="G423" i="1"/>
  <c r="C423" i="1"/>
  <c r="C397" i="1"/>
  <c r="D397" i="1"/>
  <c r="E397" i="1"/>
  <c r="F397" i="1"/>
  <c r="G397" i="1"/>
  <c r="C398" i="1"/>
  <c r="D398" i="1"/>
  <c r="E398" i="1"/>
  <c r="F398" i="1"/>
  <c r="G398" i="1"/>
  <c r="D396" i="1"/>
  <c r="E396" i="1"/>
  <c r="F396" i="1"/>
  <c r="G396" i="1"/>
  <c r="C396" i="1"/>
  <c r="H414" i="1"/>
  <c r="H415" i="1"/>
  <c r="H416" i="1"/>
  <c r="D350" i="1"/>
  <c r="E350" i="1"/>
  <c r="F350" i="1"/>
  <c r="G350" i="1"/>
  <c r="D349" i="1"/>
  <c r="E349" i="1"/>
  <c r="F349" i="1"/>
  <c r="G349" i="1"/>
  <c r="C350" i="1"/>
  <c r="C349" i="1"/>
  <c r="D348" i="1"/>
  <c r="E348" i="1"/>
  <c r="F348" i="1"/>
  <c r="G348" i="1"/>
  <c r="C348" i="1"/>
  <c r="D323" i="1"/>
  <c r="E323" i="1"/>
  <c r="F323" i="1"/>
  <c r="G323" i="1"/>
  <c r="D322" i="1"/>
  <c r="E322" i="1"/>
  <c r="F322" i="1"/>
  <c r="G322" i="1"/>
  <c r="D321" i="1"/>
  <c r="E321" i="1"/>
  <c r="F321" i="1"/>
  <c r="G321" i="1"/>
  <c r="C323" i="1"/>
  <c r="C322" i="1"/>
  <c r="C321" i="1"/>
  <c r="D296" i="1"/>
  <c r="E296" i="1"/>
  <c r="F296" i="1"/>
  <c r="G296" i="1"/>
  <c r="D295" i="1"/>
  <c r="E295" i="1"/>
  <c r="F295" i="1"/>
  <c r="G295" i="1"/>
  <c r="C296" i="1"/>
  <c r="C295" i="1"/>
  <c r="D294" i="1"/>
  <c r="E294" i="1"/>
  <c r="F294" i="1"/>
  <c r="G294" i="1"/>
  <c r="C294" i="1"/>
  <c r="H422" i="1"/>
  <c r="H421" i="1"/>
  <c r="H420" i="1"/>
  <c r="H419" i="1"/>
  <c r="H418" i="1"/>
  <c r="H417" i="1"/>
  <c r="H395" i="1"/>
  <c r="H394" i="1"/>
  <c r="H393" i="1"/>
  <c r="H392" i="1"/>
  <c r="H391" i="1"/>
  <c r="H390" i="1"/>
  <c r="H344" i="1"/>
  <c r="H343" i="1"/>
  <c r="H342" i="1"/>
  <c r="H341" i="1"/>
  <c r="H340" i="1"/>
  <c r="H339" i="1"/>
  <c r="H320" i="1"/>
  <c r="H319" i="1"/>
  <c r="H318" i="1"/>
  <c r="H317" i="1"/>
  <c r="H305" i="1"/>
  <c r="H323" i="1"/>
  <c r="H308" i="1"/>
  <c r="H311" i="1"/>
  <c r="H314" i="1"/>
  <c r="H316" i="1"/>
  <c r="H315" i="1"/>
  <c r="H293" i="1"/>
  <c r="H278" i="1"/>
  <c r="H296" i="1"/>
  <c r="H281" i="1"/>
  <c r="H284" i="1"/>
  <c r="H287" i="1"/>
  <c r="H290" i="1"/>
  <c r="H292" i="1"/>
  <c r="H291" i="1"/>
  <c r="H289" i="1"/>
  <c r="H288" i="1"/>
  <c r="H294" i="1"/>
  <c r="H347" i="1"/>
  <c r="H346" i="1"/>
  <c r="H345" i="1"/>
  <c r="H330" i="1"/>
  <c r="H333" i="1"/>
  <c r="H336" i="1"/>
  <c r="H348" i="1"/>
  <c r="H313" i="1"/>
  <c r="H322" i="1"/>
  <c r="H312" i="1"/>
  <c r="H286" i="1"/>
  <c r="H285" i="1"/>
  <c r="H406" i="1"/>
  <c r="H409" i="1"/>
  <c r="H412" i="1"/>
  <c r="H424" i="1"/>
  <c r="H407" i="1"/>
  <c r="H425" i="1"/>
  <c r="H410" i="1"/>
  <c r="H413" i="1"/>
  <c r="H408" i="1"/>
  <c r="H411" i="1"/>
  <c r="H405" i="1"/>
  <c r="H423" i="1"/>
  <c r="H382" i="1"/>
  <c r="H397" i="1"/>
  <c r="H385" i="1"/>
  <c r="H388" i="1"/>
  <c r="H383" i="1"/>
  <c r="H398" i="1"/>
  <c r="H384" i="1"/>
  <c r="H386" i="1"/>
  <c r="H387" i="1"/>
  <c r="H389" i="1"/>
  <c r="H381" i="1"/>
  <c r="H396" i="1"/>
  <c r="H331" i="1"/>
  <c r="H349" i="1"/>
  <c r="H332" i="1"/>
  <c r="H334" i="1"/>
  <c r="H335" i="1"/>
  <c r="H338" i="1"/>
  <c r="H350" i="1"/>
  <c r="H337" i="1"/>
  <c r="H304" i="1"/>
  <c r="H306" i="1"/>
  <c r="H307" i="1"/>
  <c r="H310" i="1"/>
  <c r="H309" i="1"/>
  <c r="H303" i="1"/>
  <c r="H321" i="1"/>
  <c r="H277" i="1"/>
  <c r="H279" i="1"/>
  <c r="H276" i="1"/>
  <c r="H282" i="1"/>
  <c r="H280" i="1"/>
  <c r="H295" i="1"/>
  <c r="H283" i="1"/>
  <c r="H109" i="5"/>
  <c r="H57" i="11"/>
  <c r="H67" i="11"/>
  <c r="H78" i="11"/>
  <c r="G93" i="11"/>
  <c r="H93" i="11"/>
  <c r="H102" i="11"/>
  <c r="H70" i="11"/>
  <c r="H56" i="11"/>
  <c r="G69" i="11"/>
  <c r="H69" i="11"/>
  <c r="H104" i="11"/>
  <c r="F106" i="11"/>
  <c r="G106" i="11"/>
  <c r="H106" i="11"/>
  <c r="H174" i="5"/>
  <c r="D109" i="5"/>
  <c r="H200" i="5"/>
  <c r="D135" i="5"/>
  <c r="H57" i="5"/>
  <c r="D96" i="5"/>
  <c r="D70" i="5"/>
  <c r="H161" i="5"/>
  <c r="D148" i="5"/>
  <c r="H83" i="5"/>
  <c r="H81" i="11"/>
  <c r="H51" i="1"/>
  <c r="H26" i="1"/>
  <c r="H25" i="1"/>
  <c r="H24" i="1"/>
</calcChain>
</file>

<file path=xl/sharedStrings.xml><?xml version="1.0" encoding="utf-8"?>
<sst xmlns="http://schemas.openxmlformats.org/spreadsheetml/2006/main" count="1793" uniqueCount="153">
  <si>
    <t>1*</t>
  </si>
  <si>
    <t>Total</t>
  </si>
  <si>
    <t>Drama</t>
  </si>
  <si>
    <t>Evros</t>
  </si>
  <si>
    <t>Kavala</t>
  </si>
  <si>
    <t>Xanthi</t>
  </si>
  <si>
    <t>Rodopi</t>
  </si>
  <si>
    <t>Units</t>
  </si>
  <si>
    <t>Rooms</t>
  </si>
  <si>
    <t>Guest beds</t>
  </si>
  <si>
    <t>Thassos</t>
  </si>
  <si>
    <t>Museums</t>
  </si>
  <si>
    <t>Kavala &amp; Thassos</t>
  </si>
  <si>
    <t>Foreign overnights</t>
  </si>
  <si>
    <t xml:space="preserve">Domestic overnights </t>
  </si>
  <si>
    <t>Occupancy</t>
  </si>
  <si>
    <t>Occupancy Kavala</t>
  </si>
  <si>
    <t>Year</t>
  </si>
  <si>
    <t>Port</t>
  </si>
  <si>
    <t xml:space="preserve">PASSENGERS WITH P/S - C/S </t>
  </si>
  <si>
    <t>Alexandroupoli</t>
  </si>
  <si>
    <t>Samothrace</t>
  </si>
  <si>
    <t>Prinos Thassos</t>
  </si>
  <si>
    <t>Keramoti</t>
  </si>
  <si>
    <t>Eleftheres</t>
  </si>
  <si>
    <t>January</t>
  </si>
  <si>
    <t>February</t>
  </si>
  <si>
    <t>March</t>
  </si>
  <si>
    <t>April</t>
  </si>
  <si>
    <t>May</t>
  </si>
  <si>
    <t>June</t>
  </si>
  <si>
    <t>July</t>
  </si>
  <si>
    <t>August</t>
  </si>
  <si>
    <t xml:space="preserve">September </t>
  </si>
  <si>
    <t>Οctober</t>
  </si>
  <si>
    <t>Νovember</t>
  </si>
  <si>
    <t>December</t>
  </si>
  <si>
    <t>Foreign overnights in Kavala</t>
  </si>
  <si>
    <t>Domestic overnights in Kavala</t>
  </si>
  <si>
    <t>5*</t>
  </si>
  <si>
    <t>4*</t>
  </si>
  <si>
    <t>3*</t>
  </si>
  <si>
    <t>2*</t>
  </si>
  <si>
    <t>TOTAL</t>
  </si>
  <si>
    <t xml:space="preserve">PASSENGERS DISEMBARKED </t>
  </si>
  <si>
    <t xml:space="preserve">PASSENGERS EMBARKED </t>
  </si>
  <si>
    <t>International air arrivals</t>
  </si>
  <si>
    <t>Domestic air arrivals</t>
  </si>
  <si>
    <t>Countries of origin</t>
  </si>
  <si>
    <t>Visits (in th.)</t>
  </si>
  <si>
    <t>Bulgaria</t>
  </si>
  <si>
    <t>Germany</t>
  </si>
  <si>
    <t>Romania</t>
  </si>
  <si>
    <t>Others</t>
  </si>
  <si>
    <t>as a percentage of the total</t>
  </si>
  <si>
    <t>Key figures of incoming tourism in Eastern Macedonia &amp; Thrace Region 2016</t>
  </si>
  <si>
    <t>4Κ</t>
  </si>
  <si>
    <t>3Κ</t>
  </si>
  <si>
    <t>2Κ</t>
  </si>
  <si>
    <t>1Κ</t>
  </si>
  <si>
    <t>Receipts          (in mil. €)</t>
  </si>
  <si>
    <t xml:space="preserve">Foreign arrivals </t>
  </si>
  <si>
    <t>Domestic arrivals</t>
  </si>
  <si>
    <t xml:space="preserve">Domestic arrivlas </t>
  </si>
  <si>
    <t>Foreign arrivals in Kavala</t>
  </si>
  <si>
    <t>Domestic arrivals in Kavala</t>
  </si>
  <si>
    <t>Foreign arrivals</t>
  </si>
  <si>
    <t>Domestic arrivlas</t>
  </si>
  <si>
    <t xml:space="preserve">Domestic arrivals </t>
  </si>
  <si>
    <t>Key figures of incoming tourism in Eastern Macedonia &amp; Thrace Region 2017</t>
  </si>
  <si>
    <t>Key Figures for Eastern Macedonia &amp; Thrace Region</t>
  </si>
  <si>
    <t>Eastern Macedonia &amp; Thrace</t>
  </si>
  <si>
    <t>Other sectors</t>
  </si>
  <si>
    <t>Total employment</t>
  </si>
  <si>
    <t>Total Greece</t>
  </si>
  <si>
    <t>Employment in the other sectors as a percentage of the total employment in the Region</t>
  </si>
  <si>
    <t xml:space="preserve"> EASTERN MACEDONIA &amp; THRACE REGION</t>
  </si>
  <si>
    <t xml:space="preserve"> Hotel capacity 2017</t>
  </si>
  <si>
    <t xml:space="preserve">EASTERN MACEDONIA &amp; THRACE REGION </t>
  </si>
  <si>
    <t>ROOMS FOR RENT 2017</t>
  </si>
  <si>
    <t>Cruise ships</t>
  </si>
  <si>
    <t>Passengers</t>
  </si>
  <si>
    <t xml:space="preserve"> Hotel capacity 2010</t>
  </si>
  <si>
    <t xml:space="preserve"> Hotel capacity 2011</t>
  </si>
  <si>
    <t xml:space="preserve"> Hotel capacity 2012</t>
  </si>
  <si>
    <t xml:space="preserve"> Hotel capacity 2013</t>
  </si>
  <si>
    <t xml:space="preserve"> Hotel capacity 2014</t>
  </si>
  <si>
    <t xml:space="preserve"> Hotel capacity 2015</t>
  </si>
  <si>
    <t xml:space="preserve"> Hotel capacity 2016</t>
  </si>
  <si>
    <t>ROOMS FOR RENT 2018</t>
  </si>
  <si>
    <t xml:space="preserve"> Hotel capacity 2018</t>
  </si>
  <si>
    <t>Key figures of incoming tourism in Eastern Macedonia &amp; Thrace Region 2018</t>
  </si>
  <si>
    <t>ROOMS FOR RENT 2019</t>
  </si>
  <si>
    <t xml:space="preserve"> Hotel capacity 2019</t>
  </si>
  <si>
    <t>Accommodation and catering services</t>
  </si>
  <si>
    <t xml:space="preserve">Employment in Services as a percentage of total employment in the Region </t>
  </si>
  <si>
    <t>Key figures of incoming tourism in Eastern Macedonia &amp; Thrace Region 2019</t>
  </si>
  <si>
    <t xml:space="preserve"> Hotel capacity 2020</t>
  </si>
  <si>
    <t>Key figures of incoming tourism in Eastern Macedonia &amp; Thrace Region 2020</t>
  </si>
  <si>
    <t>Archaeological sites</t>
  </si>
  <si>
    <t>Average Expenditure per Journey      (in  €)</t>
  </si>
  <si>
    <t>Average Expenditure per Overnight Stay      (in €)</t>
  </si>
  <si>
    <t>Average Duration of Stay (in overnights)</t>
  </si>
  <si>
    <t>Regional Unit</t>
  </si>
  <si>
    <t>Region</t>
  </si>
  <si>
    <t>Source: Greek Port Association - Processing INSETE Intelligence</t>
  </si>
  <si>
    <t>Total Region</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</si>
  <si>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</si>
  <si>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</si>
  <si>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</si>
  <si>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</si>
  <si>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</si>
  <si>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</si>
  <si>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</si>
  <si>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</si>
  <si>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</si>
  <si>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 Hotel capacity 2021</t>
  </si>
  <si>
    <t>Key figures of incoming tourism in Eastern Macedonia &amp; Thrace Region 2021</t>
  </si>
  <si>
    <t>Overnights (in th.)</t>
  </si>
  <si>
    <t>Source: ELSTAT - Processinfg INSETE Intelliegence</t>
  </si>
  <si>
    <t xml:space="preserve"> Hotel capacity 2022</t>
  </si>
  <si>
    <t>Key figures of incoming tourism in Eastern Macedonia &amp; Thrace Region 2022</t>
  </si>
  <si>
    <t>Turkiye</t>
  </si>
  <si>
    <t>Key figures of incoming tourism in Eastern Macedonia &amp; Thrace Region 2023</t>
  </si>
  <si>
    <t xml:space="preserve"> 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</si>
  <si>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</si>
  <si>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</si>
  <si>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</si>
  <si>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</si>
  <si>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</si>
  <si>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</si>
  <si>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</si>
  <si>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</si>
  <si>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</si>
  <si>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</si>
  <si>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</si>
  <si>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</si>
  <si>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</si>
  <si>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</si>
  <si>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 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</si>
  <si>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</si>
  <si>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</si>
  <si>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</si>
  <si>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</si>
  <si>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Eastern Macedonia &amp; Thrace Region 2024</t>
  </si>
  <si>
    <t>DOMESTIC TRAFFIC IN PORTS, 2013-2024</t>
  </si>
  <si>
    <t>EASTERN MACEDONIA &amp; THRACE REGION: arrivals, overnights and occupancy in hotel establishments 2010-2024</t>
  </si>
  <si>
    <t>EASTERN MACEDONIA &amp; THRACE REGION: arrivals and overnight stays in short stay accommodation establishments, 2020-2024</t>
  </si>
  <si>
    <t>Cruise ship traffic in Eastern Macedonia &amp; Thrace Region, 2013-2025</t>
  </si>
  <si>
    <t>Key figures of incoming tourism in Eastern Macedonia &amp; Thrace Region 2025</t>
  </si>
  <si>
    <t>Employment in Eastern Macedonia &amp; Thrace Region (in thous.), 2010-2025</t>
  </si>
  <si>
    <t>EASTERN MACEDONIA &amp; THRACE REGION: Admissions to Museums / Archaelogical sites, 2010-2025</t>
  </si>
  <si>
    <t xml:space="preserve"> 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</si>
</sst>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4">
    <border>
      <left/>
      <right/>
      <top/>
      <bottom/>
      <diagonal/>
    </border>
    <border>
      <left style="thin">
        <color rgb="FF000000"/>
      </left>
      <right/>
      <top style="thin">
        <color rgb="FF000000"/>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right/>
      <top style="medium">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left>
      <right style="thin">
        <color theme="4"/>
      </right>
      <top style="thin">
        <color indexed="64"/>
      </top>
      <bottom/>
      <diagonal/>
    </border>
    <border>
      <left style="thin">
        <color theme="4"/>
      </left>
      <right style="thin">
        <color theme="4"/>
      </right>
      <top style="medium">
        <color theme="4"/>
      </top>
      <bottom/>
      <diagonal/>
    </border>
    <border>
      <left style="thin">
        <color indexed="64"/>
      </left>
      <right style="thin">
        <color rgb="FF000000"/>
      </right>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rgb="FF00B0F0"/>
      </right>
      <top/>
      <bottom style="hair">
        <color rgb="FF0070C0"/>
      </bottom>
      <diagonal/>
    </border>
    <border>
      <left/>
      <right style="thin">
        <color theme="4" tint="0.39997558519241921"/>
      </right>
      <top/>
      <bottom style="hair">
        <color rgb="FF0070C0"/>
      </bottom>
      <diagonal/>
    </border>
    <border>
      <left/>
      <right/>
      <top style="hair">
        <color rgb="FF0070C0"/>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rgb="FF000000"/>
      </top>
      <bottom/>
      <diagonal/>
    </border>
    <border>
      <left style="thin">
        <color rgb="FF000000"/>
      </left>
      <right/>
      <top/>
      <bottom/>
      <diagonal/>
    </border>
    <border>
      <left/>
      <right/>
      <top style="thin">
        <color theme="4" tint="-0.249977111117893"/>
      </top>
      <bottom style="thin">
        <color theme="4" tint="-0.249977111117893"/>
      </bottom>
      <diagonal/>
    </border>
    <border>
      <left/>
      <right/>
      <top/>
      <bottom style="thin">
        <color theme="4" tint="-0.249977111117893"/>
      </bottom>
      <diagonal/>
    </border>
    <border>
      <left/>
      <right/>
      <top style="thin">
        <color theme="4" tint="-0.249977111117893"/>
      </top>
      <bottom/>
      <diagonal/>
    </border>
  </borders>
  <cellStyleXfs count="8">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164" fontId="3" fillId="0" borderId="0" applyFont="0" applyFill="0" applyBorder="0" applyAlignment="0" applyProtection="0"/>
    <xf numFmtId="0" fontId="5" fillId="6" borderId="0" applyNumberFormat="0" applyBorder="0" applyAlignment="0" applyProtection="0"/>
    <xf numFmtId="0" fontId="6" fillId="0" borderId="0"/>
  </cellStyleXfs>
  <cellXfs count="190">
    <xf numFmtId="0" fontId="0" fillId="0" borderId="0" xfId="0"/>
    <xf numFmtId="0" fontId="7" fillId="0" borderId="0" xfId="0" applyFont="1" applyAlignment="1">
      <alignment horizontal="left" vertical="center"/>
    </xf>
    <xf numFmtId="0" fontId="8"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14" fillId="0" borderId="0" xfId="0" applyFont="1" applyAlignment="1">
      <alignment vertical="center" wrapText="1"/>
    </xf>
    <xf numFmtId="0" fontId="18" fillId="5" borderId="26" xfId="0" applyFont="1" applyFill="1" applyBorder="1" applyAlignment="1">
      <alignment vertical="center" wrapText="1"/>
    </xf>
    <xf numFmtId="0" fontId="18" fillId="5" borderId="27" xfId="0" applyFont="1" applyFill="1" applyBorder="1" applyAlignment="1">
      <alignment vertical="center" wrapText="1"/>
    </xf>
    <xf numFmtId="165" fontId="18" fillId="5" borderId="27" xfId="2" applyNumberFormat="1" applyFont="1" applyFill="1" applyBorder="1" applyAlignment="1">
      <alignment horizontal="center" vertical="center"/>
    </xf>
    <xf numFmtId="165" fontId="18" fillId="5" borderId="28" xfId="2" applyNumberFormat="1" applyFont="1" applyFill="1" applyBorder="1" applyAlignment="1">
      <alignment horizontal="center" vertical="center"/>
    </xf>
    <xf numFmtId="0" fontId="17" fillId="2" borderId="0" xfId="0" applyFont="1" applyFill="1" applyAlignment="1">
      <alignment vertical="center"/>
    </xf>
    <xf numFmtId="3" fontId="17" fillId="2" borderId="0" xfId="0" applyNumberFormat="1" applyFont="1" applyFill="1" applyAlignment="1">
      <alignment horizontal="center" vertical="center"/>
    </xf>
    <xf numFmtId="0" fontId="17" fillId="0" borderId="0" xfId="0" applyFont="1" applyAlignment="1">
      <alignment vertical="center"/>
    </xf>
    <xf numFmtId="3" fontId="17" fillId="0" borderId="0" xfId="0" applyNumberFormat="1" applyFont="1" applyAlignment="1">
      <alignment horizontal="center" vertical="center"/>
    </xf>
    <xf numFmtId="3" fontId="17" fillId="5" borderId="0" xfId="0" applyNumberFormat="1" applyFont="1" applyFill="1" applyAlignment="1">
      <alignment horizontal="center" vertical="center"/>
    </xf>
    <xf numFmtId="0" fontId="16" fillId="7" borderId="0" xfId="6" applyFont="1" applyFill="1" applyBorder="1" applyAlignment="1">
      <alignment horizontal="left" vertical="center"/>
    </xf>
    <xf numFmtId="0" fontId="16" fillId="7" borderId="0" xfId="6" applyFont="1" applyFill="1" applyBorder="1" applyAlignment="1">
      <alignment horizontal="right" vertical="center"/>
    </xf>
    <xf numFmtId="0" fontId="17" fillId="0" borderId="0" xfId="0" applyFont="1" applyAlignment="1">
      <alignment horizontal="left" vertical="center" wrapText="1"/>
    </xf>
    <xf numFmtId="3" fontId="17" fillId="0" borderId="0" xfId="0" applyNumberFormat="1" applyFont="1" applyAlignment="1">
      <alignment horizontal="right" vertical="center"/>
    </xf>
    <xf numFmtId="0" fontId="10" fillId="0" borderId="0" xfId="7" applyFont="1" applyAlignment="1">
      <alignment horizontal="left" vertical="center" readingOrder="1"/>
    </xf>
    <xf numFmtId="0" fontId="20" fillId="0" borderId="7" xfId="0" applyFont="1" applyBorder="1" applyAlignment="1">
      <alignment horizontal="center" vertical="center" wrapText="1"/>
    </xf>
    <xf numFmtId="3" fontId="20" fillId="5" borderId="7" xfId="0" applyNumberFormat="1" applyFont="1" applyFill="1" applyBorder="1" applyAlignment="1">
      <alignment horizontal="right" vertical="center" wrapText="1"/>
    </xf>
    <xf numFmtId="0" fontId="20" fillId="0" borderId="3" xfId="0" applyFont="1" applyBorder="1" applyAlignment="1">
      <alignment horizontal="center" vertical="center" wrapText="1"/>
    </xf>
    <xf numFmtId="3" fontId="20" fillId="5" borderId="3" xfId="0" applyNumberFormat="1" applyFont="1" applyFill="1" applyBorder="1" applyAlignment="1">
      <alignment horizontal="right" vertical="center" wrapText="1"/>
    </xf>
    <xf numFmtId="0" fontId="20" fillId="0" borderId="5" xfId="0" applyFont="1" applyBorder="1" applyAlignment="1">
      <alignment horizontal="center" vertical="center" wrapText="1"/>
    </xf>
    <xf numFmtId="3" fontId="20" fillId="5" borderId="5" xfId="0" applyNumberFormat="1" applyFont="1" applyFill="1" applyBorder="1" applyAlignment="1">
      <alignment horizontal="right" vertical="center" wrapText="1"/>
    </xf>
    <xf numFmtId="0" fontId="19" fillId="0" borderId="10" xfId="0" applyFont="1" applyBorder="1" applyAlignment="1">
      <alignment vertical="center" wrapText="1"/>
    </xf>
    <xf numFmtId="0" fontId="17" fillId="0" borderId="0" xfId="0" applyFont="1" applyAlignment="1">
      <alignment horizontal="left" vertical="center"/>
    </xf>
    <xf numFmtId="165" fontId="17" fillId="0" borderId="0" xfId="0" applyNumberFormat="1" applyFont="1" applyAlignment="1">
      <alignment horizontal="center" vertical="center"/>
    </xf>
    <xf numFmtId="0" fontId="17" fillId="3" borderId="0" xfId="0" applyFont="1" applyFill="1" applyAlignment="1">
      <alignment horizontal="left" vertical="center"/>
    </xf>
    <xf numFmtId="3" fontId="17" fillId="3" borderId="0" xfId="0" applyNumberFormat="1" applyFont="1" applyFill="1" applyAlignment="1">
      <alignment horizontal="center" vertical="center"/>
    </xf>
    <xf numFmtId="165" fontId="17" fillId="3" borderId="0" xfId="0" applyNumberFormat="1" applyFont="1" applyFill="1" applyAlignment="1">
      <alignment horizontal="center" vertical="center"/>
    </xf>
    <xf numFmtId="3" fontId="18" fillId="0" borderId="0" xfId="0" applyNumberFormat="1" applyFont="1" applyAlignment="1">
      <alignment horizontal="right" vertical="center"/>
    </xf>
    <xf numFmtId="3" fontId="17" fillId="2" borderId="0" xfId="0" applyNumberFormat="1" applyFont="1" applyFill="1" applyAlignment="1">
      <alignment horizontal="right" vertical="center"/>
    </xf>
    <xf numFmtId="3" fontId="18" fillId="2" borderId="0" xfId="0" applyNumberFormat="1" applyFont="1" applyFill="1" applyAlignment="1">
      <alignment horizontal="right" vertical="center"/>
    </xf>
    <xf numFmtId="3" fontId="17" fillId="0" borderId="0" xfId="0" applyNumberFormat="1" applyFont="1" applyAlignment="1">
      <alignment vertical="center"/>
    </xf>
    <xf numFmtId="3" fontId="18" fillId="0" borderId="0" xfId="0" applyNumberFormat="1" applyFont="1" applyAlignment="1">
      <alignment vertical="center"/>
    </xf>
    <xf numFmtId="3" fontId="17" fillId="2" borderId="0" xfId="0" applyNumberFormat="1" applyFont="1" applyFill="1" applyAlignment="1">
      <alignment vertical="center"/>
    </xf>
    <xf numFmtId="3" fontId="18" fillId="2" borderId="0" xfId="0" applyNumberFormat="1"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166" fontId="15" fillId="0" borderId="0" xfId="0" applyNumberFormat="1" applyFont="1" applyAlignment="1">
      <alignment vertical="center"/>
    </xf>
    <xf numFmtId="167" fontId="17" fillId="0" borderId="0" xfId="0" applyNumberFormat="1" applyFont="1" applyAlignment="1">
      <alignment vertical="center"/>
    </xf>
    <xf numFmtId="0" fontId="18" fillId="2" borderId="0" xfId="0" applyFont="1" applyFill="1" applyAlignment="1">
      <alignment vertical="center"/>
    </xf>
    <xf numFmtId="166" fontId="17" fillId="2" borderId="0" xfId="0" applyNumberFormat="1" applyFont="1" applyFill="1" applyAlignment="1">
      <alignment vertical="center"/>
    </xf>
    <xf numFmtId="0" fontId="18" fillId="0" borderId="0" xfId="0" applyFont="1" applyAlignment="1">
      <alignment vertical="center" wrapText="1"/>
    </xf>
    <xf numFmtId="165" fontId="15" fillId="0" borderId="0" xfId="2" applyNumberFormat="1" applyFont="1" applyAlignment="1">
      <alignment vertical="center"/>
    </xf>
    <xf numFmtId="165" fontId="17" fillId="0" borderId="0" xfId="2" applyNumberFormat="1" applyFont="1" applyAlignment="1">
      <alignment vertical="center"/>
    </xf>
    <xf numFmtId="0" fontId="18" fillId="2" borderId="0" xfId="0" applyFont="1" applyFill="1" applyAlignment="1">
      <alignment vertical="center" wrapText="1"/>
    </xf>
    <xf numFmtId="165" fontId="17" fillId="2" borderId="0" xfId="2" applyNumberFormat="1" applyFont="1" applyFill="1" applyAlignment="1">
      <alignment vertical="center"/>
    </xf>
    <xf numFmtId="0" fontId="17" fillId="5" borderId="19" xfId="0" applyFont="1" applyFill="1" applyBorder="1" applyAlignment="1">
      <alignment vertical="center"/>
    </xf>
    <xf numFmtId="166" fontId="17" fillId="5" borderId="19" xfId="0" applyNumberFormat="1" applyFont="1" applyFill="1" applyBorder="1" applyAlignment="1">
      <alignment horizontal="center" vertical="center"/>
    </xf>
    <xf numFmtId="166" fontId="17" fillId="5" borderId="20" xfId="0" applyNumberFormat="1" applyFont="1" applyFill="1" applyBorder="1" applyAlignment="1">
      <alignment horizontal="center" vertical="center"/>
    </xf>
    <xf numFmtId="167" fontId="17" fillId="5" borderId="19" xfId="0" applyNumberFormat="1" applyFont="1" applyFill="1" applyBorder="1" applyAlignment="1">
      <alignment horizontal="center" vertical="center"/>
    </xf>
    <xf numFmtId="166" fontId="17" fillId="2" borderId="0" xfId="0" applyNumberFormat="1" applyFont="1" applyFill="1" applyAlignment="1">
      <alignment horizontal="center" vertical="center"/>
    </xf>
    <xf numFmtId="166" fontId="17" fillId="2" borderId="17" xfId="0" applyNumberFormat="1" applyFont="1" applyFill="1" applyBorder="1" applyAlignment="1">
      <alignment horizontal="center" vertical="center"/>
    </xf>
    <xf numFmtId="167" fontId="17" fillId="2" borderId="0" xfId="0" applyNumberFormat="1" applyFont="1" applyFill="1" applyAlignment="1">
      <alignment horizontal="center" vertical="center"/>
    </xf>
    <xf numFmtId="0" fontId="17" fillId="5" borderId="0" xfId="0" applyFont="1" applyFill="1" applyAlignment="1">
      <alignment vertical="center"/>
    </xf>
    <xf numFmtId="166" fontId="17" fillId="5" borderId="0" xfId="0" applyNumberFormat="1" applyFont="1" applyFill="1" applyAlignment="1">
      <alignment horizontal="center" vertical="center"/>
    </xf>
    <xf numFmtId="166" fontId="17" fillId="5" borderId="17"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0" fontId="17" fillId="5" borderId="23" xfId="0" applyFont="1" applyFill="1" applyBorder="1" applyAlignment="1">
      <alignment vertical="center"/>
    </xf>
    <xf numFmtId="166" fontId="17" fillId="5" borderId="23" xfId="0" applyNumberFormat="1" applyFont="1" applyFill="1" applyBorder="1" applyAlignment="1">
      <alignment horizontal="center" vertical="center"/>
    </xf>
    <xf numFmtId="166" fontId="17" fillId="5" borderId="24" xfId="0" applyNumberFormat="1" applyFont="1" applyFill="1" applyBorder="1" applyAlignment="1">
      <alignment horizontal="center" vertical="center"/>
    </xf>
    <xf numFmtId="167" fontId="17" fillId="5" borderId="23" xfId="0" applyNumberFormat="1" applyFont="1" applyFill="1" applyBorder="1" applyAlignment="1">
      <alignment horizontal="center" vertical="center"/>
    </xf>
    <xf numFmtId="166" fontId="17" fillId="5" borderId="25" xfId="0" applyNumberFormat="1" applyFont="1" applyFill="1" applyBorder="1" applyAlignment="1">
      <alignment horizontal="center" vertical="center"/>
    </xf>
    <xf numFmtId="166" fontId="18" fillId="5" borderId="0" xfId="0" applyNumberFormat="1" applyFont="1" applyFill="1" applyAlignment="1">
      <alignment horizontal="center" vertical="center"/>
    </xf>
    <xf numFmtId="166" fontId="18" fillId="5" borderId="17" xfId="0" applyNumberFormat="1" applyFont="1" applyFill="1" applyBorder="1" applyAlignment="1">
      <alignment horizontal="center" vertical="center"/>
    </xf>
    <xf numFmtId="167" fontId="18" fillId="5" borderId="0" xfId="0" applyNumberFormat="1" applyFont="1" applyFill="1" applyAlignment="1">
      <alignment horizontal="center" vertical="center"/>
    </xf>
    <xf numFmtId="167" fontId="18" fillId="5" borderId="27" xfId="0" applyNumberFormat="1" applyFont="1" applyFill="1" applyBorder="1" applyAlignment="1">
      <alignment horizontal="center" vertical="center"/>
    </xf>
    <xf numFmtId="166" fontId="18" fillId="5" borderId="27" xfId="0" applyNumberFormat="1" applyFont="1" applyFill="1" applyBorder="1" applyAlignment="1">
      <alignment horizontal="center" vertical="center"/>
    </xf>
    <xf numFmtId="166" fontId="18" fillId="5" borderId="28" xfId="0" applyNumberFormat="1" applyFont="1" applyFill="1" applyBorder="1" applyAlignment="1">
      <alignment horizontal="center" vertical="center"/>
    </xf>
    <xf numFmtId="0" fontId="17" fillId="5" borderId="19" xfId="0" applyFont="1" applyFill="1" applyBorder="1" applyAlignment="1">
      <alignment horizontal="left" vertical="center"/>
    </xf>
    <xf numFmtId="0" fontId="17" fillId="0" borderId="0" xfId="0" applyFont="1" applyAlignment="1">
      <alignment horizontal="center" vertical="center"/>
    </xf>
    <xf numFmtId="3" fontId="17" fillId="5" borderId="7" xfId="0" applyNumberFormat="1" applyFont="1" applyFill="1" applyBorder="1" applyAlignment="1">
      <alignment vertical="center"/>
    </xf>
    <xf numFmtId="3" fontId="17" fillId="5" borderId="3" xfId="0" applyNumberFormat="1" applyFont="1" applyFill="1" applyBorder="1" applyAlignment="1">
      <alignment vertical="center"/>
    </xf>
    <xf numFmtId="3" fontId="17" fillId="5" borderId="5" xfId="0" applyNumberFormat="1" applyFont="1" applyFill="1" applyBorder="1" applyAlignment="1">
      <alignment vertical="center"/>
    </xf>
    <xf numFmtId="0" fontId="13" fillId="0" borderId="8" xfId="0" applyFont="1" applyBorder="1" applyAlignment="1">
      <alignment vertical="center"/>
    </xf>
    <xf numFmtId="0" fontId="17" fillId="4" borderId="0" xfId="0" applyFont="1" applyFill="1" applyAlignment="1">
      <alignment horizontal="left" vertical="center"/>
    </xf>
    <xf numFmtId="3" fontId="17" fillId="4" borderId="0" xfId="0" applyNumberFormat="1" applyFont="1" applyFill="1" applyAlignment="1">
      <alignment vertical="center"/>
    </xf>
    <xf numFmtId="165" fontId="17" fillId="0" borderId="0" xfId="0" applyNumberFormat="1"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1" fillId="0" borderId="0" xfId="0" applyFont="1" applyAlignment="1">
      <alignment horizontal="left" vertical="center"/>
    </xf>
    <xf numFmtId="0" fontId="9" fillId="0" borderId="0" xfId="0" applyFont="1" applyAlignment="1">
      <alignment horizontal="left" vertical="center"/>
    </xf>
    <xf numFmtId="3" fontId="17" fillId="5" borderId="0" xfId="0" applyNumberFormat="1" applyFont="1" applyFill="1" applyAlignment="1">
      <alignment vertical="center"/>
    </xf>
    <xf numFmtId="3" fontId="18" fillId="5" borderId="0" xfId="0" applyNumberFormat="1" applyFont="1" applyFill="1" applyAlignment="1">
      <alignment vertical="center"/>
    </xf>
    <xf numFmtId="0" fontId="16" fillId="9" borderId="0" xfId="0" applyFont="1" applyFill="1" applyAlignment="1">
      <alignment horizontal="center" vertical="center"/>
    </xf>
    <xf numFmtId="0" fontId="16" fillId="9" borderId="0" xfId="0" applyFont="1" applyFill="1" applyAlignment="1">
      <alignment horizontal="center" vertical="center" wrapText="1"/>
    </xf>
    <xf numFmtId="0" fontId="16" fillId="9" borderId="17" xfId="0" applyFont="1" applyFill="1" applyBorder="1" applyAlignment="1">
      <alignment horizontal="center" vertical="center" wrapText="1"/>
    </xf>
    <xf numFmtId="0" fontId="16" fillId="7" borderId="0" xfId="0" applyFont="1" applyFill="1" applyAlignment="1">
      <alignment horizontal="left" vertical="center"/>
    </xf>
    <xf numFmtId="0" fontId="16" fillId="7" borderId="0" xfId="0" applyFont="1" applyFill="1" applyAlignment="1">
      <alignment horizontal="right" vertical="center"/>
    </xf>
    <xf numFmtId="0" fontId="16" fillId="7" borderId="0" xfId="0" applyFont="1" applyFill="1" applyAlignment="1">
      <alignment horizontal="center" vertical="center"/>
    </xf>
    <xf numFmtId="0" fontId="16" fillId="9" borderId="12" xfId="0" applyFont="1" applyFill="1" applyBorder="1" applyAlignment="1">
      <alignment horizontal="center" vertical="center" wrapText="1"/>
    </xf>
    <xf numFmtId="0" fontId="16" fillId="9" borderId="12" xfId="0" applyFont="1" applyFill="1" applyBorder="1" applyAlignment="1">
      <alignment horizontal="left" vertical="center" wrapText="1"/>
    </xf>
    <xf numFmtId="0" fontId="16" fillId="9" borderId="29"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9" borderId="11"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2" xfId="0" applyFont="1" applyFill="1" applyBorder="1" applyAlignment="1">
      <alignment horizontal="right" vertical="center" wrapText="1"/>
    </xf>
    <xf numFmtId="1" fontId="16" fillId="9" borderId="0" xfId="0" applyNumberFormat="1" applyFont="1" applyFill="1" applyAlignment="1">
      <alignment vertical="center"/>
    </xf>
    <xf numFmtId="3" fontId="16" fillId="9" borderId="0" xfId="0" applyNumberFormat="1" applyFont="1" applyFill="1" applyAlignment="1">
      <alignment horizontal="right" vertical="center"/>
    </xf>
    <xf numFmtId="1" fontId="16" fillId="9" borderId="0" xfId="0" applyNumberFormat="1" applyFont="1" applyFill="1" applyAlignment="1">
      <alignment horizontal="center" vertical="center"/>
    </xf>
    <xf numFmtId="0" fontId="16" fillId="9" borderId="0" xfId="0" applyFont="1" applyFill="1" applyAlignment="1">
      <alignment vertical="center"/>
    </xf>
    <xf numFmtId="0" fontId="21" fillId="9" borderId="0" xfId="0" applyFont="1" applyFill="1" applyAlignment="1">
      <alignment vertical="center"/>
    </xf>
    <xf numFmtId="0" fontId="16" fillId="10" borderId="31" xfId="0" applyFont="1" applyFill="1" applyBorder="1" applyAlignment="1">
      <alignment vertical="center"/>
    </xf>
    <xf numFmtId="166" fontId="16" fillId="10" borderId="31" xfId="0" applyNumberFormat="1" applyFont="1" applyFill="1" applyBorder="1" applyAlignment="1">
      <alignment vertical="center"/>
    </xf>
    <xf numFmtId="0" fontId="16" fillId="10" borderId="0" xfId="0" applyFont="1" applyFill="1" applyAlignment="1">
      <alignment vertical="center"/>
    </xf>
    <xf numFmtId="3" fontId="16" fillId="10" borderId="0" xfId="0" applyNumberFormat="1" applyFont="1" applyFill="1" applyAlignment="1">
      <alignment vertical="center"/>
    </xf>
    <xf numFmtId="0" fontId="16" fillId="10" borderId="0" xfId="0" applyFont="1" applyFill="1" applyAlignment="1">
      <alignment horizontal="left" vertical="center"/>
    </xf>
    <xf numFmtId="3" fontId="16" fillId="10" borderId="0" xfId="0" applyNumberFormat="1" applyFont="1" applyFill="1" applyAlignment="1">
      <alignment horizontal="right" vertical="center"/>
    </xf>
    <xf numFmtId="0" fontId="16" fillId="10" borderId="0" xfId="0" applyFont="1" applyFill="1" applyAlignment="1">
      <alignment horizontal="left" vertical="center" wrapText="1"/>
    </xf>
    <xf numFmtId="3" fontId="16" fillId="10" borderId="0" xfId="0" applyNumberFormat="1" applyFont="1" applyFill="1" applyAlignment="1">
      <alignment horizontal="center" vertical="center"/>
    </xf>
    <xf numFmtId="165" fontId="16" fillId="10" borderId="0" xfId="0" applyNumberFormat="1" applyFont="1" applyFill="1" applyAlignment="1">
      <alignment horizontal="center" vertical="center"/>
    </xf>
    <xf numFmtId="0" fontId="20" fillId="11" borderId="3" xfId="0" applyFont="1" applyFill="1" applyBorder="1" applyAlignment="1">
      <alignment horizontal="center" vertical="center" wrapText="1"/>
    </xf>
    <xf numFmtId="3" fontId="20" fillId="11" borderId="3" xfId="0" applyNumberFormat="1" applyFont="1" applyFill="1" applyBorder="1" applyAlignment="1">
      <alignment horizontal="right" vertical="center" wrapText="1"/>
    </xf>
    <xf numFmtId="3" fontId="17" fillId="11" borderId="3" xfId="0" applyNumberFormat="1" applyFont="1" applyFill="1" applyBorder="1" applyAlignment="1">
      <alignment vertical="center"/>
    </xf>
    <xf numFmtId="0" fontId="20" fillId="11" borderId="5" xfId="0" applyFont="1" applyFill="1" applyBorder="1" applyAlignment="1">
      <alignment horizontal="center" vertical="center" wrapText="1"/>
    </xf>
    <xf numFmtId="3" fontId="17" fillId="11" borderId="5" xfId="0" applyNumberFormat="1" applyFont="1" applyFill="1" applyBorder="1" applyAlignment="1">
      <alignment vertical="center"/>
    </xf>
    <xf numFmtId="3" fontId="20" fillId="11" borderId="4" xfId="0" applyNumberFormat="1" applyFont="1" applyFill="1" applyBorder="1" applyAlignment="1">
      <alignment horizontal="right" vertical="center" wrapText="1"/>
    </xf>
    <xf numFmtId="0" fontId="16" fillId="10" borderId="10" xfId="0" applyFont="1" applyFill="1" applyBorder="1" applyAlignment="1">
      <alignment horizontal="center" vertical="center" wrapText="1"/>
    </xf>
    <xf numFmtId="0" fontId="16" fillId="10" borderId="9" xfId="0" applyFont="1" applyFill="1" applyBorder="1" applyAlignment="1">
      <alignment horizontal="center" vertical="center" wrapText="1"/>
    </xf>
    <xf numFmtId="3" fontId="16" fillId="10" borderId="9" xfId="0" applyNumberFormat="1" applyFont="1" applyFill="1" applyBorder="1" applyAlignment="1">
      <alignment vertical="center"/>
    </xf>
    <xf numFmtId="3" fontId="16" fillId="10" borderId="9" xfId="0" applyNumberFormat="1" applyFont="1" applyFill="1" applyBorder="1" applyAlignment="1">
      <alignment horizontal="right" vertical="center" wrapText="1"/>
    </xf>
    <xf numFmtId="0" fontId="10" fillId="0" borderId="0" xfId="0" applyFont="1" applyAlignment="1">
      <alignment horizontal="left" vertical="center"/>
    </xf>
    <xf numFmtId="3" fontId="16" fillId="10" borderId="0" xfId="1" applyNumberFormat="1" applyFont="1" applyFill="1" applyAlignment="1">
      <alignment vertical="center" wrapText="1"/>
    </xf>
    <xf numFmtId="3" fontId="16" fillId="10" borderId="0" xfId="1" applyNumberFormat="1" applyFont="1" applyFill="1" applyAlignment="1">
      <alignment vertical="center"/>
    </xf>
    <xf numFmtId="3" fontId="17" fillId="0" borderId="0" xfId="0" applyNumberFormat="1" applyFont="1" applyAlignment="1">
      <alignment horizontal="right" vertical="center" wrapText="1"/>
    </xf>
    <xf numFmtId="0" fontId="17" fillId="0" borderId="32" xfId="0" applyFont="1" applyBorder="1" applyAlignment="1">
      <alignment horizontal="left" vertical="center" wrapText="1"/>
    </xf>
    <xf numFmtId="3" fontId="17" fillId="0" borderId="32" xfId="0" applyNumberFormat="1" applyFont="1" applyBorder="1" applyAlignment="1">
      <alignment horizontal="right" vertical="center"/>
    </xf>
    <xf numFmtId="0" fontId="17" fillId="8" borderId="33" xfId="0" applyFont="1" applyFill="1" applyBorder="1" applyAlignment="1">
      <alignment horizontal="left" vertical="center" wrapText="1"/>
    </xf>
    <xf numFmtId="3" fontId="17" fillId="8" borderId="33" xfId="0" applyNumberFormat="1" applyFont="1" applyFill="1" applyBorder="1" applyAlignment="1">
      <alignment horizontal="right" vertical="center" wrapText="1"/>
    </xf>
    <xf numFmtId="3" fontId="17" fillId="8" borderId="33" xfId="0" applyNumberFormat="1" applyFont="1" applyFill="1" applyBorder="1" applyAlignment="1">
      <alignment horizontal="right" vertical="center"/>
    </xf>
    <xf numFmtId="0" fontId="17" fillId="8" borderId="32" xfId="0" applyFont="1" applyFill="1" applyBorder="1" applyAlignment="1">
      <alignment horizontal="left" vertical="center"/>
    </xf>
    <xf numFmtId="3" fontId="17" fillId="8" borderId="32" xfId="0" applyNumberFormat="1" applyFont="1" applyFill="1" applyBorder="1" applyAlignment="1">
      <alignment horizontal="right" vertical="center"/>
    </xf>
    <xf numFmtId="166" fontId="16" fillId="10" borderId="0" xfId="0" applyNumberFormat="1" applyFont="1" applyFill="1" applyAlignment="1">
      <alignment vertical="center"/>
    </xf>
    <xf numFmtId="0" fontId="10" fillId="0" borderId="0" xfId="0" applyFont="1" applyAlignment="1">
      <alignment horizontal="left" vertical="center" wrapText="1"/>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5" fillId="0" borderId="0" xfId="0" applyFont="1" applyAlignment="1">
      <alignment vertical="center"/>
    </xf>
    <xf numFmtId="0" fontId="25" fillId="0" borderId="0" xfId="0" applyFont="1"/>
    <xf numFmtId="0" fontId="16" fillId="7" borderId="0" xfId="0" applyFont="1" applyFill="1" applyAlignment="1">
      <alignment horizontal="center" vertical="center"/>
    </xf>
    <xf numFmtId="0" fontId="18" fillId="2" borderId="0" xfId="0" applyFont="1" applyFill="1" applyAlignment="1">
      <alignment horizontal="left" vertical="center"/>
    </xf>
    <xf numFmtId="0" fontId="18" fillId="0" borderId="0" xfId="0" applyFont="1" applyAlignment="1">
      <alignment horizontal="left" vertical="center"/>
    </xf>
    <xf numFmtId="0" fontId="16" fillId="10" borderId="0" xfId="0" applyFont="1" applyFill="1" applyAlignment="1">
      <alignment horizontal="left" vertical="center"/>
    </xf>
    <xf numFmtId="0" fontId="16" fillId="10" borderId="0" xfId="0" applyFont="1" applyFill="1" applyAlignment="1">
      <alignment horizontal="center" vertical="center"/>
    </xf>
    <xf numFmtId="0" fontId="18" fillId="0" borderId="0" xfId="0" applyFont="1" applyAlignment="1">
      <alignment horizontal="center" vertical="center"/>
    </xf>
    <xf numFmtId="0" fontId="18" fillId="2" borderId="0" xfId="0" applyFont="1" applyFill="1" applyAlignment="1">
      <alignment horizontal="center" vertical="center"/>
    </xf>
    <xf numFmtId="0" fontId="18" fillId="2" borderId="0" xfId="0" applyFont="1" applyFill="1" applyAlignment="1">
      <alignment horizontal="center" vertical="center" wrapText="1"/>
    </xf>
    <xf numFmtId="0" fontId="22" fillId="0" borderId="0" xfId="0" applyFont="1" applyAlignment="1">
      <alignment horizontal="center" vertical="center" wrapText="1"/>
    </xf>
    <xf numFmtId="0" fontId="2" fillId="0" borderId="0" xfId="0" applyFont="1" applyAlignment="1">
      <alignment horizontal="center" vertical="center" wrapText="1"/>
    </xf>
    <xf numFmtId="0" fontId="18" fillId="5" borderId="18" xfId="0" applyFont="1" applyFill="1" applyBorder="1" applyAlignment="1">
      <alignment horizontal="left" vertical="center" wrapText="1"/>
    </xf>
    <xf numFmtId="0" fontId="18" fillId="5" borderId="21" xfId="0" applyFont="1" applyFill="1" applyBorder="1" applyAlignment="1">
      <alignment horizontal="left" vertical="center" wrapText="1"/>
    </xf>
    <xf numFmtId="0" fontId="18" fillId="5" borderId="22" xfId="0" applyFont="1" applyFill="1" applyBorder="1" applyAlignment="1">
      <alignment horizontal="left" vertical="center" wrapText="1"/>
    </xf>
    <xf numFmtId="0" fontId="10" fillId="0" borderId="19" xfId="0" applyFont="1" applyBorder="1" applyAlignment="1">
      <alignment horizontal="left" vertical="center"/>
    </xf>
    <xf numFmtId="0" fontId="16" fillId="9" borderId="0" xfId="0" applyFont="1" applyFill="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0" fillId="0" borderId="0" xfId="0" applyFont="1" applyAlignment="1">
      <alignment horizontal="left" vertical="center"/>
    </xf>
    <xf numFmtId="0" fontId="24" fillId="2" borderId="0" xfId="0" applyFont="1" applyFill="1" applyAlignment="1">
      <alignment horizontal="left" vertical="center"/>
    </xf>
    <xf numFmtId="0" fontId="24" fillId="0" borderId="0" xfId="0" applyFont="1" applyAlignment="1">
      <alignment horizontal="left" vertical="center"/>
    </xf>
    <xf numFmtId="0" fontId="23" fillId="9" borderId="0" xfId="0" applyFont="1" applyFill="1" applyAlignment="1">
      <alignment horizontal="center" vertical="center"/>
    </xf>
    <xf numFmtId="0" fontId="16" fillId="10" borderId="0" xfId="0" applyFont="1" applyFill="1" applyAlignment="1">
      <alignment horizontal="left" vertical="center" wrapText="1"/>
    </xf>
    <xf numFmtId="0" fontId="10" fillId="0" borderId="0" xfId="0" applyFont="1" applyAlignment="1">
      <alignment horizontal="left" vertical="center" wrapText="1"/>
    </xf>
    <xf numFmtId="0" fontId="18" fillId="3" borderId="0" xfId="0" applyFont="1" applyFill="1" applyAlignment="1">
      <alignment horizontal="center" vertical="center"/>
    </xf>
    <xf numFmtId="0" fontId="16" fillId="7" borderId="0" xfId="0" applyFont="1" applyFill="1" applyAlignment="1">
      <alignment horizontal="center" vertical="center" wrapText="1"/>
    </xf>
    <xf numFmtId="0" fontId="18" fillId="3" borderId="0" xfId="0" applyFont="1" applyFill="1" applyAlignment="1">
      <alignment horizontal="left" vertical="center"/>
    </xf>
    <xf numFmtId="0" fontId="18" fillId="5" borderId="0" xfId="0" applyFont="1" applyFill="1" applyAlignment="1">
      <alignment horizontal="left" vertical="center" wrapText="1"/>
    </xf>
    <xf numFmtId="3" fontId="16" fillId="9" borderId="0" xfId="0" applyNumberFormat="1" applyFont="1" applyFill="1" applyAlignment="1">
      <alignment horizontal="center" vertical="center"/>
    </xf>
    <xf numFmtId="0" fontId="16" fillId="9" borderId="30" xfId="0" applyFont="1" applyFill="1" applyBorder="1" applyAlignment="1">
      <alignment horizontal="center" vertical="center" wrapText="1"/>
    </xf>
    <xf numFmtId="0" fontId="16" fillId="9" borderId="0" xfId="0" applyFont="1" applyFill="1" applyAlignment="1">
      <alignment horizontal="center" vertical="center" wrapText="1"/>
    </xf>
    <xf numFmtId="0" fontId="20" fillId="0" borderId="6"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5" xfId="0" applyFont="1" applyBorder="1" applyAlignment="1">
      <alignment horizontal="center" vertical="center" wrapText="1"/>
    </xf>
    <xf numFmtId="0" fontId="17" fillId="0" borderId="0" xfId="0" applyFont="1" applyAlignment="1">
      <alignment horizontal="left" vertical="center"/>
    </xf>
    <xf numFmtId="0" fontId="17" fillId="0" borderId="32" xfId="0" applyFont="1" applyBorder="1" applyAlignment="1">
      <alignment horizontal="left" vertical="center"/>
    </xf>
    <xf numFmtId="0" fontId="17" fillId="8" borderId="33" xfId="0" applyFont="1" applyFill="1" applyBorder="1" applyAlignment="1">
      <alignment horizontal="left" vertical="center"/>
    </xf>
    <xf numFmtId="0" fontId="17" fillId="8" borderId="32" xfId="0" applyFont="1" applyFill="1" applyBorder="1" applyAlignment="1">
      <alignment horizontal="left" vertical="center"/>
    </xf>
    <xf numFmtId="3" fontId="16" fillId="10" borderId="0" xfId="1" applyNumberFormat="1" applyFont="1" applyFill="1" applyAlignment="1">
      <alignment horizontal="left" vertical="center" wrapText="1"/>
    </xf>
    <xf numFmtId="0" fontId="16" fillId="7" borderId="0" xfId="6" applyFont="1" applyFill="1" applyBorder="1" applyAlignment="1">
      <alignment horizontal="center" vertical="center"/>
    </xf>
    <xf numFmtId="0" fontId="18" fillId="5" borderId="0" xfId="0" applyFont="1" applyFill="1" applyAlignment="1">
      <alignment horizontal="left" vertical="center"/>
    </xf>
  </cellXfs>
  <cellStyles count="8">
    <cellStyle name="Comma 2" xfId="3" xr:uid="{00000000-0005-0000-0000-000000000000}"/>
    <cellStyle name="Comma 2 2" xfId="5" xr:uid="{ADA052A8-2D13-4CB7-B446-3F62D662100C}"/>
    <cellStyle name="Good" xfId="6" builtinId="26"/>
    <cellStyle name="Normal" xfId="0" builtinId="0"/>
    <cellStyle name="Normal 2" xfId="1" xr:uid="{00000000-0005-0000-0000-000003000000}"/>
    <cellStyle name="Normal 4" xfId="7" xr:uid="{ABC146DB-6376-4B16-92CA-6C58D80D6770}"/>
    <cellStyle name="Normal 5" xfId="4" xr:uid="{00000000-0005-0000-0000-00000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15</xdr:col>
      <xdr:colOff>66675</xdr:colOff>
      <xdr:row>26</xdr:row>
      <xdr:rowOff>30944</xdr:rowOff>
    </xdr:to>
    <xdr:sp macro="" textlink="">
      <xdr:nvSpPr>
        <xdr:cNvPr id="4" name="Subtitle 2">
          <a:extLst>
            <a:ext uri="{FF2B5EF4-FFF2-40B4-BE49-F238E27FC236}">
              <a16:creationId xmlns:a16="http://schemas.microsoft.com/office/drawing/2014/main" id="{00000000-0008-0000-0000-000004000000}"/>
            </a:ext>
          </a:extLst>
        </xdr:cNvPr>
        <xdr:cNvSpPr>
          <a:spLocks noGrp="1"/>
        </xdr:cNvSpPr>
      </xdr:nvSpPr>
      <xdr:spPr>
        <a:xfrm>
          <a:off x="0" y="30575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9525</xdr:colOff>
      <xdr:row>5</xdr:row>
      <xdr:rowOff>85726</xdr:rowOff>
    </xdr:from>
    <xdr:to>
      <xdr:col>8</xdr:col>
      <xdr:colOff>590325</xdr:colOff>
      <xdr:row>12</xdr:row>
      <xdr:rowOff>80043</xdr:rowOff>
    </xdr:to>
    <xdr:pic>
      <xdr:nvPicPr>
        <xdr:cNvPr id="5" name="Picture 4">
          <a:extLst>
            <a:ext uri="{FF2B5EF4-FFF2-40B4-BE49-F238E27FC236}">
              <a16:creationId xmlns:a16="http://schemas.microsoft.com/office/drawing/2014/main" id="{B6721AF0-A05B-413B-B203-93156DE63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14287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95249</xdr:rowOff>
    </xdr:from>
    <xdr:to>
      <xdr:col>14</xdr:col>
      <xdr:colOff>28574</xdr:colOff>
      <xdr:row>19</xdr:row>
      <xdr:rowOff>28575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95249"/>
          <a:ext cx="8562974" cy="3552826"/>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activeCell="C9" sqref="C9"/>
    </sheetView>
  </sheetViews>
  <sheetFormatPr defaultRowHeight="14.4" x14ac:dyDescent="0.3"/>
  <sheetData>
    <row r="1" spans="1:15" ht="45.75" customHeight="1" x14ac:dyDescent="0.3">
      <c r="A1" s="154" t="s">
        <v>70</v>
      </c>
      <c r="B1" s="155"/>
      <c r="C1" s="155"/>
      <c r="D1" s="155"/>
      <c r="E1" s="155"/>
      <c r="F1" s="155"/>
      <c r="G1" s="155"/>
      <c r="H1" s="155"/>
      <c r="I1" s="155"/>
      <c r="J1" s="155"/>
      <c r="K1" s="155"/>
      <c r="L1" s="155"/>
      <c r="M1" s="155"/>
      <c r="N1" s="155"/>
      <c r="O1" s="155"/>
    </row>
    <row r="2" spans="1:15" x14ac:dyDescent="0.3">
      <c r="A2" s="155"/>
      <c r="B2" s="155"/>
      <c r="C2" s="155"/>
      <c r="D2" s="155"/>
      <c r="E2" s="155"/>
      <c r="F2" s="155"/>
      <c r="G2" s="155"/>
      <c r="H2" s="155"/>
      <c r="I2" s="155"/>
      <c r="J2" s="155"/>
      <c r="K2" s="155"/>
      <c r="L2" s="155"/>
      <c r="M2" s="155"/>
      <c r="N2" s="155"/>
      <c r="O2" s="155"/>
    </row>
  </sheetData>
  <mergeCells count="1">
    <mergeCell ref="A1:O2"/>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D20" sqref="D20"/>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r:id="rId1"/>
  <headerFooter>
    <oddHeader>&amp;R&amp;G</oddHeader>
    <oddFooter>&amp;L&amp;F&amp;C&amp;P / &amp;N&amp;R&amp;A</oddFooter>
  </headerFooter>
  <colBreaks count="1" manualBreakCount="1">
    <brk id="14"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20"/>
  <sheetViews>
    <sheetView showGridLines="0" zoomScaleNormal="100" workbookViewId="0">
      <selection activeCell="C17" sqref="C17:H23"/>
    </sheetView>
  </sheetViews>
  <sheetFormatPr defaultRowHeight="15" customHeight="1" x14ac:dyDescent="0.3"/>
  <cols>
    <col min="1" max="1" width="21.44140625" style="12" customWidth="1"/>
    <col min="2" max="2" width="17.6640625" style="12" customWidth="1"/>
    <col min="3" max="3" width="13.109375" style="12" customWidth="1"/>
    <col min="4" max="4" width="11.44140625" style="12" customWidth="1"/>
    <col min="5" max="5" width="17.109375" style="12" customWidth="1"/>
    <col min="6" max="6" width="11.6640625" style="12" customWidth="1"/>
    <col min="7" max="7" width="15" style="12" customWidth="1"/>
    <col min="8" max="8" width="15.44140625" style="12" customWidth="1"/>
    <col min="9" max="16384" width="8.88671875" style="12"/>
  </cols>
  <sheetData>
    <row r="3" spans="1:8" ht="15" customHeight="1" x14ac:dyDescent="0.3">
      <c r="A3" s="160" t="s">
        <v>149</v>
      </c>
      <c r="B3" s="160"/>
      <c r="C3" s="160"/>
      <c r="D3" s="160"/>
      <c r="E3" s="160"/>
      <c r="F3" s="160"/>
      <c r="G3" s="160"/>
      <c r="H3" s="160"/>
    </row>
    <row r="4" spans="1:8" ht="40.799999999999997" x14ac:dyDescent="0.3">
      <c r="A4" s="88" t="s">
        <v>104</v>
      </c>
      <c r="B4" s="89" t="s">
        <v>48</v>
      </c>
      <c r="C4" s="89" t="s">
        <v>49</v>
      </c>
      <c r="D4" s="89" t="s">
        <v>60</v>
      </c>
      <c r="E4" s="90" t="s">
        <v>118</v>
      </c>
      <c r="F4" s="89" t="s">
        <v>100</v>
      </c>
      <c r="G4" s="89" t="s">
        <v>101</v>
      </c>
      <c r="H4" s="89" t="s">
        <v>102</v>
      </c>
    </row>
    <row r="5" spans="1:8" ht="15" customHeight="1" x14ac:dyDescent="0.3">
      <c r="A5" s="156" t="s">
        <v>71</v>
      </c>
      <c r="B5" s="50" t="s">
        <v>52</v>
      </c>
      <c r="C5" s="51">
        <v>132.99801276042601</v>
      </c>
      <c r="D5" s="51">
        <v>60.051703677885101</v>
      </c>
      <c r="E5" s="52">
        <v>945.631175728686</v>
      </c>
      <c r="F5" s="53">
        <v>451.523315510423</v>
      </c>
      <c r="G5" s="51">
        <v>63.504361128545028</v>
      </c>
      <c r="H5" s="52">
        <v>7.1101150769228756</v>
      </c>
    </row>
    <row r="6" spans="1:8" ht="15" customHeight="1" x14ac:dyDescent="0.3">
      <c r="A6" s="157"/>
      <c r="B6" s="10" t="s">
        <v>122</v>
      </c>
      <c r="C6" s="54">
        <v>969.76946917585201</v>
      </c>
      <c r="D6" s="54">
        <v>259.38175350957999</v>
      </c>
      <c r="E6" s="55">
        <v>2280.1291840041199</v>
      </c>
      <c r="F6" s="56">
        <v>267.46743608046637</v>
      </c>
      <c r="G6" s="54">
        <v>113.75748151869246</v>
      </c>
      <c r="H6" s="55">
        <v>2.3512074327745776</v>
      </c>
    </row>
    <row r="7" spans="1:8" ht="15" customHeight="1" x14ac:dyDescent="0.3">
      <c r="A7" s="157"/>
      <c r="B7" s="57" t="s">
        <v>50</v>
      </c>
      <c r="C7" s="58">
        <v>487.05690373301502</v>
      </c>
      <c r="D7" s="58">
        <v>33.537515177831999</v>
      </c>
      <c r="E7" s="59">
        <v>726.82186387915897</v>
      </c>
      <c r="F7" s="60">
        <v>68.857488561985178</v>
      </c>
      <c r="G7" s="58">
        <v>46.142688937337645</v>
      </c>
      <c r="H7" s="59">
        <v>1.492272993788778</v>
      </c>
    </row>
    <row r="8" spans="1:8" ht="15" customHeight="1" x14ac:dyDescent="0.3">
      <c r="A8" s="157"/>
      <c r="B8" s="10" t="s">
        <v>51</v>
      </c>
      <c r="C8" s="54">
        <v>223.527974812807</v>
      </c>
      <c r="D8" s="54">
        <v>83.403589596587295</v>
      </c>
      <c r="E8" s="55">
        <v>2367.6539303203499</v>
      </c>
      <c r="F8" s="56">
        <v>373.12372049374784</v>
      </c>
      <c r="G8" s="54">
        <v>35.226258588096343</v>
      </c>
      <c r="H8" s="55">
        <v>10.592204095720623</v>
      </c>
    </row>
    <row r="9" spans="1:8" ht="15" customHeight="1" x14ac:dyDescent="0.3">
      <c r="A9" s="158"/>
      <c r="B9" s="61" t="s">
        <v>53</v>
      </c>
      <c r="C9" s="62">
        <v>343.82337236152011</v>
      </c>
      <c r="D9" s="62">
        <v>91.557075398781535</v>
      </c>
      <c r="E9" s="63">
        <v>1214.5307405170042</v>
      </c>
      <c r="F9" s="64">
        <v>266.29101672155082</v>
      </c>
      <c r="G9" s="62">
        <v>75.384732839127082</v>
      </c>
      <c r="H9" s="65">
        <v>3.5324263507018396</v>
      </c>
    </row>
    <row r="10" spans="1:8" ht="15" customHeight="1" x14ac:dyDescent="0.3">
      <c r="B10" s="6" t="s">
        <v>1</v>
      </c>
      <c r="C10" s="66">
        <v>2157.1757328436202</v>
      </c>
      <c r="D10" s="66">
        <v>527.93163736066595</v>
      </c>
      <c r="E10" s="67">
        <v>7534.7668944493198</v>
      </c>
      <c r="F10" s="68">
        <v>244.73279080732976</v>
      </c>
      <c r="G10" s="66">
        <v>70.066087611758817</v>
      </c>
      <c r="H10" s="67">
        <v>3.4928850625057244</v>
      </c>
    </row>
    <row r="11" spans="1:8" ht="20.399999999999999" x14ac:dyDescent="0.3">
      <c r="B11" s="7" t="s">
        <v>54</v>
      </c>
      <c r="C11" s="8">
        <v>5.1669714437171055E-2</v>
      </c>
      <c r="D11" s="8">
        <v>2.3352455622158669E-2</v>
      </c>
      <c r="E11" s="9">
        <v>3.2317884145088425E-2</v>
      </c>
      <c r="F11" s="69"/>
      <c r="G11" s="70"/>
      <c r="H11" s="71"/>
    </row>
    <row r="12" spans="1:8" ht="15" customHeight="1" x14ac:dyDescent="0.3">
      <c r="A12" s="159" t="s">
        <v>109</v>
      </c>
      <c r="B12" s="159"/>
      <c r="C12" s="159"/>
      <c r="D12" s="159"/>
      <c r="E12" s="159"/>
      <c r="F12" s="1"/>
    </row>
    <row r="15" spans="1:8" ht="15" customHeight="1" x14ac:dyDescent="0.3">
      <c r="A15" s="160" t="s">
        <v>144</v>
      </c>
      <c r="B15" s="160"/>
      <c r="C15" s="160"/>
      <c r="D15" s="160"/>
      <c r="E15" s="160"/>
      <c r="F15" s="160"/>
      <c r="G15" s="160"/>
      <c r="H15" s="160"/>
    </row>
    <row r="16" spans="1:8" ht="40.799999999999997" x14ac:dyDescent="0.3">
      <c r="A16" s="88" t="s">
        <v>104</v>
      </c>
      <c r="B16" s="89" t="s">
        <v>48</v>
      </c>
      <c r="C16" s="89" t="s">
        <v>49</v>
      </c>
      <c r="D16" s="89" t="s">
        <v>60</v>
      </c>
      <c r="E16" s="90" t="s">
        <v>118</v>
      </c>
      <c r="F16" s="89" t="s">
        <v>100</v>
      </c>
      <c r="G16" s="89" t="s">
        <v>101</v>
      </c>
      <c r="H16" s="89" t="s">
        <v>102</v>
      </c>
    </row>
    <row r="17" spans="1:8" ht="15" customHeight="1" x14ac:dyDescent="0.3">
      <c r="A17" s="156" t="s">
        <v>71</v>
      </c>
      <c r="B17" s="50" t="s">
        <v>52</v>
      </c>
      <c r="C17" s="51">
        <v>108.901874255382</v>
      </c>
      <c r="D17" s="51">
        <v>56.152127335354997</v>
      </c>
      <c r="E17" s="52">
        <v>724.92317722140297</v>
      </c>
      <c r="F17" s="53">
        <v>515.6</v>
      </c>
      <c r="G17" s="51">
        <v>77.459417907678869</v>
      </c>
      <c r="H17" s="52">
        <v>6.6563887765658833</v>
      </c>
    </row>
    <row r="18" spans="1:8" ht="15" customHeight="1" x14ac:dyDescent="0.3">
      <c r="A18" s="157"/>
      <c r="B18" s="10" t="s">
        <v>122</v>
      </c>
      <c r="C18" s="54">
        <v>736.71503949192095</v>
      </c>
      <c r="D18" s="54">
        <v>162.131392737006</v>
      </c>
      <c r="E18" s="55">
        <v>1777.6686693408301</v>
      </c>
      <c r="F18" s="56">
        <v>220.1</v>
      </c>
      <c r="G18" s="54">
        <v>91.204505953927423</v>
      </c>
      <c r="H18" s="55">
        <v>2.4132579602063191</v>
      </c>
    </row>
    <row r="19" spans="1:8" ht="15" customHeight="1" x14ac:dyDescent="0.3">
      <c r="A19" s="157"/>
      <c r="B19" s="57" t="s">
        <v>50</v>
      </c>
      <c r="C19" s="58">
        <v>161.873865594791</v>
      </c>
      <c r="D19" s="58">
        <v>44.742762036587401</v>
      </c>
      <c r="E19" s="59">
        <v>775.462873365973</v>
      </c>
      <c r="F19" s="60">
        <v>276.39999999999998</v>
      </c>
      <c r="G19" s="58">
        <v>57.7</v>
      </c>
      <c r="H19" s="59">
        <v>4.7902946273830151</v>
      </c>
    </row>
    <row r="20" spans="1:8" ht="15" customHeight="1" x14ac:dyDescent="0.3">
      <c r="A20" s="157"/>
      <c r="B20" s="10" t="s">
        <v>51</v>
      </c>
      <c r="C20" s="54">
        <v>154.97145074260399</v>
      </c>
      <c r="D20" s="54">
        <v>59.115416423049503</v>
      </c>
      <c r="E20" s="55">
        <v>1573.57519938361</v>
      </c>
      <c r="F20" s="56">
        <v>381.5</v>
      </c>
      <c r="G20" s="54">
        <v>37.567582690808671</v>
      </c>
      <c r="H20" s="55">
        <v>10.155031883202277</v>
      </c>
    </row>
    <row r="21" spans="1:8" ht="15" customHeight="1" x14ac:dyDescent="0.3">
      <c r="A21" s="158"/>
      <c r="B21" s="61" t="s">
        <v>53</v>
      </c>
      <c r="C21" s="62">
        <v>281.35569363326204</v>
      </c>
      <c r="D21" s="62">
        <v>63.523581452934081</v>
      </c>
      <c r="E21" s="63">
        <v>894.0750682690641</v>
      </c>
      <c r="F21" s="64">
        <v>225.77677612501063</v>
      </c>
      <c r="G21" s="62">
        <v>71.049494284541666</v>
      </c>
      <c r="H21" s="65">
        <v>3.1777393829266591</v>
      </c>
    </row>
    <row r="22" spans="1:8" ht="15" customHeight="1" x14ac:dyDescent="0.3">
      <c r="B22" s="6" t="s">
        <v>1</v>
      </c>
      <c r="C22" s="66">
        <v>1443.81792371796</v>
      </c>
      <c r="D22" s="66">
        <v>385.665279984932</v>
      </c>
      <c r="E22" s="67">
        <v>5745.7049875808798</v>
      </c>
      <c r="F22" s="68">
        <v>267.11489977337965</v>
      </c>
      <c r="G22" s="66">
        <v>67.122360235781798</v>
      </c>
      <c r="H22" s="67">
        <v>3.9795218588124857</v>
      </c>
    </row>
    <row r="23" spans="1:8" ht="20.399999999999999" x14ac:dyDescent="0.3">
      <c r="B23" s="7" t="s">
        <v>54</v>
      </c>
      <c r="C23" s="8">
        <v>3.6686664176506609E-2</v>
      </c>
      <c r="D23" s="8">
        <v>1.8730847865887711E-2</v>
      </c>
      <c r="E23" s="9">
        <v>2.4869112213769532E-2</v>
      </c>
      <c r="F23" s="69"/>
      <c r="G23" s="70"/>
      <c r="H23" s="71"/>
    </row>
    <row r="24" spans="1:8" ht="15" customHeight="1" x14ac:dyDescent="0.3">
      <c r="A24" s="159" t="s">
        <v>109</v>
      </c>
      <c r="B24" s="159"/>
      <c r="C24" s="159"/>
      <c r="D24" s="159"/>
      <c r="E24" s="159"/>
      <c r="F24" s="1"/>
    </row>
    <row r="27" spans="1:8" ht="15" customHeight="1" x14ac:dyDescent="0.3">
      <c r="A27" s="160" t="s">
        <v>123</v>
      </c>
      <c r="B27" s="160"/>
      <c r="C27" s="160"/>
      <c r="D27" s="160"/>
      <c r="E27" s="160"/>
      <c r="F27" s="160"/>
      <c r="G27" s="160"/>
      <c r="H27" s="160"/>
    </row>
    <row r="28" spans="1:8" ht="40.799999999999997" x14ac:dyDescent="0.3">
      <c r="A28" s="88" t="s">
        <v>104</v>
      </c>
      <c r="B28" s="89" t="s">
        <v>48</v>
      </c>
      <c r="C28" s="89" t="s">
        <v>49</v>
      </c>
      <c r="D28" s="89" t="s">
        <v>60</v>
      </c>
      <c r="E28" s="90" t="s">
        <v>118</v>
      </c>
      <c r="F28" s="89" t="s">
        <v>100</v>
      </c>
      <c r="G28" s="89" t="s">
        <v>101</v>
      </c>
      <c r="H28" s="89" t="s">
        <v>102</v>
      </c>
    </row>
    <row r="29" spans="1:8" ht="15" customHeight="1" x14ac:dyDescent="0.3">
      <c r="A29" s="156" t="s">
        <v>71</v>
      </c>
      <c r="B29" s="50" t="s">
        <v>52</v>
      </c>
      <c r="C29" s="51">
        <v>155.77787184932799</v>
      </c>
      <c r="D29" s="51">
        <v>56.424847734314497</v>
      </c>
      <c r="E29" s="52">
        <v>1086.8689596234501</v>
      </c>
      <c r="F29" s="53">
        <v>362.21349710625094</v>
      </c>
      <c r="G29" s="51">
        <v>51.915042043212921</v>
      </c>
      <c r="H29" s="52">
        <v>6.9770433163619998</v>
      </c>
    </row>
    <row r="30" spans="1:8" ht="15" customHeight="1" x14ac:dyDescent="0.3">
      <c r="A30" s="157"/>
      <c r="B30" s="10" t="s">
        <v>122</v>
      </c>
      <c r="C30" s="54">
        <v>519.14848393778402</v>
      </c>
      <c r="D30" s="54">
        <v>94.159316856470994</v>
      </c>
      <c r="E30" s="55">
        <v>1212.0136272618499</v>
      </c>
      <c r="F30" s="56">
        <v>181.37261259488773</v>
      </c>
      <c r="G30" s="54">
        <v>77.688331829398081</v>
      </c>
      <c r="H30" s="55">
        <v>2.334618446862498</v>
      </c>
    </row>
    <row r="31" spans="1:8" ht="15" customHeight="1" x14ac:dyDescent="0.3">
      <c r="A31" s="157"/>
      <c r="B31" s="57" t="s">
        <v>50</v>
      </c>
      <c r="C31" s="58">
        <v>148.79532785350901</v>
      </c>
      <c r="D31" s="58">
        <v>37.431249064279598</v>
      </c>
      <c r="E31" s="59">
        <v>663.70716238787395</v>
      </c>
      <c r="F31" s="60">
        <v>251.56199192713336</v>
      </c>
      <c r="G31" s="58">
        <v>56.397235385572927</v>
      </c>
      <c r="H31" s="59">
        <v>4.4605376523737519</v>
      </c>
    </row>
    <row r="32" spans="1:8" ht="15" customHeight="1" x14ac:dyDescent="0.3">
      <c r="A32" s="157"/>
      <c r="B32" s="10" t="s">
        <v>51</v>
      </c>
      <c r="C32" s="54">
        <v>173.18680246060299</v>
      </c>
      <c r="D32" s="54">
        <v>44.034629093326799</v>
      </c>
      <c r="E32" s="55">
        <v>1236.4539934844399</v>
      </c>
      <c r="F32" s="56">
        <v>254.26088170513984</v>
      </c>
      <c r="G32" s="54">
        <v>35.613641369084185</v>
      </c>
      <c r="H32" s="55">
        <v>7.139423881711263</v>
      </c>
    </row>
    <row r="33" spans="1:8" ht="15" customHeight="1" x14ac:dyDescent="0.3">
      <c r="A33" s="158"/>
      <c r="B33" s="61" t="s">
        <v>53</v>
      </c>
      <c r="C33" s="62">
        <v>284.26815498117605</v>
      </c>
      <c r="D33" s="62">
        <v>93.896375110214137</v>
      </c>
      <c r="E33" s="63">
        <v>1636.422424311877</v>
      </c>
      <c r="F33" s="64">
        <v>330.3091586760109</v>
      </c>
      <c r="G33" s="62">
        <v>57.37905672473169</v>
      </c>
      <c r="H33" s="65">
        <v>5.7566153494057017</v>
      </c>
    </row>
    <row r="34" spans="1:8" ht="15" customHeight="1" x14ac:dyDescent="0.3">
      <c r="B34" s="6" t="s">
        <v>1</v>
      </c>
      <c r="C34" s="66">
        <v>1281.1766410824</v>
      </c>
      <c r="D34" s="66">
        <v>325.94641785860603</v>
      </c>
      <c r="E34" s="67">
        <v>5835.4661670694904</v>
      </c>
      <c r="F34" s="68">
        <v>254.41177071666772</v>
      </c>
      <c r="G34" s="66">
        <v>55.856106183594392</v>
      </c>
      <c r="H34" s="67">
        <v>4.5547709659609517</v>
      </c>
    </row>
    <row r="35" spans="1:8" ht="20.399999999999999" x14ac:dyDescent="0.3">
      <c r="B35" s="7" t="s">
        <v>54</v>
      </c>
      <c r="C35" s="8">
        <v>3.5454717321091463E-2</v>
      </c>
      <c r="D35" s="8">
        <v>1.6506745903160824E-2</v>
      </c>
      <c r="E35" s="9">
        <v>2.5601139972918147E-2</v>
      </c>
      <c r="F35" s="69"/>
      <c r="G35" s="70"/>
      <c r="H35" s="71"/>
    </row>
    <row r="36" spans="1:8" ht="15" customHeight="1" x14ac:dyDescent="0.3">
      <c r="A36" s="159" t="s">
        <v>109</v>
      </c>
      <c r="B36" s="159"/>
      <c r="C36" s="159"/>
      <c r="D36" s="159"/>
      <c r="E36" s="159"/>
      <c r="F36" s="1"/>
    </row>
    <row r="39" spans="1:8" ht="15" customHeight="1" x14ac:dyDescent="0.3">
      <c r="A39" s="160" t="s">
        <v>121</v>
      </c>
      <c r="B39" s="160"/>
      <c r="C39" s="160"/>
      <c r="D39" s="160"/>
      <c r="E39" s="160"/>
      <c r="F39" s="160"/>
      <c r="G39" s="160"/>
      <c r="H39" s="160"/>
    </row>
    <row r="40" spans="1:8" ht="40.799999999999997" x14ac:dyDescent="0.3">
      <c r="A40" s="88" t="s">
        <v>104</v>
      </c>
      <c r="B40" s="89" t="s">
        <v>48</v>
      </c>
      <c r="C40" s="89" t="s">
        <v>49</v>
      </c>
      <c r="D40" s="89" t="s">
        <v>60</v>
      </c>
      <c r="E40" s="90" t="s">
        <v>118</v>
      </c>
      <c r="F40" s="89" t="s">
        <v>100</v>
      </c>
      <c r="G40" s="89" t="s">
        <v>101</v>
      </c>
      <c r="H40" s="89" t="s">
        <v>102</v>
      </c>
    </row>
    <row r="41" spans="1:8" ht="15" customHeight="1" x14ac:dyDescent="0.3">
      <c r="A41" s="156" t="s">
        <v>71</v>
      </c>
      <c r="B41" s="50" t="s">
        <v>52</v>
      </c>
      <c r="C41" s="51">
        <v>324.838104559984</v>
      </c>
      <c r="D41" s="51">
        <v>144.20506330897101</v>
      </c>
      <c r="E41" s="52">
        <v>2480.9669362104</v>
      </c>
      <c r="F41" s="53">
        <v>443.92902582751759</v>
      </c>
      <c r="G41" s="51">
        <v>58.12454055886765</v>
      </c>
      <c r="H41" s="52">
        <v>7.6375489863513506</v>
      </c>
    </row>
    <row r="42" spans="1:8" ht="15" customHeight="1" x14ac:dyDescent="0.3">
      <c r="A42" s="157"/>
      <c r="B42" s="10" t="s">
        <v>122</v>
      </c>
      <c r="C42" s="54">
        <v>283.39514661483599</v>
      </c>
      <c r="D42" s="54">
        <v>73.241476349947703</v>
      </c>
      <c r="E42" s="55">
        <v>798.78918231975297</v>
      </c>
      <c r="F42" s="56">
        <v>258.44294521208093</v>
      </c>
      <c r="G42" s="54">
        <v>91.690621219040693</v>
      </c>
      <c r="H42" s="55">
        <v>2.8186410101277843</v>
      </c>
    </row>
    <row r="43" spans="1:8" ht="15" customHeight="1" x14ac:dyDescent="0.3">
      <c r="A43" s="157"/>
      <c r="B43" s="57" t="s">
        <v>50</v>
      </c>
      <c r="C43" s="58">
        <v>150.878818050896</v>
      </c>
      <c r="D43" s="58">
        <v>39.500291959840197</v>
      </c>
      <c r="E43" s="59">
        <v>635.02086177138403</v>
      </c>
      <c r="F43" s="60">
        <v>261.80144085245649</v>
      </c>
      <c r="G43" s="58">
        <v>62.203140617545294</v>
      </c>
      <c r="H43" s="59">
        <v>4.2088138678099414</v>
      </c>
    </row>
    <row r="44" spans="1:8" ht="15" customHeight="1" x14ac:dyDescent="0.3">
      <c r="A44" s="157"/>
      <c r="B44" s="10" t="s">
        <v>51</v>
      </c>
      <c r="C44" s="54">
        <v>90.474834366998195</v>
      </c>
      <c r="D44" s="54">
        <v>34.501912622731197</v>
      </c>
      <c r="E44" s="55">
        <v>679.14152382939506</v>
      </c>
      <c r="F44" s="56">
        <v>381.34264477102147</v>
      </c>
      <c r="G44" s="54">
        <v>50.802242849456974</v>
      </c>
      <c r="H44" s="55">
        <v>7.5064135632960083</v>
      </c>
    </row>
    <row r="45" spans="1:8" ht="15" customHeight="1" x14ac:dyDescent="0.3">
      <c r="A45" s="158"/>
      <c r="B45" s="61" t="s">
        <v>53</v>
      </c>
      <c r="C45" s="62">
        <v>246.19847992893574</v>
      </c>
      <c r="D45" s="62">
        <v>75.086997155797917</v>
      </c>
      <c r="E45" s="63">
        <v>1297.2798395685977</v>
      </c>
      <c r="F45" s="64">
        <v>304.98562451511276</v>
      </c>
      <c r="G45" s="62">
        <v>57.880339203272925</v>
      </c>
      <c r="H45" s="65">
        <v>5.2692439041177375</v>
      </c>
    </row>
    <row r="46" spans="1:8" ht="15" customHeight="1" x14ac:dyDescent="0.3">
      <c r="B46" s="6" t="s">
        <v>1</v>
      </c>
      <c r="C46" s="66">
        <v>1095.7853835216499</v>
      </c>
      <c r="D46" s="66">
        <v>366.53574139728801</v>
      </c>
      <c r="E46" s="67">
        <v>5891.1983436995297</v>
      </c>
      <c r="F46" s="68">
        <v>334.4959212900892</v>
      </c>
      <c r="G46" s="66">
        <v>62.217518408506415</v>
      </c>
      <c r="H46" s="67">
        <v>5.3762337336224704</v>
      </c>
    </row>
    <row r="47" spans="1:8" ht="20.399999999999999" x14ac:dyDescent="0.3">
      <c r="B47" s="7" t="s">
        <v>54</v>
      </c>
      <c r="C47" s="8">
        <v>3.4934661326157655E-2</v>
      </c>
      <c r="D47" s="8">
        <v>2.1239281945342928E-2</v>
      </c>
      <c r="E47" s="9">
        <v>2.715477330540372E-2</v>
      </c>
      <c r="F47" s="69"/>
      <c r="G47" s="70"/>
      <c r="H47" s="71"/>
    </row>
    <row r="48" spans="1:8" ht="15" customHeight="1" x14ac:dyDescent="0.3">
      <c r="A48" s="159" t="s">
        <v>109</v>
      </c>
      <c r="B48" s="159"/>
      <c r="C48" s="159"/>
      <c r="D48" s="159"/>
      <c r="E48" s="159"/>
      <c r="F48" s="1"/>
    </row>
    <row r="51" spans="1:8" ht="15" customHeight="1" x14ac:dyDescent="0.3">
      <c r="A51" s="160" t="s">
        <v>117</v>
      </c>
      <c r="B51" s="160"/>
      <c r="C51" s="160"/>
      <c r="D51" s="160"/>
      <c r="E51" s="160"/>
      <c r="F51" s="160"/>
      <c r="G51" s="160"/>
      <c r="H51" s="160"/>
    </row>
    <row r="52" spans="1:8" ht="40.799999999999997" x14ac:dyDescent="0.3">
      <c r="A52" s="88" t="s">
        <v>104</v>
      </c>
      <c r="B52" s="89" t="s">
        <v>48</v>
      </c>
      <c r="C52" s="89" t="s">
        <v>49</v>
      </c>
      <c r="D52" s="89" t="s">
        <v>60</v>
      </c>
      <c r="E52" s="90" t="s">
        <v>118</v>
      </c>
      <c r="F52" s="89" t="s">
        <v>100</v>
      </c>
      <c r="G52" s="89" t="s">
        <v>101</v>
      </c>
      <c r="H52" s="89" t="s">
        <v>102</v>
      </c>
    </row>
    <row r="53" spans="1:8" ht="15" customHeight="1" x14ac:dyDescent="0.3">
      <c r="A53" s="156" t="s">
        <v>71</v>
      </c>
      <c r="B53" s="50" t="s">
        <v>122</v>
      </c>
      <c r="C53" s="51">
        <v>65.455303092481799</v>
      </c>
      <c r="D53" s="51">
        <v>17.853505839429701</v>
      </c>
      <c r="E53" s="52">
        <v>313.67487067243798</v>
      </c>
      <c r="F53" s="53">
        <f>D53/C53*1000</f>
        <v>272.75873758012369</v>
      </c>
      <c r="G53" s="51">
        <f>D53/E53*1000</f>
        <v>56.917233443521923</v>
      </c>
      <c r="H53" s="52">
        <f>F53/G53</f>
        <v>4.7921994987823489</v>
      </c>
    </row>
    <row r="54" spans="1:8" ht="15" customHeight="1" x14ac:dyDescent="0.3">
      <c r="A54" s="157"/>
      <c r="B54" s="10" t="s">
        <v>50</v>
      </c>
      <c r="C54" s="54">
        <v>55.839814388651497</v>
      </c>
      <c r="D54" s="54">
        <v>12.78823567695</v>
      </c>
      <c r="E54" s="55">
        <v>258.64715863400301</v>
      </c>
      <c r="F54" s="56">
        <f t="shared" ref="F54:F58" si="0">D54/C54*1000</f>
        <v>229.01644314113253</v>
      </c>
      <c r="G54" s="54">
        <f t="shared" ref="G54:G58" si="1">D54/E54*1000</f>
        <v>49.442784310829836</v>
      </c>
      <c r="H54" s="55">
        <f t="shared" ref="H54:H58" si="2">F54/G54</f>
        <v>4.63194875315647</v>
      </c>
    </row>
    <row r="55" spans="1:8" ht="15" customHeight="1" x14ac:dyDescent="0.3">
      <c r="A55" s="157"/>
      <c r="B55" s="57" t="s">
        <v>51</v>
      </c>
      <c r="C55" s="58">
        <v>50.395291791802599</v>
      </c>
      <c r="D55" s="58">
        <v>36.130381837624</v>
      </c>
      <c r="E55" s="59">
        <v>690.52362701129005</v>
      </c>
      <c r="F55" s="60">
        <f t="shared" si="0"/>
        <v>716.93962973543182</v>
      </c>
      <c r="G55" s="58">
        <f t="shared" si="1"/>
        <v>52.323165239113919</v>
      </c>
      <c r="H55" s="59">
        <f t="shared" si="2"/>
        <v>13.702145626302578</v>
      </c>
    </row>
    <row r="56" spans="1:8" ht="15" customHeight="1" x14ac:dyDescent="0.3">
      <c r="A56" s="157"/>
      <c r="B56" s="10" t="s">
        <v>52</v>
      </c>
      <c r="C56" s="54">
        <v>57.388276706099099</v>
      </c>
      <c r="D56" s="54">
        <v>26.046119213135601</v>
      </c>
      <c r="E56" s="55">
        <v>391.06698656484002</v>
      </c>
      <c r="F56" s="56">
        <f t="shared" si="0"/>
        <v>453.85783836174113</v>
      </c>
      <c r="G56" s="54">
        <f t="shared" si="1"/>
        <v>66.602705183392104</v>
      </c>
      <c r="H56" s="55">
        <f t="shared" si="2"/>
        <v>6.8144054676462913</v>
      </c>
    </row>
    <row r="57" spans="1:8" ht="15" customHeight="1" x14ac:dyDescent="0.3">
      <c r="A57" s="158"/>
      <c r="B57" s="61" t="s">
        <v>53</v>
      </c>
      <c r="C57" s="62">
        <f>C58-SUM(C53:C56)</f>
        <v>104.01028548438796</v>
      </c>
      <c r="D57" s="62">
        <f>D58-SUM(D53:D56)</f>
        <v>41.332924348839697</v>
      </c>
      <c r="E57" s="63">
        <f>E58-SUM(E53:E56)</f>
        <v>884.72251878157886</v>
      </c>
      <c r="F57" s="64">
        <f t="shared" si="0"/>
        <v>397.39266320006209</v>
      </c>
      <c r="G57" s="62">
        <f t="shared" si="1"/>
        <v>46.71851735588524</v>
      </c>
      <c r="H57" s="65">
        <f t="shared" si="2"/>
        <v>8.5061060515440694</v>
      </c>
    </row>
    <row r="58" spans="1:8" ht="15" customHeight="1" x14ac:dyDescent="0.3">
      <c r="B58" s="6" t="s">
        <v>1</v>
      </c>
      <c r="C58" s="66">
        <v>333.08897146342298</v>
      </c>
      <c r="D58" s="66">
        <v>134.15116691597899</v>
      </c>
      <c r="E58" s="67">
        <v>2538.63516166415</v>
      </c>
      <c r="F58" s="68">
        <f t="shared" si="0"/>
        <v>402.74875006094379</v>
      </c>
      <c r="G58" s="66">
        <f t="shared" si="1"/>
        <v>52.843815031711351</v>
      </c>
      <c r="H58" s="67">
        <f t="shared" si="2"/>
        <v>7.6214926916093386</v>
      </c>
    </row>
    <row r="59" spans="1:8" ht="20.399999999999999" x14ac:dyDescent="0.3">
      <c r="B59" s="7" t="s">
        <v>54</v>
      </c>
      <c r="C59" s="8">
        <v>2.0340219579342501E-2</v>
      </c>
      <c r="D59" s="8">
        <v>1.2988546565641284E-2</v>
      </c>
      <c r="E59" s="9">
        <v>1.9326157349598371E-2</v>
      </c>
      <c r="F59" s="69"/>
      <c r="G59" s="70"/>
      <c r="H59" s="71"/>
    </row>
    <row r="60" spans="1:8" ht="15" customHeight="1" x14ac:dyDescent="0.3">
      <c r="A60" s="159" t="s">
        <v>109</v>
      </c>
      <c r="B60" s="159"/>
      <c r="C60" s="159"/>
      <c r="D60" s="159"/>
      <c r="E60" s="159"/>
      <c r="F60" s="1"/>
    </row>
    <row r="63" spans="1:8" ht="15" customHeight="1" x14ac:dyDescent="0.3">
      <c r="A63" s="160" t="s">
        <v>98</v>
      </c>
      <c r="B63" s="160"/>
      <c r="C63" s="160"/>
      <c r="D63" s="160"/>
      <c r="E63" s="160"/>
      <c r="F63" s="160"/>
      <c r="G63" s="160"/>
      <c r="H63" s="160"/>
    </row>
    <row r="64" spans="1:8" ht="40.799999999999997" x14ac:dyDescent="0.3">
      <c r="A64" s="88" t="s">
        <v>104</v>
      </c>
      <c r="B64" s="89" t="s">
        <v>48</v>
      </c>
      <c r="C64" s="89" t="s">
        <v>49</v>
      </c>
      <c r="D64" s="89" t="s">
        <v>60</v>
      </c>
      <c r="E64" s="90" t="s">
        <v>118</v>
      </c>
      <c r="F64" s="89" t="s">
        <v>100</v>
      </c>
      <c r="G64" s="89" t="s">
        <v>101</v>
      </c>
      <c r="H64" s="89" t="s">
        <v>102</v>
      </c>
    </row>
    <row r="65" spans="1:8" ht="15" customHeight="1" x14ac:dyDescent="0.3">
      <c r="A65" s="156" t="s">
        <v>71</v>
      </c>
      <c r="B65" s="50" t="s">
        <v>122</v>
      </c>
      <c r="C65" s="51">
        <v>123.101</v>
      </c>
      <c r="D65" s="51">
        <v>21.946657999999999</v>
      </c>
      <c r="E65" s="52">
        <v>318.79000000000002</v>
      </c>
      <c r="F65" s="53">
        <f>D65/C65*1000</f>
        <v>178.2817198885468</v>
      </c>
      <c r="G65" s="51">
        <f>D65/E65*1000</f>
        <v>68.843621192634643</v>
      </c>
      <c r="H65" s="52">
        <f>F65/G65</f>
        <v>2.5896621473424264</v>
      </c>
    </row>
    <row r="66" spans="1:8" ht="15" customHeight="1" x14ac:dyDescent="0.3">
      <c r="A66" s="157"/>
      <c r="B66" s="10" t="s">
        <v>50</v>
      </c>
      <c r="C66" s="54">
        <v>316.42700000000002</v>
      </c>
      <c r="D66" s="54">
        <v>17.653360500000002</v>
      </c>
      <c r="E66" s="55">
        <v>629.54</v>
      </c>
      <c r="F66" s="56">
        <f t="shared" ref="F66:F70" si="3">D66/C66*1000</f>
        <v>55.789678188018087</v>
      </c>
      <c r="G66" s="54">
        <f t="shared" ref="G66:G70" si="4">D66/E66*1000</f>
        <v>28.041682021793694</v>
      </c>
      <c r="H66" s="55">
        <f t="shared" ref="H66:H70" si="5">F66/G66</f>
        <v>1.989526810291157</v>
      </c>
    </row>
    <row r="67" spans="1:8" ht="15" customHeight="1" x14ac:dyDescent="0.3">
      <c r="A67" s="157"/>
      <c r="B67" s="57" t="s">
        <v>51</v>
      </c>
      <c r="C67" s="58">
        <v>32.999000000000002</v>
      </c>
      <c r="D67" s="58">
        <v>20.267762499999996</v>
      </c>
      <c r="E67" s="59">
        <v>657.61500000000001</v>
      </c>
      <c r="F67" s="60">
        <f t="shared" si="3"/>
        <v>614.19323312827646</v>
      </c>
      <c r="G67" s="58">
        <f t="shared" si="4"/>
        <v>30.820103708096678</v>
      </c>
      <c r="H67" s="59">
        <f t="shared" si="5"/>
        <v>19.928331161550346</v>
      </c>
    </row>
    <row r="68" spans="1:8" ht="15" customHeight="1" x14ac:dyDescent="0.3">
      <c r="A68" s="157"/>
      <c r="B68" s="10" t="s">
        <v>52</v>
      </c>
      <c r="C68" s="54">
        <v>58.249000000000002</v>
      </c>
      <c r="D68" s="54">
        <v>11.318683</v>
      </c>
      <c r="E68" s="55">
        <v>210.59100000000001</v>
      </c>
      <c r="F68" s="56">
        <f t="shared" si="3"/>
        <v>194.31549039468487</v>
      </c>
      <c r="G68" s="54">
        <f t="shared" si="4"/>
        <v>53.747230413455462</v>
      </c>
      <c r="H68" s="55">
        <f t="shared" si="5"/>
        <v>3.6153582035743104</v>
      </c>
    </row>
    <row r="69" spans="1:8" ht="15" customHeight="1" x14ac:dyDescent="0.3">
      <c r="A69" s="158"/>
      <c r="B69" s="61" t="s">
        <v>53</v>
      </c>
      <c r="C69" s="62">
        <f>C70-SUM(C65:C68)</f>
        <v>71.049999999999955</v>
      </c>
      <c r="D69" s="62">
        <f>D70-SUM(D65:D68)</f>
        <v>20.076438399999986</v>
      </c>
      <c r="E69" s="63">
        <f>E70-SUM(E65:E68)</f>
        <v>535.05899999999974</v>
      </c>
      <c r="F69" s="64">
        <f t="shared" si="3"/>
        <v>282.56774665728358</v>
      </c>
      <c r="G69" s="62">
        <f t="shared" si="4"/>
        <v>37.521915153282151</v>
      </c>
      <c r="H69" s="65">
        <f t="shared" si="5"/>
        <v>7.5307389162561593</v>
      </c>
    </row>
    <row r="70" spans="1:8" ht="15" customHeight="1" x14ac:dyDescent="0.3">
      <c r="B70" s="6" t="s">
        <v>1</v>
      </c>
      <c r="C70" s="66">
        <v>601.82600000000002</v>
      </c>
      <c r="D70" s="66">
        <v>91.262902399999987</v>
      </c>
      <c r="E70" s="67">
        <v>2351.5949999999998</v>
      </c>
      <c r="F70" s="68">
        <f t="shared" si="3"/>
        <v>151.64333611376043</v>
      </c>
      <c r="G70" s="66">
        <f t="shared" si="4"/>
        <v>38.808937083128683</v>
      </c>
      <c r="H70" s="67">
        <f t="shared" si="5"/>
        <v>3.9074333777537023</v>
      </c>
    </row>
    <row r="71" spans="1:8" ht="20.399999999999999" x14ac:dyDescent="0.3">
      <c r="B71" s="7" t="s">
        <v>54</v>
      </c>
      <c r="C71" s="8">
        <v>7.2617663163681442E-2</v>
      </c>
      <c r="D71" s="8">
        <v>2.1175023178954054E-2</v>
      </c>
      <c r="E71" s="9">
        <v>3.6713058347112339E-2</v>
      </c>
      <c r="F71" s="69"/>
      <c r="G71" s="70"/>
      <c r="H71" s="71"/>
    </row>
    <row r="72" spans="1:8" ht="15" customHeight="1" x14ac:dyDescent="0.3">
      <c r="A72" s="159" t="s">
        <v>109</v>
      </c>
      <c r="B72" s="159"/>
      <c r="C72" s="159"/>
      <c r="D72" s="159"/>
      <c r="E72" s="159"/>
      <c r="F72" s="1"/>
    </row>
    <row r="75" spans="1:8" ht="15" customHeight="1" x14ac:dyDescent="0.3">
      <c r="A75" s="160" t="s">
        <v>96</v>
      </c>
      <c r="B75" s="160"/>
      <c r="C75" s="160"/>
      <c r="D75" s="160"/>
      <c r="E75" s="160"/>
      <c r="F75" s="160"/>
      <c r="G75" s="160"/>
      <c r="H75" s="160"/>
    </row>
    <row r="76" spans="1:8" ht="40.799999999999997" x14ac:dyDescent="0.3">
      <c r="A76" s="88" t="s">
        <v>104</v>
      </c>
      <c r="B76" s="89" t="s">
        <v>48</v>
      </c>
      <c r="C76" s="89" t="s">
        <v>49</v>
      </c>
      <c r="D76" s="89" t="s">
        <v>60</v>
      </c>
      <c r="E76" s="90" t="s">
        <v>118</v>
      </c>
      <c r="F76" s="89" t="s">
        <v>100</v>
      </c>
      <c r="G76" s="89" t="s">
        <v>101</v>
      </c>
      <c r="H76" s="89" t="s">
        <v>102</v>
      </c>
    </row>
    <row r="77" spans="1:8" ht="15" customHeight="1" x14ac:dyDescent="0.3">
      <c r="A77" s="156" t="s">
        <v>71</v>
      </c>
      <c r="B77" s="50" t="s">
        <v>122</v>
      </c>
      <c r="C77" s="51">
        <v>523.38300000000004</v>
      </c>
      <c r="D77" s="51">
        <v>90.14799600000002</v>
      </c>
      <c r="E77" s="52">
        <v>1257.979</v>
      </c>
      <c r="F77" s="53">
        <f>D77/C77*1000</f>
        <v>172.24097076137363</v>
      </c>
      <c r="G77" s="51">
        <f>D77/E77*1000</f>
        <v>71.660970493148156</v>
      </c>
      <c r="H77" s="52">
        <f>F77/G77</f>
        <v>2.403553420726313</v>
      </c>
    </row>
    <row r="78" spans="1:8" ht="15" customHeight="1" x14ac:dyDescent="0.3">
      <c r="A78" s="157"/>
      <c r="B78" s="10" t="s">
        <v>50</v>
      </c>
      <c r="C78" s="54">
        <v>2196.9490000000001</v>
      </c>
      <c r="D78" s="54">
        <v>100.447141</v>
      </c>
      <c r="E78" s="55">
        <v>3165.43</v>
      </c>
      <c r="F78" s="56">
        <f t="shared" ref="F78:F82" si="6">D78/C78*1000</f>
        <v>45.721198352806553</v>
      </c>
      <c r="G78" s="54">
        <f t="shared" ref="G78:G82" si="7">D78/E78*1000</f>
        <v>31.732542182262762</v>
      </c>
      <c r="H78" s="55">
        <f t="shared" ref="H78:H82" si="8">F78/G78</f>
        <v>1.4408299874052606</v>
      </c>
    </row>
    <row r="79" spans="1:8" ht="15" customHeight="1" x14ac:dyDescent="0.3">
      <c r="A79" s="157"/>
      <c r="B79" s="57" t="s">
        <v>51</v>
      </c>
      <c r="C79" s="58">
        <v>119.039</v>
      </c>
      <c r="D79" s="58">
        <v>36.696216499999998</v>
      </c>
      <c r="E79" s="59">
        <v>758.60699999999997</v>
      </c>
      <c r="F79" s="60">
        <f t="shared" si="6"/>
        <v>308.27053738690677</v>
      </c>
      <c r="G79" s="58">
        <f t="shared" si="7"/>
        <v>48.373158301992994</v>
      </c>
      <c r="H79" s="59">
        <f t="shared" si="8"/>
        <v>6.3727601878375983</v>
      </c>
    </row>
    <row r="80" spans="1:8" ht="15" customHeight="1" x14ac:dyDescent="0.3">
      <c r="A80" s="157"/>
      <c r="B80" s="10" t="s">
        <v>52</v>
      </c>
      <c r="C80" s="54">
        <v>310.09699999999998</v>
      </c>
      <c r="D80" s="54">
        <v>49.626417899999993</v>
      </c>
      <c r="E80" s="55">
        <v>1252.1220000000001</v>
      </c>
      <c r="F80" s="56">
        <f t="shared" si="6"/>
        <v>160.03514351960837</v>
      </c>
      <c r="G80" s="54">
        <f t="shared" si="7"/>
        <v>39.633851893026396</v>
      </c>
      <c r="H80" s="55">
        <f t="shared" si="8"/>
        <v>4.0378397727162794</v>
      </c>
    </row>
    <row r="81" spans="1:8" ht="15" customHeight="1" x14ac:dyDescent="0.3">
      <c r="A81" s="158"/>
      <c r="B81" s="61" t="s">
        <v>53</v>
      </c>
      <c r="C81" s="62">
        <f>C82-SUM(C77:C80)</f>
        <v>683.58799999999928</v>
      </c>
      <c r="D81" s="62">
        <f>D82-SUM(D77:D80)</f>
        <v>162.90133039999995</v>
      </c>
      <c r="E81" s="63">
        <f>E82-SUM(E77:E80)</f>
        <v>3736.4190000000008</v>
      </c>
      <c r="F81" s="64">
        <f t="shared" si="6"/>
        <v>238.30337922842432</v>
      </c>
      <c r="G81" s="62">
        <f t="shared" si="7"/>
        <v>43.598250196244024</v>
      </c>
      <c r="H81" s="65">
        <f t="shared" si="8"/>
        <v>5.4658931988273718</v>
      </c>
    </row>
    <row r="82" spans="1:8" ht="15" customHeight="1" x14ac:dyDescent="0.3">
      <c r="B82" s="6" t="s">
        <v>1</v>
      </c>
      <c r="C82" s="66">
        <v>3833.056</v>
      </c>
      <c r="D82" s="66">
        <v>439.81910179999994</v>
      </c>
      <c r="E82" s="67">
        <v>10170.557000000001</v>
      </c>
      <c r="F82" s="68">
        <f t="shared" si="6"/>
        <v>114.74371931951944</v>
      </c>
      <c r="G82" s="66">
        <f t="shared" si="7"/>
        <v>43.244347561298746</v>
      </c>
      <c r="H82" s="67">
        <f t="shared" si="8"/>
        <v>2.6533807489376624</v>
      </c>
    </row>
    <row r="83" spans="1:8" ht="20.399999999999999" x14ac:dyDescent="0.3">
      <c r="B83" s="7" t="s">
        <v>54</v>
      </c>
      <c r="C83" s="8">
        <v>0.10460522624418089</v>
      </c>
      <c r="D83" s="8">
        <v>2.4876764724926732E-2</v>
      </c>
      <c r="E83" s="9">
        <v>4.3751162573999677E-2</v>
      </c>
      <c r="F83" s="69"/>
      <c r="G83" s="70"/>
      <c r="H83" s="71"/>
    </row>
    <row r="84" spans="1:8" ht="15" customHeight="1" x14ac:dyDescent="0.3">
      <c r="A84" s="159" t="s">
        <v>109</v>
      </c>
      <c r="B84" s="159"/>
      <c r="C84" s="159"/>
      <c r="D84" s="159"/>
      <c r="E84" s="159"/>
      <c r="F84" s="1"/>
    </row>
    <row r="87" spans="1:8" ht="15" customHeight="1" x14ac:dyDescent="0.3">
      <c r="A87" s="160" t="s">
        <v>91</v>
      </c>
      <c r="B87" s="160"/>
      <c r="C87" s="160"/>
      <c r="D87" s="160"/>
      <c r="E87" s="160"/>
      <c r="F87" s="160"/>
      <c r="G87" s="160"/>
      <c r="H87" s="160"/>
    </row>
    <row r="88" spans="1:8" ht="40.799999999999997" x14ac:dyDescent="0.3">
      <c r="A88" s="88" t="s">
        <v>104</v>
      </c>
      <c r="B88" s="89" t="s">
        <v>48</v>
      </c>
      <c r="C88" s="89" t="s">
        <v>49</v>
      </c>
      <c r="D88" s="89" t="s">
        <v>60</v>
      </c>
      <c r="E88" s="90" t="s">
        <v>118</v>
      </c>
      <c r="F88" s="89" t="s">
        <v>100</v>
      </c>
      <c r="G88" s="89" t="s">
        <v>101</v>
      </c>
      <c r="H88" s="89" t="s">
        <v>102</v>
      </c>
    </row>
    <row r="89" spans="1:8" ht="15" customHeight="1" x14ac:dyDescent="0.3">
      <c r="A89" s="156" t="s">
        <v>71</v>
      </c>
      <c r="B89" s="50" t="s">
        <v>122</v>
      </c>
      <c r="C89" s="51">
        <v>429.476</v>
      </c>
      <c r="D89" s="51">
        <v>87.148731599999991</v>
      </c>
      <c r="E89" s="52">
        <v>1025.4480000000001</v>
      </c>
      <c r="F89" s="53">
        <f>D89/C89*1000</f>
        <v>202.91874656558224</v>
      </c>
      <c r="G89" s="51">
        <f>D89/E89*1000</f>
        <v>84.986007676644732</v>
      </c>
      <c r="H89" s="52">
        <f>F89/G89</f>
        <v>2.3876724194134251</v>
      </c>
    </row>
    <row r="90" spans="1:8" ht="15" customHeight="1" x14ac:dyDescent="0.3">
      <c r="A90" s="157"/>
      <c r="B90" s="10" t="s">
        <v>50</v>
      </c>
      <c r="C90" s="54">
        <v>875.05</v>
      </c>
      <c r="D90" s="54">
        <v>58.139515299999992</v>
      </c>
      <c r="E90" s="55">
        <v>1902.9639999999999</v>
      </c>
      <c r="F90" s="56">
        <f t="shared" ref="F90:F94" si="9">D90/C90*1000</f>
        <v>66.44136369350322</v>
      </c>
      <c r="G90" s="54">
        <f t="shared" ref="G90:G94" si="10">D90/E90*1000</f>
        <v>30.552083644251805</v>
      </c>
      <c r="H90" s="55">
        <f t="shared" ref="H90:H94" si="11">F90/G90</f>
        <v>2.1746917319010342</v>
      </c>
    </row>
    <row r="91" spans="1:8" ht="15" customHeight="1" x14ac:dyDescent="0.3">
      <c r="A91" s="157"/>
      <c r="B91" s="57" t="s">
        <v>51</v>
      </c>
      <c r="C91" s="58">
        <v>118.46599999999999</v>
      </c>
      <c r="D91" s="58">
        <v>43.316096999999999</v>
      </c>
      <c r="E91" s="59">
        <v>785.14400000000001</v>
      </c>
      <c r="F91" s="60">
        <f t="shared" si="9"/>
        <v>365.64159336856147</v>
      </c>
      <c r="G91" s="58">
        <f t="shared" si="10"/>
        <v>55.169621114088621</v>
      </c>
      <c r="H91" s="59">
        <f t="shared" si="11"/>
        <v>6.6275893505309549</v>
      </c>
    </row>
    <row r="92" spans="1:8" ht="15" customHeight="1" x14ac:dyDescent="0.3">
      <c r="A92" s="157"/>
      <c r="B92" s="10" t="s">
        <v>52</v>
      </c>
      <c r="C92" s="54">
        <v>127.3</v>
      </c>
      <c r="D92" s="54">
        <v>29.168864299999996</v>
      </c>
      <c r="E92" s="55">
        <v>575.54899999999998</v>
      </c>
      <c r="F92" s="56">
        <f t="shared" si="9"/>
        <v>229.13483346425764</v>
      </c>
      <c r="G92" s="54">
        <f t="shared" si="10"/>
        <v>50.680071201583182</v>
      </c>
      <c r="H92" s="55">
        <f t="shared" si="11"/>
        <v>4.5212018853102904</v>
      </c>
    </row>
    <row r="93" spans="1:8" ht="15" customHeight="1" x14ac:dyDescent="0.3">
      <c r="A93" s="158"/>
      <c r="B93" s="61" t="s">
        <v>53</v>
      </c>
      <c r="C93" s="62">
        <f>C94-SUM(C89:C92)</f>
        <v>379.6080000000004</v>
      </c>
      <c r="D93" s="62">
        <f>D94-SUM(D89:D92)</f>
        <v>103.85889650000001</v>
      </c>
      <c r="E93" s="63">
        <f>E94-SUM(E89:E92)</f>
        <v>2177.4459999999999</v>
      </c>
      <c r="F93" s="64">
        <f t="shared" si="9"/>
        <v>273.59512049271854</v>
      </c>
      <c r="G93" s="62">
        <f t="shared" si="10"/>
        <v>47.697576197067583</v>
      </c>
      <c r="H93" s="65">
        <f t="shared" si="11"/>
        <v>5.7360382289098162</v>
      </c>
    </row>
    <row r="94" spans="1:8" ht="15" customHeight="1" x14ac:dyDescent="0.3">
      <c r="B94" s="6" t="s">
        <v>1</v>
      </c>
      <c r="C94" s="66">
        <v>1929.9</v>
      </c>
      <c r="D94" s="66">
        <v>321.63210470000001</v>
      </c>
      <c r="E94" s="67">
        <v>6466.5510000000004</v>
      </c>
      <c r="F94" s="68">
        <f t="shared" si="9"/>
        <v>166.65739401005234</v>
      </c>
      <c r="G94" s="66">
        <f t="shared" si="10"/>
        <v>49.737813047480799</v>
      </c>
      <c r="H94" s="67">
        <f t="shared" si="11"/>
        <v>3.3507181719260064</v>
      </c>
    </row>
    <row r="95" spans="1:8" ht="20.399999999999999" x14ac:dyDescent="0.3">
      <c r="B95" s="7" t="s">
        <v>54</v>
      </c>
      <c r="C95" s="8">
        <v>5.5407442225202386E-2</v>
      </c>
      <c r="D95" s="8">
        <v>2.0547389662122943E-2</v>
      </c>
      <c r="E95" s="9">
        <v>2.8485502843525884E-2</v>
      </c>
      <c r="F95" s="69"/>
      <c r="G95" s="70"/>
      <c r="H95" s="71"/>
    </row>
    <row r="96" spans="1:8" ht="15" customHeight="1" x14ac:dyDescent="0.3">
      <c r="A96" s="159" t="s">
        <v>109</v>
      </c>
      <c r="B96" s="159"/>
      <c r="C96" s="159"/>
      <c r="D96" s="159"/>
      <c r="E96" s="159"/>
      <c r="F96" s="1"/>
    </row>
    <row r="99" spans="1:8" ht="15" customHeight="1" x14ac:dyDescent="0.3">
      <c r="A99" s="160" t="s">
        <v>69</v>
      </c>
      <c r="B99" s="160"/>
      <c r="C99" s="160"/>
      <c r="D99" s="160"/>
      <c r="E99" s="160"/>
      <c r="F99" s="160"/>
      <c r="G99" s="160"/>
      <c r="H99" s="160"/>
    </row>
    <row r="100" spans="1:8" ht="40.799999999999997" x14ac:dyDescent="0.3">
      <c r="A100" s="88" t="s">
        <v>104</v>
      </c>
      <c r="B100" s="89" t="s">
        <v>48</v>
      </c>
      <c r="C100" s="89" t="s">
        <v>49</v>
      </c>
      <c r="D100" s="89" t="s">
        <v>60</v>
      </c>
      <c r="E100" s="90" t="s">
        <v>118</v>
      </c>
      <c r="F100" s="89" t="s">
        <v>100</v>
      </c>
      <c r="G100" s="89" t="s">
        <v>101</v>
      </c>
      <c r="H100" s="89" t="s">
        <v>102</v>
      </c>
    </row>
    <row r="101" spans="1:8" ht="15" customHeight="1" x14ac:dyDescent="0.3">
      <c r="A101" s="156" t="s">
        <v>71</v>
      </c>
      <c r="B101" s="72" t="s">
        <v>122</v>
      </c>
      <c r="C101" s="51">
        <v>448.62599999999998</v>
      </c>
      <c r="D101" s="51">
        <v>99.986616499999982</v>
      </c>
      <c r="E101" s="52">
        <v>1233.443</v>
      </c>
      <c r="F101" s="53">
        <f>D101/C101*1000</f>
        <v>222.87298663028889</v>
      </c>
      <c r="G101" s="51">
        <f>D101/E101*1000</f>
        <v>81.063021558353313</v>
      </c>
      <c r="H101" s="52">
        <f>F101/G101</f>
        <v>2.7493792156495611</v>
      </c>
    </row>
    <row r="102" spans="1:8" ht="15" customHeight="1" x14ac:dyDescent="0.3">
      <c r="A102" s="157"/>
      <c r="B102" s="10" t="s">
        <v>50</v>
      </c>
      <c r="C102" s="54">
        <v>418.29399999999998</v>
      </c>
      <c r="D102" s="54">
        <v>29.493215200000002</v>
      </c>
      <c r="E102" s="55">
        <v>853.63199999999995</v>
      </c>
      <c r="F102" s="56">
        <f t="shared" ref="F102:F106" si="12">D102/C102*1000</f>
        <v>70.508339110769001</v>
      </c>
      <c r="G102" s="54">
        <f t="shared" ref="G102:G106" si="13">D102/E102*1000</f>
        <v>34.550268968361081</v>
      </c>
      <c r="H102" s="55">
        <f t="shared" ref="H102:H106" si="14">F102/G102</f>
        <v>2.0407464606233896</v>
      </c>
    </row>
    <row r="103" spans="1:8" ht="15" customHeight="1" x14ac:dyDescent="0.3">
      <c r="A103" s="157"/>
      <c r="B103" s="57" t="s">
        <v>51</v>
      </c>
      <c r="C103" s="58">
        <v>99.938000000000002</v>
      </c>
      <c r="D103" s="58">
        <v>53.30220940000001</v>
      </c>
      <c r="E103" s="59">
        <v>1159.5039999999999</v>
      </c>
      <c r="F103" s="60">
        <f t="shared" si="12"/>
        <v>533.35277271908592</v>
      </c>
      <c r="G103" s="58">
        <f t="shared" si="13"/>
        <v>45.969836585298552</v>
      </c>
      <c r="H103" s="59">
        <f t="shared" si="14"/>
        <v>11.602233384698513</v>
      </c>
    </row>
    <row r="104" spans="1:8" ht="15" customHeight="1" x14ac:dyDescent="0.3">
      <c r="A104" s="157"/>
      <c r="B104" s="10" t="s">
        <v>52</v>
      </c>
      <c r="C104" s="54">
        <v>74.442999999999998</v>
      </c>
      <c r="D104" s="54">
        <v>15.675473099999998</v>
      </c>
      <c r="E104" s="55">
        <v>331.34</v>
      </c>
      <c r="F104" s="56">
        <f t="shared" si="12"/>
        <v>210.57014225649152</v>
      </c>
      <c r="G104" s="54">
        <f t="shared" si="13"/>
        <v>47.309329087945912</v>
      </c>
      <c r="H104" s="55">
        <f t="shared" si="14"/>
        <v>4.4509221820721896</v>
      </c>
    </row>
    <row r="105" spans="1:8" ht="15" customHeight="1" x14ac:dyDescent="0.3">
      <c r="A105" s="158"/>
      <c r="B105" s="61" t="s">
        <v>53</v>
      </c>
      <c r="C105" s="62">
        <v>308.04100000000017</v>
      </c>
      <c r="D105" s="62">
        <v>83.553326899999945</v>
      </c>
      <c r="E105" s="63">
        <v>1842.63</v>
      </c>
      <c r="F105" s="64">
        <f t="shared" si="12"/>
        <v>271.24092864261547</v>
      </c>
      <c r="G105" s="62">
        <f t="shared" si="13"/>
        <v>45.344603582922204</v>
      </c>
      <c r="H105" s="65">
        <f t="shared" si="14"/>
        <v>5.9817686606652991</v>
      </c>
    </row>
    <row r="106" spans="1:8" ht="15" customHeight="1" x14ac:dyDescent="0.3">
      <c r="B106" s="6" t="s">
        <v>1</v>
      </c>
      <c r="C106" s="66">
        <f>SUM(C101:C105)</f>
        <v>1349.3420000000001</v>
      </c>
      <c r="D106" s="66">
        <f>SUM(D101:D105)</f>
        <v>282.01084109999994</v>
      </c>
      <c r="E106" s="67">
        <f>SUM(E101:E105)</f>
        <v>5420.549</v>
      </c>
      <c r="F106" s="68">
        <f t="shared" si="12"/>
        <v>208.99878689020272</v>
      </c>
      <c r="G106" s="66">
        <f t="shared" si="13"/>
        <v>52.026250680512241</v>
      </c>
      <c r="H106" s="67">
        <f t="shared" si="14"/>
        <v>4.0171794845191204</v>
      </c>
    </row>
    <row r="107" spans="1:8" ht="20.399999999999999" x14ac:dyDescent="0.3">
      <c r="B107" s="7" t="s">
        <v>54</v>
      </c>
      <c r="C107" s="8">
        <v>4.2999999999999997E-2</v>
      </c>
      <c r="D107" s="8">
        <v>0.02</v>
      </c>
      <c r="E107" s="9">
        <v>2.8433451351810576E-2</v>
      </c>
      <c r="F107" s="69"/>
      <c r="G107" s="70"/>
      <c r="H107" s="71"/>
    </row>
    <row r="108" spans="1:8" ht="15" customHeight="1" x14ac:dyDescent="0.3">
      <c r="A108" s="159" t="s">
        <v>109</v>
      </c>
      <c r="B108" s="159"/>
      <c r="C108" s="159"/>
      <c r="D108" s="159"/>
      <c r="E108" s="159"/>
      <c r="F108" s="1"/>
    </row>
    <row r="111" spans="1:8" ht="15" customHeight="1" x14ac:dyDescent="0.3">
      <c r="A111" s="160" t="s">
        <v>55</v>
      </c>
      <c r="B111" s="160"/>
      <c r="C111" s="160"/>
      <c r="D111" s="160"/>
      <c r="E111" s="160"/>
      <c r="F111" s="160"/>
      <c r="G111" s="160"/>
      <c r="H111" s="160"/>
    </row>
    <row r="112" spans="1:8" ht="40.799999999999997" x14ac:dyDescent="0.3">
      <c r="A112" s="88" t="s">
        <v>104</v>
      </c>
      <c r="B112" s="89" t="s">
        <v>48</v>
      </c>
      <c r="C112" s="89" t="s">
        <v>49</v>
      </c>
      <c r="D112" s="89" t="s">
        <v>60</v>
      </c>
      <c r="E112" s="90" t="s">
        <v>118</v>
      </c>
      <c r="F112" s="89" t="s">
        <v>100</v>
      </c>
      <c r="G112" s="89" t="s">
        <v>101</v>
      </c>
      <c r="H112" s="89" t="s">
        <v>102</v>
      </c>
    </row>
    <row r="113" spans="1:8" ht="15" customHeight="1" x14ac:dyDescent="0.3">
      <c r="A113" s="156" t="s">
        <v>71</v>
      </c>
      <c r="B113" s="50" t="s">
        <v>50</v>
      </c>
      <c r="C113" s="51">
        <v>535.702</v>
      </c>
      <c r="D113" s="51">
        <v>53.841791000000015</v>
      </c>
      <c r="E113" s="52">
        <v>1386.9290000000001</v>
      </c>
      <c r="F113" s="53">
        <f>D113/C113*1000</f>
        <v>100.50698149344228</v>
      </c>
      <c r="G113" s="51">
        <f>D113/E113*1000</f>
        <v>38.8208704266765</v>
      </c>
      <c r="H113" s="52">
        <f>F113/G113</f>
        <v>2.588993507584441</v>
      </c>
    </row>
    <row r="114" spans="1:8" ht="15" customHeight="1" x14ac:dyDescent="0.3">
      <c r="A114" s="157"/>
      <c r="B114" s="10" t="s">
        <v>122</v>
      </c>
      <c r="C114" s="54">
        <v>359.77499999999998</v>
      </c>
      <c r="D114" s="54">
        <v>80.413194500000003</v>
      </c>
      <c r="E114" s="55">
        <v>919.255</v>
      </c>
      <c r="F114" s="56">
        <f t="shared" ref="F114:F118" si="15">D114/C114*1000</f>
        <v>223.50967827114172</v>
      </c>
      <c r="G114" s="54">
        <f t="shared" ref="G114:G118" si="16">D114/E114*1000</f>
        <v>87.476483130361004</v>
      </c>
      <c r="H114" s="55">
        <f t="shared" ref="H114:H118" si="17">F114/G114</f>
        <v>2.5550830380098675</v>
      </c>
    </row>
    <row r="115" spans="1:8" ht="15" customHeight="1" x14ac:dyDescent="0.3">
      <c r="A115" s="157"/>
      <c r="B115" s="57" t="s">
        <v>51</v>
      </c>
      <c r="C115" s="58">
        <v>115.577</v>
      </c>
      <c r="D115" s="58">
        <v>48.959108599999986</v>
      </c>
      <c r="E115" s="59">
        <v>1063.5340000000001</v>
      </c>
      <c r="F115" s="60">
        <f t="shared" si="15"/>
        <v>423.60598215907999</v>
      </c>
      <c r="G115" s="58">
        <f t="shared" si="16"/>
        <v>46.034361477865282</v>
      </c>
      <c r="H115" s="59">
        <f t="shared" si="17"/>
        <v>9.2019519454562779</v>
      </c>
    </row>
    <row r="116" spans="1:8" ht="15" customHeight="1" x14ac:dyDescent="0.3">
      <c r="A116" s="157"/>
      <c r="B116" s="10" t="s">
        <v>52</v>
      </c>
      <c r="C116" s="54">
        <v>96.119</v>
      </c>
      <c r="D116" s="54">
        <v>35.396619899999997</v>
      </c>
      <c r="E116" s="55">
        <v>495.32100000000003</v>
      </c>
      <c r="F116" s="56">
        <f t="shared" si="15"/>
        <v>368.25830376928599</v>
      </c>
      <c r="G116" s="54">
        <f t="shared" si="16"/>
        <v>71.461981018369897</v>
      </c>
      <c r="H116" s="55">
        <f t="shared" si="17"/>
        <v>5.1532059218260704</v>
      </c>
    </row>
    <row r="117" spans="1:8" ht="15" customHeight="1" x14ac:dyDescent="0.3">
      <c r="A117" s="158"/>
      <c r="B117" s="61" t="s">
        <v>53</v>
      </c>
      <c r="C117" s="62">
        <v>255.96599999999989</v>
      </c>
      <c r="D117" s="62">
        <v>69.740447099999955</v>
      </c>
      <c r="E117" s="63">
        <v>1548.7419999999997</v>
      </c>
      <c r="F117" s="64">
        <f t="shared" si="15"/>
        <v>272.45980755256551</v>
      </c>
      <c r="G117" s="62">
        <f t="shared" si="16"/>
        <v>45.030384079465769</v>
      </c>
      <c r="H117" s="65">
        <f t="shared" si="17"/>
        <v>6.050577029761766</v>
      </c>
    </row>
    <row r="118" spans="1:8" ht="15" customHeight="1" x14ac:dyDescent="0.3">
      <c r="B118" s="6" t="s">
        <v>1</v>
      </c>
      <c r="C118" s="66">
        <f>SUM(C113:C117)</f>
        <v>1363.1389999999999</v>
      </c>
      <c r="D118" s="66">
        <f>SUM(D113:D117)</f>
        <v>288.35116109999996</v>
      </c>
      <c r="E118" s="67">
        <f>SUM(E113:E117)</f>
        <v>5413.7809999999999</v>
      </c>
      <c r="F118" s="68">
        <f t="shared" si="15"/>
        <v>211.53467188599254</v>
      </c>
      <c r="G118" s="66">
        <f t="shared" si="16"/>
        <v>53.262435458693282</v>
      </c>
      <c r="H118" s="67">
        <f t="shared" si="17"/>
        <v>3.9715546250235669</v>
      </c>
    </row>
    <row r="119" spans="1:8" ht="20.399999999999999" x14ac:dyDescent="0.3">
      <c r="B119" s="7" t="s">
        <v>54</v>
      </c>
      <c r="C119" s="8">
        <v>4.8038700231404496E-2</v>
      </c>
      <c r="D119" s="8">
        <v>2.2617061768549017E-2</v>
      </c>
      <c r="E119" s="9">
        <v>2.8433451351810576E-2</v>
      </c>
      <c r="F119" s="69"/>
      <c r="G119" s="70"/>
      <c r="H119" s="71"/>
    </row>
    <row r="120" spans="1:8" ht="15" customHeight="1" x14ac:dyDescent="0.3">
      <c r="A120" s="159" t="s">
        <v>109</v>
      </c>
      <c r="B120" s="159"/>
      <c r="C120" s="159"/>
      <c r="D120" s="159"/>
      <c r="E120" s="159"/>
      <c r="F120" s="1"/>
    </row>
  </sheetData>
  <mergeCells count="30">
    <mergeCell ref="A3:H3"/>
    <mergeCell ref="A5:A9"/>
    <mergeCell ref="A12:E12"/>
    <mergeCell ref="A39:H39"/>
    <mergeCell ref="A41:A45"/>
    <mergeCell ref="A15:H15"/>
    <mergeCell ref="A17:A21"/>
    <mergeCell ref="A24:E24"/>
    <mergeCell ref="A27:H27"/>
    <mergeCell ref="A29:A33"/>
    <mergeCell ref="A36:E36"/>
    <mergeCell ref="A120:E120"/>
    <mergeCell ref="A99:H99"/>
    <mergeCell ref="A101:A105"/>
    <mergeCell ref="A108:E108"/>
    <mergeCell ref="A87:H87"/>
    <mergeCell ref="A89:A93"/>
    <mergeCell ref="A96:E96"/>
    <mergeCell ref="A111:H111"/>
    <mergeCell ref="A113:A117"/>
    <mergeCell ref="A77:A81"/>
    <mergeCell ref="A84:E84"/>
    <mergeCell ref="A48:E48"/>
    <mergeCell ref="A72:E72"/>
    <mergeCell ref="A75:H75"/>
    <mergeCell ref="A51:H51"/>
    <mergeCell ref="A53:A57"/>
    <mergeCell ref="A60:E60"/>
    <mergeCell ref="A63:H63"/>
    <mergeCell ref="A65:A69"/>
  </mergeCells>
  <pageMargins left="0.70866141732283472" right="0.70866141732283472" top="0.74803149606299213" bottom="0.74803149606299213" header="0.31496062992125984" footer="0.31496062992125984"/>
  <pageSetup paperSize="9" scale="93"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activeCell="A4" sqref="A4:XFD4"/>
      <selection pane="topRight" activeCell="Q5" sqref="Q5:Q10"/>
    </sheetView>
  </sheetViews>
  <sheetFormatPr defaultRowHeight="15" customHeight="1" x14ac:dyDescent="0.3"/>
  <cols>
    <col min="1" max="1" width="45.109375" style="12" bestFit="1" customWidth="1"/>
    <col min="2" max="2" width="10.5546875" style="12" customWidth="1"/>
    <col min="3" max="16384" width="8.88671875" style="12"/>
  </cols>
  <sheetData>
    <row r="3" spans="1:17" ht="15" customHeight="1" x14ac:dyDescent="0.3">
      <c r="A3" s="160" t="s">
        <v>150</v>
      </c>
      <c r="B3" s="160"/>
      <c r="C3" s="160"/>
      <c r="D3" s="160"/>
      <c r="E3" s="160"/>
      <c r="F3" s="160"/>
      <c r="G3" s="160"/>
      <c r="H3" s="160"/>
      <c r="I3" s="160"/>
      <c r="J3" s="160"/>
      <c r="K3" s="160"/>
      <c r="L3" s="160"/>
      <c r="M3" s="160"/>
      <c r="N3" s="160"/>
      <c r="O3" s="160"/>
      <c r="P3" s="160"/>
      <c r="Q3" s="160"/>
    </row>
    <row r="4" spans="1:17" ht="15" customHeight="1" x14ac:dyDescent="0.3">
      <c r="A4" s="106"/>
      <c r="B4" s="105">
        <v>2010</v>
      </c>
      <c r="C4" s="105">
        <v>2011</v>
      </c>
      <c r="D4" s="105">
        <v>2012</v>
      </c>
      <c r="E4" s="105">
        <v>2013</v>
      </c>
      <c r="F4" s="105">
        <v>2014</v>
      </c>
      <c r="G4" s="105">
        <v>2015</v>
      </c>
      <c r="H4" s="105">
        <v>2016</v>
      </c>
      <c r="I4" s="105">
        <v>2017</v>
      </c>
      <c r="J4" s="105">
        <v>2018</v>
      </c>
      <c r="K4" s="105">
        <v>2019</v>
      </c>
      <c r="L4" s="105">
        <v>2020</v>
      </c>
      <c r="M4" s="105">
        <v>2021</v>
      </c>
      <c r="N4" s="105">
        <v>2022</v>
      </c>
      <c r="O4" s="105">
        <v>2023</v>
      </c>
      <c r="P4" s="105">
        <v>2024</v>
      </c>
      <c r="Q4" s="105">
        <v>2025</v>
      </c>
    </row>
    <row r="5" spans="1:17" ht="15" customHeight="1" x14ac:dyDescent="0.3">
      <c r="A5" s="40" t="s">
        <v>94</v>
      </c>
      <c r="B5" s="41">
        <v>15.420522500000002</v>
      </c>
      <c r="C5" s="41">
        <v>12.951082500000009</v>
      </c>
      <c r="D5" s="41">
        <v>10.129499999999995</v>
      </c>
      <c r="E5" s="41">
        <v>9.0398899999999998</v>
      </c>
      <c r="F5" s="41">
        <v>12.290587499999997</v>
      </c>
      <c r="G5" s="41">
        <v>16.728290000000005</v>
      </c>
      <c r="H5" s="42">
        <v>16.440837500000004</v>
      </c>
      <c r="I5" s="42">
        <v>14.918702500000006</v>
      </c>
      <c r="J5" s="42">
        <f>17127.985/1000</f>
        <v>17.127984999999999</v>
      </c>
      <c r="K5" s="42">
        <v>18.323417499999987</v>
      </c>
      <c r="L5" s="42">
        <v>14.137550000000001</v>
      </c>
      <c r="M5" s="42">
        <v>11.897882804189633</v>
      </c>
      <c r="N5" s="42">
        <v>17.867711175287699</v>
      </c>
      <c r="O5" s="42">
        <v>15.102730510943831</v>
      </c>
      <c r="P5" s="42">
        <v>16.78294516278191</v>
      </c>
      <c r="Q5" s="42">
        <v>18.224484807917094</v>
      </c>
    </row>
    <row r="6" spans="1:17" ht="15" customHeight="1" x14ac:dyDescent="0.3">
      <c r="A6" s="43" t="s">
        <v>72</v>
      </c>
      <c r="B6" s="44">
        <f t="shared" ref="B6:J6" si="0">B7-B5</f>
        <v>210.18376750000843</v>
      </c>
      <c r="C6" s="44">
        <f t="shared" si="0"/>
        <v>193.36081500000034</v>
      </c>
      <c r="D6" s="44">
        <f t="shared" si="0"/>
        <v>187.94124000000235</v>
      </c>
      <c r="E6" s="44">
        <f t="shared" si="0"/>
        <v>178.3654625000006</v>
      </c>
      <c r="F6" s="44">
        <f t="shared" si="0"/>
        <v>182.69986500000061</v>
      </c>
      <c r="G6" s="44">
        <f t="shared" si="0"/>
        <v>181.17265250000105</v>
      </c>
      <c r="H6" s="44">
        <f t="shared" si="0"/>
        <v>184.22033500000057</v>
      </c>
      <c r="I6" s="44">
        <f t="shared" si="0"/>
        <v>190.85900999999711</v>
      </c>
      <c r="J6" s="44">
        <f t="shared" si="0"/>
        <v>196.23787749999715</v>
      </c>
      <c r="K6" s="44">
        <v>196.32381250000145</v>
      </c>
      <c r="L6" s="44">
        <v>189.45590750000176</v>
      </c>
      <c r="M6" s="44">
        <v>188.40752909149361</v>
      </c>
      <c r="N6" s="44">
        <f>N7-N5</f>
        <v>195.7496326274692</v>
      </c>
      <c r="O6" s="44">
        <f>O7-O5</f>
        <v>207.36435387021814</v>
      </c>
      <c r="P6" s="44">
        <v>208.94628097251552</v>
      </c>
      <c r="Q6" s="44">
        <v>205.74133897851007</v>
      </c>
    </row>
    <row r="7" spans="1:17" ht="15" customHeight="1" x14ac:dyDescent="0.3">
      <c r="A7" s="40" t="s">
        <v>73</v>
      </c>
      <c r="B7" s="41">
        <v>225.60429000000843</v>
      </c>
      <c r="C7" s="41">
        <v>206.31189750000036</v>
      </c>
      <c r="D7" s="41">
        <v>198.07074000000236</v>
      </c>
      <c r="E7" s="41">
        <v>187.40535250000059</v>
      </c>
      <c r="F7" s="41">
        <v>194.9904525000006</v>
      </c>
      <c r="G7" s="41">
        <v>197.90094250000107</v>
      </c>
      <c r="H7" s="42">
        <v>200.66117250000059</v>
      </c>
      <c r="I7" s="42">
        <v>205.77771249999711</v>
      </c>
      <c r="J7" s="42">
        <v>213.36586249999715</v>
      </c>
      <c r="K7" s="42">
        <v>214.64723000000143</v>
      </c>
      <c r="L7" s="42">
        <v>203.59345750000176</v>
      </c>
      <c r="M7" s="42">
        <v>200.30541189568325</v>
      </c>
      <c r="N7" s="42">
        <v>213.61734380275689</v>
      </c>
      <c r="O7" s="42">
        <v>222.46708438116198</v>
      </c>
      <c r="P7" s="42">
        <v>225.72922613529744</v>
      </c>
      <c r="Q7" s="42">
        <v>223.96582378642717</v>
      </c>
    </row>
    <row r="8" spans="1:17" ht="15" customHeight="1" x14ac:dyDescent="0.3">
      <c r="A8" s="107" t="s">
        <v>74</v>
      </c>
      <c r="B8" s="108">
        <v>4389.7539024999469</v>
      </c>
      <c r="C8" s="108">
        <v>4054.3311224999634</v>
      </c>
      <c r="D8" s="108">
        <v>3694.9760949999863</v>
      </c>
      <c r="E8" s="108">
        <v>3513.1972749999732</v>
      </c>
      <c r="F8" s="108">
        <v>3536.2398724999625</v>
      </c>
      <c r="G8" s="108">
        <v>3610.6925649999803</v>
      </c>
      <c r="H8" s="108">
        <v>3673.5592624999863</v>
      </c>
      <c r="I8" s="108">
        <v>3752.6738349998004</v>
      </c>
      <c r="J8" s="108">
        <v>3828.0211174997803</v>
      </c>
      <c r="K8" s="108">
        <v>3911.0299925000186</v>
      </c>
      <c r="L8" s="108">
        <v>3875.4790050002653</v>
      </c>
      <c r="M8" s="137">
        <v>3927.9804227906716</v>
      </c>
      <c r="N8" s="137">
        <v>4140.6331686931735</v>
      </c>
      <c r="O8" s="137">
        <v>4193.4603782170425</v>
      </c>
      <c r="P8" s="137">
        <v>4275.9529162760173</v>
      </c>
      <c r="Q8" s="137">
        <v>4339.7172146297426</v>
      </c>
    </row>
    <row r="9" spans="1:17" ht="20.399999999999999" x14ac:dyDescent="0.3">
      <c r="A9" s="45" t="s">
        <v>95</v>
      </c>
      <c r="B9" s="46">
        <f t="shared" ref="B9:J9" si="1">B5/B7</f>
        <v>6.835208009563748E-2</v>
      </c>
      <c r="C9" s="46">
        <f t="shared" si="1"/>
        <v>6.2774288138181589E-2</v>
      </c>
      <c r="D9" s="46">
        <f t="shared" si="1"/>
        <v>5.1140819688965035E-2</v>
      </c>
      <c r="E9" s="46">
        <f t="shared" si="1"/>
        <v>4.8237096109621368E-2</v>
      </c>
      <c r="F9" s="46">
        <f t="shared" si="1"/>
        <v>6.3031739977114823E-2</v>
      </c>
      <c r="G9" s="46">
        <f t="shared" si="1"/>
        <v>8.4528601979750123E-2</v>
      </c>
      <c r="H9" s="47">
        <f t="shared" si="1"/>
        <v>8.1933327186154842E-2</v>
      </c>
      <c r="I9" s="47">
        <f t="shared" si="1"/>
        <v>7.2499117220968301E-2</v>
      </c>
      <c r="J9" s="47">
        <f t="shared" si="1"/>
        <v>8.0275189289009286E-2</v>
      </c>
      <c r="K9" s="47">
        <f t="shared" ref="K9" si="2">K5/K7</f>
        <v>8.5365264205831431E-2</v>
      </c>
      <c r="L9" s="47">
        <v>6.9440099763519558E-2</v>
      </c>
      <c r="M9" s="47">
        <v>5.9398708659883406E-2</v>
      </c>
      <c r="N9" s="47">
        <f>N5/N7</f>
        <v>8.3643541564611026E-2</v>
      </c>
      <c r="O9" s="47">
        <f>O5/O7</f>
        <v>6.7887483458306586E-2</v>
      </c>
      <c r="P9" s="47">
        <v>7.4349898992355376E-2</v>
      </c>
      <c r="Q9" s="47">
        <v>8.1371722255695056E-2</v>
      </c>
    </row>
    <row r="10" spans="1:17" ht="20.399999999999999" x14ac:dyDescent="0.3">
      <c r="A10" s="48" t="s">
        <v>75</v>
      </c>
      <c r="B10" s="49">
        <f>B6/B7</f>
        <v>0.93164791990436246</v>
      </c>
      <c r="C10" s="49">
        <f t="shared" ref="C10:J10" si="3">C6/C7</f>
        <v>0.93722571186181836</v>
      </c>
      <c r="D10" s="49">
        <f t="shared" si="3"/>
        <v>0.94885918031103489</v>
      </c>
      <c r="E10" s="49">
        <f t="shared" si="3"/>
        <v>0.95176290389037865</v>
      </c>
      <c r="F10" s="49">
        <f t="shared" si="3"/>
        <v>0.93696826002288525</v>
      </c>
      <c r="G10" s="49">
        <f t="shared" si="3"/>
        <v>0.91547139802024979</v>
      </c>
      <c r="H10" s="49">
        <f t="shared" si="3"/>
        <v>0.91806667281384513</v>
      </c>
      <c r="I10" s="49">
        <f t="shared" si="3"/>
        <v>0.92750088277903175</v>
      </c>
      <c r="J10" s="49">
        <f t="shared" si="3"/>
        <v>0.91972481071099077</v>
      </c>
      <c r="K10" s="49">
        <f t="shared" ref="K10" si="4">K6/K7</f>
        <v>0.91463473579416865</v>
      </c>
      <c r="L10" s="49">
        <v>0.93055990023648039</v>
      </c>
      <c r="M10" s="49">
        <v>0.94060129134011661</v>
      </c>
      <c r="N10" s="49">
        <f>N6/N7</f>
        <v>0.91635645843538904</v>
      </c>
      <c r="O10" s="49">
        <f>O6/O7</f>
        <v>0.93211251654169336</v>
      </c>
      <c r="P10" s="49">
        <v>0.92565010100764455</v>
      </c>
      <c r="Q10" s="49">
        <v>0.91862827774430489</v>
      </c>
    </row>
    <row r="11" spans="1:17" ht="15" customHeight="1" x14ac:dyDescent="0.3">
      <c r="A11" s="163" t="s">
        <v>110</v>
      </c>
      <c r="B11" s="163"/>
      <c r="C11" s="163"/>
      <c r="D11" s="163"/>
      <c r="E11" s="163"/>
      <c r="F11" s="163"/>
      <c r="G11" s="163"/>
      <c r="H11" s="163"/>
    </row>
    <row r="12" spans="1:17" ht="20.399999999999999" customHeight="1" x14ac:dyDescent="0.3">
      <c r="A12" s="161" t="s">
        <v>107</v>
      </c>
      <c r="B12" s="162"/>
      <c r="C12" s="162"/>
      <c r="D12" s="162"/>
    </row>
    <row r="13" spans="1:17" ht="15" customHeight="1" x14ac:dyDescent="0.3">
      <c r="A13" s="161" t="s">
        <v>108</v>
      </c>
      <c r="B13" s="161"/>
      <c r="C13" s="161"/>
      <c r="D13" s="161"/>
      <c r="E13" s="161"/>
      <c r="F13" s="161"/>
      <c r="G13" s="161"/>
      <c r="H13" s="161"/>
    </row>
    <row r="14" spans="1:17" ht="15" customHeight="1" x14ac:dyDescent="0.3">
      <c r="A14" s="161"/>
      <c r="B14" s="161"/>
      <c r="C14" s="161"/>
      <c r="D14" s="161"/>
      <c r="E14" s="161"/>
      <c r="F14" s="161"/>
      <c r="G14" s="161"/>
      <c r="H14" s="161"/>
    </row>
    <row r="15" spans="1:17" ht="15" customHeight="1" x14ac:dyDescent="0.3">
      <c r="A15" s="161"/>
      <c r="B15" s="161"/>
      <c r="C15" s="161"/>
      <c r="D15" s="161"/>
      <c r="E15" s="161"/>
      <c r="F15" s="161"/>
      <c r="G15" s="161"/>
      <c r="H15" s="161"/>
    </row>
    <row r="16" spans="1:17" ht="15" customHeight="1" x14ac:dyDescent="0.3">
      <c r="A16" s="161"/>
      <c r="B16" s="161"/>
      <c r="C16" s="161"/>
      <c r="D16" s="161"/>
      <c r="E16" s="161"/>
      <c r="F16" s="161"/>
      <c r="G16" s="161"/>
      <c r="H16" s="161"/>
    </row>
    <row r="17" spans="1:8" ht="15" customHeight="1" x14ac:dyDescent="0.3">
      <c r="A17" s="161"/>
      <c r="B17" s="161"/>
      <c r="C17" s="161"/>
      <c r="D17" s="161"/>
      <c r="E17" s="161"/>
      <c r="F17" s="161"/>
      <c r="G17" s="161"/>
      <c r="H17" s="161"/>
    </row>
    <row r="18" spans="1:8" ht="15" customHeight="1" x14ac:dyDescent="0.3">
      <c r="A18" s="5"/>
      <c r="B18" s="5"/>
      <c r="C18" s="5"/>
      <c r="D18" s="5"/>
      <c r="E18" s="5"/>
      <c r="F18" s="5"/>
      <c r="G18" s="5"/>
      <c r="H18" s="5"/>
    </row>
    <row r="19" spans="1:8" ht="15" customHeight="1" x14ac:dyDescent="0.3">
      <c r="A19" s="161"/>
      <c r="B19" s="162"/>
      <c r="C19" s="162"/>
      <c r="D19" s="162"/>
    </row>
    <row r="20" spans="1:8" ht="15" customHeight="1" x14ac:dyDescent="0.3">
      <c r="A20" s="161"/>
      <c r="B20" s="161"/>
      <c r="C20" s="161"/>
      <c r="D20" s="161"/>
      <c r="E20" s="161"/>
      <c r="F20" s="161"/>
      <c r="G20" s="161"/>
      <c r="H20" s="161"/>
    </row>
    <row r="21" spans="1:8" ht="15" customHeight="1" x14ac:dyDescent="0.3">
      <c r="A21" s="161"/>
      <c r="B21" s="161"/>
      <c r="C21" s="161"/>
      <c r="D21" s="161"/>
      <c r="E21" s="161"/>
      <c r="F21" s="161"/>
      <c r="G21" s="161"/>
      <c r="H21" s="161"/>
    </row>
    <row r="22" spans="1:8" ht="15" customHeight="1" x14ac:dyDescent="0.3">
      <c r="A22" s="161"/>
      <c r="B22" s="161"/>
      <c r="C22" s="161"/>
      <c r="D22" s="161"/>
      <c r="E22" s="161"/>
      <c r="F22" s="161"/>
      <c r="G22" s="161"/>
      <c r="H22" s="161"/>
    </row>
    <row r="23" spans="1:8" ht="15" customHeight="1" x14ac:dyDescent="0.3">
      <c r="A23" s="161"/>
      <c r="B23" s="161"/>
      <c r="C23" s="161"/>
      <c r="D23" s="161"/>
      <c r="E23" s="161"/>
      <c r="F23" s="161"/>
      <c r="G23" s="161"/>
      <c r="H23" s="161"/>
    </row>
    <row r="24" spans="1:8" ht="15" customHeight="1" x14ac:dyDescent="0.3">
      <c r="A24" s="161"/>
      <c r="B24" s="161"/>
      <c r="C24" s="161"/>
      <c r="D24" s="161"/>
      <c r="E24" s="161"/>
      <c r="F24" s="161"/>
      <c r="G24" s="161"/>
      <c r="H24" s="161"/>
    </row>
  </sheetData>
  <mergeCells count="8">
    <mergeCell ref="A3:Q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426"/>
  <sheetViews>
    <sheetView showGridLines="0" zoomScaleNormal="100" workbookViewId="0">
      <selection activeCell="C6" sqref="C6:G23"/>
    </sheetView>
  </sheetViews>
  <sheetFormatPr defaultRowHeight="15" customHeight="1" x14ac:dyDescent="0.3"/>
  <cols>
    <col min="1" max="1" width="16" style="12" bestFit="1" customWidth="1"/>
    <col min="2" max="2" width="10.6640625" style="12" bestFit="1" customWidth="1"/>
    <col min="3" max="3" width="8.109375" style="12" bestFit="1" customWidth="1"/>
    <col min="4" max="7" width="7" style="12" bestFit="1" customWidth="1"/>
    <col min="8" max="8" width="8.33203125" style="12" bestFit="1" customWidth="1"/>
    <col min="9" max="9" width="12.109375" style="12" customWidth="1"/>
    <col min="10" max="10" width="14.44140625" style="12" customWidth="1"/>
    <col min="11" max="11" width="8.6640625" style="12" bestFit="1" customWidth="1"/>
    <col min="12" max="12" width="10.6640625" style="12" bestFit="1" customWidth="1"/>
    <col min="13" max="13" width="8" style="12" customWidth="1"/>
    <col min="14" max="14" width="7.44140625" style="12" customWidth="1"/>
    <col min="15" max="17" width="6.109375" style="12" bestFit="1" customWidth="1"/>
    <col min="18" max="16384" width="8.88671875" style="12"/>
  </cols>
  <sheetData>
    <row r="3" spans="1:8" ht="15" customHeight="1" x14ac:dyDescent="0.3">
      <c r="A3" s="146" t="s">
        <v>76</v>
      </c>
      <c r="B3" s="146"/>
      <c r="C3" s="146"/>
      <c r="D3" s="146"/>
      <c r="E3" s="146"/>
      <c r="F3" s="146"/>
      <c r="G3" s="146"/>
      <c r="H3" s="146"/>
    </row>
    <row r="4" spans="1:8" ht="15" customHeight="1" x14ac:dyDescent="0.3">
      <c r="A4" s="146" t="s">
        <v>152</v>
      </c>
      <c r="B4" s="146"/>
      <c r="C4" s="146"/>
      <c r="D4" s="146"/>
      <c r="E4" s="146"/>
      <c r="F4" s="146"/>
      <c r="G4" s="146"/>
      <c r="H4" s="146"/>
    </row>
    <row r="5" spans="1:8" ht="15" customHeight="1" x14ac:dyDescent="0.3">
      <c r="A5" s="91" t="s">
        <v>103</v>
      </c>
      <c r="B5" s="92"/>
      <c r="C5" s="92" t="s">
        <v>39</v>
      </c>
      <c r="D5" s="92" t="s">
        <v>40</v>
      </c>
      <c r="E5" s="92" t="s">
        <v>41</v>
      </c>
      <c r="F5" s="92" t="s">
        <v>42</v>
      </c>
      <c r="G5" s="92" t="s">
        <v>0</v>
      </c>
      <c r="H5" s="92" t="s">
        <v>1</v>
      </c>
    </row>
    <row r="6" spans="1:8" ht="15" customHeight="1" x14ac:dyDescent="0.3">
      <c r="A6" s="147" t="s">
        <v>2</v>
      </c>
      <c r="B6" s="10" t="s">
        <v>7</v>
      </c>
      <c r="C6" s="37">
        <v>1</v>
      </c>
      <c r="D6" s="37">
        <v>2</v>
      </c>
      <c r="E6" s="37">
        <v>12</v>
      </c>
      <c r="F6" s="37">
        <v>1</v>
      </c>
      <c r="G6" s="37">
        <v>3</v>
      </c>
      <c r="H6" s="38">
        <f>SUM(C6:G6)</f>
        <v>19</v>
      </c>
    </row>
    <row r="7" spans="1:8" ht="15" customHeight="1" x14ac:dyDescent="0.3">
      <c r="A7" s="147"/>
      <c r="B7" s="10" t="s">
        <v>8</v>
      </c>
      <c r="C7" s="37">
        <v>73</v>
      </c>
      <c r="D7" s="37">
        <v>148</v>
      </c>
      <c r="E7" s="37">
        <v>197</v>
      </c>
      <c r="F7" s="37">
        <v>26</v>
      </c>
      <c r="G7" s="37">
        <v>49</v>
      </c>
      <c r="H7" s="38">
        <f t="shared" ref="H7:H23" si="0">SUM(C7:G7)</f>
        <v>493</v>
      </c>
    </row>
    <row r="8" spans="1:8" ht="15" customHeight="1" x14ac:dyDescent="0.3">
      <c r="A8" s="147"/>
      <c r="B8" s="10" t="s">
        <v>9</v>
      </c>
      <c r="C8" s="37">
        <v>147</v>
      </c>
      <c r="D8" s="37">
        <v>311</v>
      </c>
      <c r="E8" s="37">
        <v>413</v>
      </c>
      <c r="F8" s="37">
        <v>48</v>
      </c>
      <c r="G8" s="37">
        <v>92</v>
      </c>
      <c r="H8" s="38">
        <f t="shared" si="0"/>
        <v>1011</v>
      </c>
    </row>
    <row r="9" spans="1:8" ht="15" customHeight="1" x14ac:dyDescent="0.3">
      <c r="A9" s="148" t="s">
        <v>3</v>
      </c>
      <c r="B9" s="12" t="s">
        <v>7</v>
      </c>
      <c r="C9" s="35">
        <v>3</v>
      </c>
      <c r="D9" s="35">
        <v>3</v>
      </c>
      <c r="E9" s="35">
        <v>19</v>
      </c>
      <c r="F9" s="35">
        <v>28</v>
      </c>
      <c r="G9" s="35">
        <v>8</v>
      </c>
      <c r="H9" s="36">
        <f t="shared" si="0"/>
        <v>61</v>
      </c>
    </row>
    <row r="10" spans="1:8" ht="15" customHeight="1" x14ac:dyDescent="0.3">
      <c r="A10" s="148"/>
      <c r="B10" s="12" t="s">
        <v>8</v>
      </c>
      <c r="C10" s="35">
        <v>386</v>
      </c>
      <c r="D10" s="35">
        <v>201</v>
      </c>
      <c r="E10" s="35">
        <v>525</v>
      </c>
      <c r="F10" s="35">
        <v>684</v>
      </c>
      <c r="G10" s="35">
        <v>109</v>
      </c>
      <c r="H10" s="36">
        <f t="shared" si="0"/>
        <v>1905</v>
      </c>
    </row>
    <row r="11" spans="1:8" ht="15" customHeight="1" x14ac:dyDescent="0.3">
      <c r="A11" s="148"/>
      <c r="B11" s="12" t="s">
        <v>9</v>
      </c>
      <c r="C11" s="35">
        <v>784</v>
      </c>
      <c r="D11" s="35">
        <v>389</v>
      </c>
      <c r="E11" s="35">
        <v>1011</v>
      </c>
      <c r="F11" s="35">
        <v>1296</v>
      </c>
      <c r="G11" s="35">
        <v>232</v>
      </c>
      <c r="H11" s="36">
        <f t="shared" si="0"/>
        <v>3712</v>
      </c>
    </row>
    <row r="12" spans="1:8" ht="15" customHeight="1" x14ac:dyDescent="0.3">
      <c r="A12" s="147" t="s">
        <v>10</v>
      </c>
      <c r="B12" s="10" t="s">
        <v>7</v>
      </c>
      <c r="C12" s="37">
        <v>8</v>
      </c>
      <c r="D12" s="37">
        <v>18</v>
      </c>
      <c r="E12" s="37">
        <v>55</v>
      </c>
      <c r="F12" s="37">
        <v>90</v>
      </c>
      <c r="G12" s="37">
        <v>38</v>
      </c>
      <c r="H12" s="38">
        <f t="shared" si="0"/>
        <v>209</v>
      </c>
    </row>
    <row r="13" spans="1:8" ht="15" customHeight="1" x14ac:dyDescent="0.3">
      <c r="A13" s="147"/>
      <c r="B13" s="10" t="s">
        <v>8</v>
      </c>
      <c r="C13" s="37">
        <v>802</v>
      </c>
      <c r="D13" s="37">
        <v>993</v>
      </c>
      <c r="E13" s="37">
        <v>1536</v>
      </c>
      <c r="F13" s="37">
        <v>1806</v>
      </c>
      <c r="G13" s="37">
        <v>557</v>
      </c>
      <c r="H13" s="38">
        <f t="shared" si="0"/>
        <v>5694</v>
      </c>
    </row>
    <row r="14" spans="1:8" ht="15" customHeight="1" x14ac:dyDescent="0.3">
      <c r="A14" s="147"/>
      <c r="B14" s="10" t="s">
        <v>9</v>
      </c>
      <c r="C14" s="37">
        <v>1693</v>
      </c>
      <c r="D14" s="37">
        <v>2252</v>
      </c>
      <c r="E14" s="37">
        <v>3231</v>
      </c>
      <c r="F14" s="37">
        <v>3640</v>
      </c>
      <c r="G14" s="37">
        <v>1057</v>
      </c>
      <c r="H14" s="38">
        <f t="shared" si="0"/>
        <v>11873</v>
      </c>
    </row>
    <row r="15" spans="1:8" ht="15" customHeight="1" x14ac:dyDescent="0.3">
      <c r="A15" s="148" t="s">
        <v>4</v>
      </c>
      <c r="B15" s="12" t="s">
        <v>7</v>
      </c>
      <c r="C15" s="35">
        <v>2</v>
      </c>
      <c r="D15" s="35">
        <v>8</v>
      </c>
      <c r="E15" s="35">
        <v>18</v>
      </c>
      <c r="F15" s="35">
        <v>20</v>
      </c>
      <c r="G15" s="35">
        <v>10</v>
      </c>
      <c r="H15" s="36">
        <f t="shared" si="0"/>
        <v>58</v>
      </c>
    </row>
    <row r="16" spans="1:8" ht="15" customHeight="1" x14ac:dyDescent="0.3">
      <c r="A16" s="148"/>
      <c r="B16" s="12" t="s">
        <v>8</v>
      </c>
      <c r="C16" s="35">
        <v>179</v>
      </c>
      <c r="D16" s="35">
        <v>420</v>
      </c>
      <c r="E16" s="35">
        <v>707</v>
      </c>
      <c r="F16" s="35">
        <v>409</v>
      </c>
      <c r="G16" s="35">
        <v>154</v>
      </c>
      <c r="H16" s="36">
        <f t="shared" si="0"/>
        <v>1869</v>
      </c>
    </row>
    <row r="17" spans="1:8" ht="15" customHeight="1" x14ac:dyDescent="0.3">
      <c r="A17" s="148"/>
      <c r="B17" s="12" t="s">
        <v>9</v>
      </c>
      <c r="C17" s="35">
        <v>359</v>
      </c>
      <c r="D17" s="35">
        <v>758</v>
      </c>
      <c r="E17" s="35">
        <v>1340</v>
      </c>
      <c r="F17" s="35">
        <v>775</v>
      </c>
      <c r="G17" s="35">
        <v>325</v>
      </c>
      <c r="H17" s="36">
        <f t="shared" si="0"/>
        <v>3557</v>
      </c>
    </row>
    <row r="18" spans="1:8" ht="15" customHeight="1" x14ac:dyDescent="0.3">
      <c r="A18" s="147" t="s">
        <v>5</v>
      </c>
      <c r="B18" s="10" t="s">
        <v>7</v>
      </c>
      <c r="C18" s="37">
        <v>1</v>
      </c>
      <c r="D18" s="37">
        <v>2</v>
      </c>
      <c r="E18" s="37">
        <v>11</v>
      </c>
      <c r="F18" s="37">
        <v>1</v>
      </c>
      <c r="G18" s="37">
        <v>2</v>
      </c>
      <c r="H18" s="38">
        <f t="shared" si="0"/>
        <v>17</v>
      </c>
    </row>
    <row r="19" spans="1:8" ht="15" customHeight="1" x14ac:dyDescent="0.3">
      <c r="A19" s="147"/>
      <c r="B19" s="10" t="s">
        <v>8</v>
      </c>
      <c r="C19" s="37">
        <v>100</v>
      </c>
      <c r="D19" s="37">
        <v>62</v>
      </c>
      <c r="E19" s="37">
        <v>424</v>
      </c>
      <c r="F19" s="37">
        <v>34</v>
      </c>
      <c r="G19" s="37">
        <v>34</v>
      </c>
      <c r="H19" s="38">
        <f t="shared" si="0"/>
        <v>654</v>
      </c>
    </row>
    <row r="20" spans="1:8" ht="15" customHeight="1" x14ac:dyDescent="0.3">
      <c r="A20" s="147"/>
      <c r="B20" s="10" t="s">
        <v>9</v>
      </c>
      <c r="C20" s="37">
        <v>183</v>
      </c>
      <c r="D20" s="37">
        <v>125</v>
      </c>
      <c r="E20" s="37">
        <v>845</v>
      </c>
      <c r="F20" s="37">
        <v>74</v>
      </c>
      <c r="G20" s="37">
        <v>66</v>
      </c>
      <c r="H20" s="38">
        <f t="shared" si="0"/>
        <v>1293</v>
      </c>
    </row>
    <row r="21" spans="1:8" ht="15" customHeight="1" x14ac:dyDescent="0.3">
      <c r="A21" s="148" t="s">
        <v>6</v>
      </c>
      <c r="B21" s="12" t="s">
        <v>7</v>
      </c>
      <c r="C21" s="35">
        <v>0</v>
      </c>
      <c r="D21" s="35">
        <v>4</v>
      </c>
      <c r="E21" s="35">
        <v>16</v>
      </c>
      <c r="F21" s="35">
        <v>1</v>
      </c>
      <c r="G21" s="35">
        <v>1</v>
      </c>
      <c r="H21" s="36">
        <f t="shared" si="0"/>
        <v>22</v>
      </c>
    </row>
    <row r="22" spans="1:8" ht="15" customHeight="1" x14ac:dyDescent="0.3">
      <c r="A22" s="148"/>
      <c r="B22" s="12" t="s">
        <v>8</v>
      </c>
      <c r="C22" s="35">
        <v>0</v>
      </c>
      <c r="D22" s="35">
        <v>167</v>
      </c>
      <c r="E22" s="35">
        <v>567</v>
      </c>
      <c r="F22" s="35">
        <v>52</v>
      </c>
      <c r="G22" s="35">
        <v>90</v>
      </c>
      <c r="H22" s="36">
        <f t="shared" si="0"/>
        <v>876</v>
      </c>
    </row>
    <row r="23" spans="1:8" ht="15" customHeight="1" x14ac:dyDescent="0.3">
      <c r="A23" s="148"/>
      <c r="B23" s="12" t="s">
        <v>9</v>
      </c>
      <c r="C23" s="35">
        <v>0</v>
      </c>
      <c r="D23" s="35">
        <v>320</v>
      </c>
      <c r="E23" s="35">
        <v>1050</v>
      </c>
      <c r="F23" s="35">
        <v>86</v>
      </c>
      <c r="G23" s="35">
        <v>90</v>
      </c>
      <c r="H23" s="36">
        <f t="shared" si="0"/>
        <v>1546</v>
      </c>
    </row>
    <row r="24" spans="1:8" ht="15" customHeight="1" x14ac:dyDescent="0.3">
      <c r="A24" s="149" t="s">
        <v>1</v>
      </c>
      <c r="B24" s="109" t="s">
        <v>7</v>
      </c>
      <c r="C24" s="110">
        <f t="shared" ref="C24:H24" si="1">C6+C9+C12+C15+C18+C21</f>
        <v>15</v>
      </c>
      <c r="D24" s="110">
        <f t="shared" si="1"/>
        <v>37</v>
      </c>
      <c r="E24" s="110">
        <f t="shared" si="1"/>
        <v>131</v>
      </c>
      <c r="F24" s="110">
        <f t="shared" si="1"/>
        <v>141</v>
      </c>
      <c r="G24" s="110">
        <f t="shared" si="1"/>
        <v>62</v>
      </c>
      <c r="H24" s="110">
        <f t="shared" si="1"/>
        <v>386</v>
      </c>
    </row>
    <row r="25" spans="1:8" ht="15" customHeight="1" x14ac:dyDescent="0.3">
      <c r="A25" s="149"/>
      <c r="B25" s="109" t="s">
        <v>8</v>
      </c>
      <c r="C25" s="110">
        <f t="shared" ref="C25:H25" si="2">C7+C10+C13+C16+C19+C22</f>
        <v>1540</v>
      </c>
      <c r="D25" s="110">
        <f t="shared" si="2"/>
        <v>1991</v>
      </c>
      <c r="E25" s="110">
        <f t="shared" si="2"/>
        <v>3956</v>
      </c>
      <c r="F25" s="110">
        <f t="shared" si="2"/>
        <v>3011</v>
      </c>
      <c r="G25" s="110">
        <f t="shared" si="2"/>
        <v>993</v>
      </c>
      <c r="H25" s="110">
        <f t="shared" si="2"/>
        <v>11491</v>
      </c>
    </row>
    <row r="26" spans="1:8" ht="15" customHeight="1" x14ac:dyDescent="0.3">
      <c r="A26" s="149"/>
      <c r="B26" s="109" t="s">
        <v>9</v>
      </c>
      <c r="C26" s="110">
        <f t="shared" ref="C26:H26" si="3">C8+C11+C14+C17+C20+C23</f>
        <v>3166</v>
      </c>
      <c r="D26" s="110">
        <f t="shared" si="3"/>
        <v>4155</v>
      </c>
      <c r="E26" s="110">
        <f t="shared" si="3"/>
        <v>7890</v>
      </c>
      <c r="F26" s="110">
        <f t="shared" si="3"/>
        <v>5919</v>
      </c>
      <c r="G26" s="110">
        <f t="shared" si="3"/>
        <v>1862</v>
      </c>
      <c r="H26" s="110">
        <f t="shared" si="3"/>
        <v>22992</v>
      </c>
    </row>
    <row r="27" spans="1:8" ht="15" customHeight="1" x14ac:dyDescent="0.3">
      <c r="A27" s="81" t="s">
        <v>111</v>
      </c>
      <c r="B27" s="84"/>
      <c r="C27" s="84"/>
      <c r="D27" s="84"/>
      <c r="E27" s="84"/>
      <c r="F27" s="84"/>
      <c r="G27" s="83"/>
      <c r="H27" s="83"/>
    </row>
    <row r="30" spans="1:8" ht="15" customHeight="1" x14ac:dyDescent="0.3">
      <c r="A30" s="146" t="s">
        <v>76</v>
      </c>
      <c r="B30" s="146"/>
      <c r="C30" s="146"/>
      <c r="D30" s="146"/>
      <c r="E30" s="146"/>
      <c r="F30" s="146"/>
      <c r="G30" s="146"/>
      <c r="H30" s="146"/>
    </row>
    <row r="31" spans="1:8" ht="15" customHeight="1" x14ac:dyDescent="0.3">
      <c r="A31" s="146" t="s">
        <v>139</v>
      </c>
      <c r="B31" s="146"/>
      <c r="C31" s="146"/>
      <c r="D31" s="146"/>
      <c r="E31" s="146"/>
      <c r="F31" s="146"/>
      <c r="G31" s="146"/>
      <c r="H31" s="146"/>
    </row>
    <row r="32" spans="1:8" ht="15" customHeight="1" x14ac:dyDescent="0.3">
      <c r="A32" s="91" t="s">
        <v>103</v>
      </c>
      <c r="B32" s="92"/>
      <c r="C32" s="92" t="s">
        <v>39</v>
      </c>
      <c r="D32" s="92" t="s">
        <v>40</v>
      </c>
      <c r="E32" s="92" t="s">
        <v>41</v>
      </c>
      <c r="F32" s="92" t="s">
        <v>42</v>
      </c>
      <c r="G32" s="92" t="s">
        <v>0</v>
      </c>
      <c r="H32" s="92" t="s">
        <v>1</v>
      </c>
    </row>
    <row r="33" spans="1:8" ht="15" customHeight="1" x14ac:dyDescent="0.3">
      <c r="A33" s="147" t="s">
        <v>2</v>
      </c>
      <c r="B33" s="10" t="s">
        <v>7</v>
      </c>
      <c r="C33" s="37">
        <v>1</v>
      </c>
      <c r="D33" s="37">
        <v>2</v>
      </c>
      <c r="E33" s="37">
        <v>11</v>
      </c>
      <c r="F33" s="37">
        <v>1</v>
      </c>
      <c r="G33" s="37">
        <v>3</v>
      </c>
      <c r="H33" s="38">
        <f>SUM(C33:G33)</f>
        <v>18</v>
      </c>
    </row>
    <row r="34" spans="1:8" ht="15" customHeight="1" x14ac:dyDescent="0.3">
      <c r="A34" s="147"/>
      <c r="B34" s="10" t="s">
        <v>8</v>
      </c>
      <c r="C34" s="37">
        <v>73</v>
      </c>
      <c r="D34" s="37">
        <v>148</v>
      </c>
      <c r="E34" s="37">
        <v>187</v>
      </c>
      <c r="F34" s="37">
        <v>26</v>
      </c>
      <c r="G34" s="37">
        <v>49</v>
      </c>
      <c r="H34" s="38">
        <f t="shared" ref="H34:H50" si="4">SUM(C34:G34)</f>
        <v>483</v>
      </c>
    </row>
    <row r="35" spans="1:8" ht="15" customHeight="1" x14ac:dyDescent="0.3">
      <c r="A35" s="147"/>
      <c r="B35" s="10" t="s">
        <v>9</v>
      </c>
      <c r="C35" s="37">
        <v>147</v>
      </c>
      <c r="D35" s="37">
        <v>311</v>
      </c>
      <c r="E35" s="37">
        <v>391</v>
      </c>
      <c r="F35" s="37">
        <v>48</v>
      </c>
      <c r="G35" s="37">
        <v>92</v>
      </c>
      <c r="H35" s="38">
        <f t="shared" si="4"/>
        <v>989</v>
      </c>
    </row>
    <row r="36" spans="1:8" ht="15" customHeight="1" x14ac:dyDescent="0.3">
      <c r="A36" s="148" t="s">
        <v>3</v>
      </c>
      <c r="B36" s="12" t="s">
        <v>7</v>
      </c>
      <c r="C36" s="35">
        <v>3</v>
      </c>
      <c r="D36" s="35">
        <v>2</v>
      </c>
      <c r="E36" s="35">
        <v>20</v>
      </c>
      <c r="F36" s="35">
        <v>28</v>
      </c>
      <c r="G36" s="35">
        <v>8</v>
      </c>
      <c r="H36" s="36">
        <f t="shared" si="4"/>
        <v>61</v>
      </c>
    </row>
    <row r="37" spans="1:8" ht="15" customHeight="1" x14ac:dyDescent="0.3">
      <c r="A37" s="148"/>
      <c r="B37" s="12" t="s">
        <v>8</v>
      </c>
      <c r="C37" s="35">
        <v>386</v>
      </c>
      <c r="D37" s="35">
        <v>142</v>
      </c>
      <c r="E37" s="35">
        <v>592</v>
      </c>
      <c r="F37" s="35">
        <v>684</v>
      </c>
      <c r="G37" s="35">
        <v>109</v>
      </c>
      <c r="H37" s="36">
        <f t="shared" si="4"/>
        <v>1913</v>
      </c>
    </row>
    <row r="38" spans="1:8" ht="15" customHeight="1" x14ac:dyDescent="0.3">
      <c r="A38" s="148"/>
      <c r="B38" s="12" t="s">
        <v>9</v>
      </c>
      <c r="C38" s="35">
        <v>784</v>
      </c>
      <c r="D38" s="35">
        <v>293</v>
      </c>
      <c r="E38" s="35">
        <v>1121</v>
      </c>
      <c r="F38" s="35">
        <v>1296</v>
      </c>
      <c r="G38" s="35">
        <v>232</v>
      </c>
      <c r="H38" s="36">
        <f t="shared" si="4"/>
        <v>3726</v>
      </c>
    </row>
    <row r="39" spans="1:8" ht="15" customHeight="1" x14ac:dyDescent="0.3">
      <c r="A39" s="147" t="s">
        <v>10</v>
      </c>
      <c r="B39" s="10" t="s">
        <v>7</v>
      </c>
      <c r="C39" s="37">
        <v>7</v>
      </c>
      <c r="D39" s="37">
        <v>19</v>
      </c>
      <c r="E39" s="37">
        <v>54</v>
      </c>
      <c r="F39" s="37">
        <v>91</v>
      </c>
      <c r="G39" s="37">
        <v>38</v>
      </c>
      <c r="H39" s="38">
        <f t="shared" si="4"/>
        <v>209</v>
      </c>
    </row>
    <row r="40" spans="1:8" ht="15" customHeight="1" x14ac:dyDescent="0.3">
      <c r="A40" s="147"/>
      <c r="B40" s="10" t="s">
        <v>8</v>
      </c>
      <c r="C40" s="37">
        <v>578</v>
      </c>
      <c r="D40" s="37">
        <v>1217</v>
      </c>
      <c r="E40" s="37">
        <v>1522</v>
      </c>
      <c r="F40" s="37">
        <v>1810</v>
      </c>
      <c r="G40" s="37">
        <v>557</v>
      </c>
      <c r="H40" s="38">
        <f t="shared" si="4"/>
        <v>5684</v>
      </c>
    </row>
    <row r="41" spans="1:8" ht="15" customHeight="1" x14ac:dyDescent="0.3">
      <c r="A41" s="147"/>
      <c r="B41" s="10" t="s">
        <v>9</v>
      </c>
      <c r="C41" s="37">
        <v>1255</v>
      </c>
      <c r="D41" s="37">
        <v>2654</v>
      </c>
      <c r="E41" s="37">
        <v>3203</v>
      </c>
      <c r="F41" s="37">
        <v>3658</v>
      </c>
      <c r="G41" s="37">
        <v>1057</v>
      </c>
      <c r="H41" s="38">
        <f t="shared" si="4"/>
        <v>11827</v>
      </c>
    </row>
    <row r="42" spans="1:8" ht="15" customHeight="1" x14ac:dyDescent="0.3">
      <c r="A42" s="148" t="s">
        <v>4</v>
      </c>
      <c r="B42" s="12" t="s">
        <v>7</v>
      </c>
      <c r="C42" s="35">
        <v>2</v>
      </c>
      <c r="D42" s="35">
        <v>8</v>
      </c>
      <c r="E42" s="35">
        <v>18</v>
      </c>
      <c r="F42" s="35">
        <v>19</v>
      </c>
      <c r="G42" s="35">
        <v>10</v>
      </c>
      <c r="H42" s="36">
        <f t="shared" si="4"/>
        <v>57</v>
      </c>
    </row>
    <row r="43" spans="1:8" ht="15" customHeight="1" x14ac:dyDescent="0.3">
      <c r="A43" s="148"/>
      <c r="B43" s="12" t="s">
        <v>8</v>
      </c>
      <c r="C43" s="35">
        <v>179</v>
      </c>
      <c r="D43" s="35">
        <v>399</v>
      </c>
      <c r="E43" s="35">
        <v>707</v>
      </c>
      <c r="F43" s="35">
        <v>383</v>
      </c>
      <c r="G43" s="35">
        <v>154</v>
      </c>
      <c r="H43" s="36">
        <f t="shared" si="4"/>
        <v>1822</v>
      </c>
    </row>
    <row r="44" spans="1:8" ht="15" customHeight="1" x14ac:dyDescent="0.3">
      <c r="A44" s="148"/>
      <c r="B44" s="12" t="s">
        <v>9</v>
      </c>
      <c r="C44" s="35">
        <v>359</v>
      </c>
      <c r="D44" s="35">
        <v>736</v>
      </c>
      <c r="E44" s="35">
        <v>1340</v>
      </c>
      <c r="F44" s="35">
        <v>723</v>
      </c>
      <c r="G44" s="35">
        <v>325</v>
      </c>
      <c r="H44" s="36">
        <f t="shared" si="4"/>
        <v>3483</v>
      </c>
    </row>
    <row r="45" spans="1:8" ht="15" customHeight="1" x14ac:dyDescent="0.3">
      <c r="A45" s="147" t="s">
        <v>5</v>
      </c>
      <c r="B45" s="10" t="s">
        <v>7</v>
      </c>
      <c r="C45" s="37">
        <v>1</v>
      </c>
      <c r="D45" s="37">
        <v>2</v>
      </c>
      <c r="E45" s="37">
        <v>11</v>
      </c>
      <c r="F45" s="37">
        <v>1</v>
      </c>
      <c r="G45" s="37">
        <v>2</v>
      </c>
      <c r="H45" s="38">
        <f t="shared" si="4"/>
        <v>17</v>
      </c>
    </row>
    <row r="46" spans="1:8" ht="15" customHeight="1" x14ac:dyDescent="0.3">
      <c r="A46" s="147"/>
      <c r="B46" s="10" t="s">
        <v>8</v>
      </c>
      <c r="C46" s="37">
        <v>100</v>
      </c>
      <c r="D46" s="37">
        <v>62</v>
      </c>
      <c r="E46" s="37">
        <v>424</v>
      </c>
      <c r="F46" s="37">
        <v>34</v>
      </c>
      <c r="G46" s="37">
        <v>34</v>
      </c>
      <c r="H46" s="38">
        <f t="shared" si="4"/>
        <v>654</v>
      </c>
    </row>
    <row r="47" spans="1:8" ht="15" customHeight="1" x14ac:dyDescent="0.3">
      <c r="A47" s="147"/>
      <c r="B47" s="10" t="s">
        <v>9</v>
      </c>
      <c r="C47" s="37">
        <v>183</v>
      </c>
      <c r="D47" s="37">
        <v>125</v>
      </c>
      <c r="E47" s="37">
        <v>845</v>
      </c>
      <c r="F47" s="37">
        <v>74</v>
      </c>
      <c r="G47" s="37">
        <v>66</v>
      </c>
      <c r="H47" s="38">
        <f t="shared" si="4"/>
        <v>1293</v>
      </c>
    </row>
    <row r="48" spans="1:8" ht="15" customHeight="1" x14ac:dyDescent="0.3">
      <c r="A48" s="148" t="s">
        <v>6</v>
      </c>
      <c r="B48" s="12" t="s">
        <v>7</v>
      </c>
      <c r="C48" s="35">
        <v>0</v>
      </c>
      <c r="D48" s="35">
        <v>4</v>
      </c>
      <c r="E48" s="35">
        <v>17</v>
      </c>
      <c r="F48" s="35">
        <v>0</v>
      </c>
      <c r="G48" s="35">
        <v>1</v>
      </c>
      <c r="H48" s="36">
        <f t="shared" si="4"/>
        <v>22</v>
      </c>
    </row>
    <row r="49" spans="1:8" ht="15" customHeight="1" x14ac:dyDescent="0.3">
      <c r="A49" s="148"/>
      <c r="B49" s="12" t="s">
        <v>8</v>
      </c>
      <c r="C49" s="35">
        <v>0</v>
      </c>
      <c r="D49" s="35">
        <v>167</v>
      </c>
      <c r="E49" s="35">
        <v>619</v>
      </c>
      <c r="F49" s="35">
        <v>0</v>
      </c>
      <c r="G49" s="35">
        <v>90</v>
      </c>
      <c r="H49" s="36">
        <f t="shared" si="4"/>
        <v>876</v>
      </c>
    </row>
    <row r="50" spans="1:8" ht="15" customHeight="1" x14ac:dyDescent="0.3">
      <c r="A50" s="148"/>
      <c r="B50" s="12" t="s">
        <v>9</v>
      </c>
      <c r="C50" s="35">
        <v>0</v>
      </c>
      <c r="D50" s="35">
        <v>320</v>
      </c>
      <c r="E50" s="35">
        <v>1136</v>
      </c>
      <c r="F50" s="35">
        <v>0</v>
      </c>
      <c r="G50" s="35">
        <v>90</v>
      </c>
      <c r="H50" s="36">
        <f t="shared" si="4"/>
        <v>1546</v>
      </c>
    </row>
    <row r="51" spans="1:8" ht="15" customHeight="1" x14ac:dyDescent="0.3">
      <c r="A51" s="149" t="s">
        <v>1</v>
      </c>
      <c r="B51" s="109" t="s">
        <v>7</v>
      </c>
      <c r="C51" s="110">
        <f t="shared" ref="C51:H51" si="5">C33+C36+C39+C42+C45+C48</f>
        <v>14</v>
      </c>
      <c r="D51" s="110">
        <f t="shared" si="5"/>
        <v>37</v>
      </c>
      <c r="E51" s="110">
        <f t="shared" si="5"/>
        <v>131</v>
      </c>
      <c r="F51" s="110">
        <f t="shared" si="5"/>
        <v>140</v>
      </c>
      <c r="G51" s="110">
        <f t="shared" si="5"/>
        <v>62</v>
      </c>
      <c r="H51" s="110">
        <f t="shared" si="5"/>
        <v>384</v>
      </c>
    </row>
    <row r="52" spans="1:8" ht="15" customHeight="1" x14ac:dyDescent="0.3">
      <c r="A52" s="149"/>
      <c r="B52" s="109" t="s">
        <v>8</v>
      </c>
      <c r="C52" s="110">
        <f t="shared" ref="C52:H52" si="6">C34+C37+C40+C43+C46+C49</f>
        <v>1316</v>
      </c>
      <c r="D52" s="110">
        <f t="shared" si="6"/>
        <v>2135</v>
      </c>
      <c r="E52" s="110">
        <f t="shared" si="6"/>
        <v>4051</v>
      </c>
      <c r="F52" s="110">
        <f t="shared" si="6"/>
        <v>2937</v>
      </c>
      <c r="G52" s="110">
        <f t="shared" si="6"/>
        <v>993</v>
      </c>
      <c r="H52" s="110">
        <f t="shared" si="6"/>
        <v>11432</v>
      </c>
    </row>
    <row r="53" spans="1:8" ht="15" customHeight="1" x14ac:dyDescent="0.3">
      <c r="A53" s="149"/>
      <c r="B53" s="109" t="s">
        <v>9</v>
      </c>
      <c r="C53" s="110">
        <f t="shared" ref="C53:H53" si="7">C35+C38+C41+C44+C47+C50</f>
        <v>2728</v>
      </c>
      <c r="D53" s="110">
        <f t="shared" si="7"/>
        <v>4439</v>
      </c>
      <c r="E53" s="110">
        <f t="shared" si="7"/>
        <v>8036</v>
      </c>
      <c r="F53" s="110">
        <f t="shared" si="7"/>
        <v>5799</v>
      </c>
      <c r="G53" s="110">
        <f t="shared" si="7"/>
        <v>1862</v>
      </c>
      <c r="H53" s="110">
        <f t="shared" si="7"/>
        <v>22864</v>
      </c>
    </row>
    <row r="54" spans="1:8" ht="15" customHeight="1" x14ac:dyDescent="0.3">
      <c r="A54" s="81" t="s">
        <v>111</v>
      </c>
      <c r="B54" s="84"/>
      <c r="C54" s="84"/>
      <c r="D54" s="84"/>
      <c r="E54" s="84"/>
      <c r="F54" s="84"/>
      <c r="G54" s="83"/>
      <c r="H54" s="83"/>
    </row>
    <row r="57" spans="1:8" ht="15" customHeight="1" x14ac:dyDescent="0.3">
      <c r="A57" s="146" t="s">
        <v>76</v>
      </c>
      <c r="B57" s="146"/>
      <c r="C57" s="146"/>
      <c r="D57" s="146"/>
      <c r="E57" s="146"/>
      <c r="F57" s="146"/>
      <c r="G57" s="146"/>
      <c r="H57" s="146"/>
    </row>
    <row r="58" spans="1:8" ht="15" customHeight="1" x14ac:dyDescent="0.3">
      <c r="A58" s="146" t="s">
        <v>124</v>
      </c>
      <c r="B58" s="146"/>
      <c r="C58" s="146"/>
      <c r="D58" s="146"/>
      <c r="E58" s="146"/>
      <c r="F58" s="146"/>
      <c r="G58" s="146"/>
      <c r="H58" s="146"/>
    </row>
    <row r="59" spans="1:8" ht="15" customHeight="1" x14ac:dyDescent="0.3">
      <c r="A59" s="91" t="s">
        <v>103</v>
      </c>
      <c r="B59" s="92"/>
      <c r="C59" s="92" t="s">
        <v>39</v>
      </c>
      <c r="D59" s="92" t="s">
        <v>40</v>
      </c>
      <c r="E59" s="92" t="s">
        <v>41</v>
      </c>
      <c r="F59" s="92" t="s">
        <v>42</v>
      </c>
      <c r="G59" s="92" t="s">
        <v>0</v>
      </c>
      <c r="H59" s="92" t="s">
        <v>1</v>
      </c>
    </row>
    <row r="60" spans="1:8" ht="15" customHeight="1" x14ac:dyDescent="0.3">
      <c r="A60" s="147" t="s">
        <v>2</v>
      </c>
      <c r="B60" s="10" t="s">
        <v>7</v>
      </c>
      <c r="C60" s="37">
        <v>1</v>
      </c>
      <c r="D60" s="37">
        <v>3</v>
      </c>
      <c r="E60" s="37">
        <v>12</v>
      </c>
      <c r="F60" s="37">
        <v>1</v>
      </c>
      <c r="G60" s="37">
        <v>3</v>
      </c>
      <c r="H60" s="38">
        <f>SUM(C60:G60)</f>
        <v>20</v>
      </c>
    </row>
    <row r="61" spans="1:8" ht="15" customHeight="1" x14ac:dyDescent="0.3">
      <c r="A61" s="147"/>
      <c r="B61" s="10" t="s">
        <v>8</v>
      </c>
      <c r="C61" s="37">
        <v>73</v>
      </c>
      <c r="D61" s="37">
        <v>173</v>
      </c>
      <c r="E61" s="37">
        <v>235</v>
      </c>
      <c r="F61" s="37">
        <v>26</v>
      </c>
      <c r="G61" s="37">
        <v>49</v>
      </c>
      <c r="H61" s="38">
        <f t="shared" ref="H61:H77" si="8">SUM(C61:G61)</f>
        <v>556</v>
      </c>
    </row>
    <row r="62" spans="1:8" ht="15" customHeight="1" x14ac:dyDescent="0.3">
      <c r="A62" s="147"/>
      <c r="B62" s="10" t="s">
        <v>9</v>
      </c>
      <c r="C62" s="37">
        <v>147</v>
      </c>
      <c r="D62" s="37">
        <v>365</v>
      </c>
      <c r="E62" s="37">
        <v>479</v>
      </c>
      <c r="F62" s="37">
        <v>48</v>
      </c>
      <c r="G62" s="37">
        <v>92</v>
      </c>
      <c r="H62" s="38">
        <f t="shared" si="8"/>
        <v>1131</v>
      </c>
    </row>
    <row r="63" spans="1:8" ht="15" customHeight="1" x14ac:dyDescent="0.3">
      <c r="A63" s="148" t="s">
        <v>3</v>
      </c>
      <c r="B63" s="12" t="s">
        <v>7</v>
      </c>
      <c r="C63" s="35">
        <v>3</v>
      </c>
      <c r="D63" s="35">
        <v>2</v>
      </c>
      <c r="E63" s="35">
        <v>21</v>
      </c>
      <c r="F63" s="35">
        <v>29</v>
      </c>
      <c r="G63" s="35">
        <v>8</v>
      </c>
      <c r="H63" s="36">
        <f t="shared" si="8"/>
        <v>63</v>
      </c>
    </row>
    <row r="64" spans="1:8" ht="15" customHeight="1" x14ac:dyDescent="0.3">
      <c r="A64" s="148"/>
      <c r="B64" s="12" t="s">
        <v>8</v>
      </c>
      <c r="C64" s="35">
        <v>386</v>
      </c>
      <c r="D64" s="35">
        <v>142</v>
      </c>
      <c r="E64" s="35">
        <v>642</v>
      </c>
      <c r="F64" s="35">
        <v>694</v>
      </c>
      <c r="G64" s="35">
        <v>109</v>
      </c>
      <c r="H64" s="36">
        <f t="shared" si="8"/>
        <v>1973</v>
      </c>
    </row>
    <row r="65" spans="1:8" ht="15" customHeight="1" x14ac:dyDescent="0.3">
      <c r="A65" s="148"/>
      <c r="B65" s="12" t="s">
        <v>9</v>
      </c>
      <c r="C65" s="35">
        <v>784</v>
      </c>
      <c r="D65" s="35">
        <v>293</v>
      </c>
      <c r="E65" s="35">
        <v>1238</v>
      </c>
      <c r="F65" s="35">
        <v>1305</v>
      </c>
      <c r="G65" s="35">
        <v>232</v>
      </c>
      <c r="H65" s="36">
        <f t="shared" si="8"/>
        <v>3852</v>
      </c>
    </row>
    <row r="66" spans="1:8" ht="15" customHeight="1" x14ac:dyDescent="0.3">
      <c r="A66" s="147" t="s">
        <v>10</v>
      </c>
      <c r="B66" s="10" t="s">
        <v>7</v>
      </c>
      <c r="C66" s="37">
        <v>7</v>
      </c>
      <c r="D66" s="37">
        <v>17</v>
      </c>
      <c r="E66" s="37">
        <v>51</v>
      </c>
      <c r="F66" s="37">
        <v>91</v>
      </c>
      <c r="G66" s="37">
        <v>40</v>
      </c>
      <c r="H66" s="38">
        <f t="shared" si="8"/>
        <v>206</v>
      </c>
    </row>
    <row r="67" spans="1:8" ht="15" customHeight="1" x14ac:dyDescent="0.3">
      <c r="A67" s="147"/>
      <c r="B67" s="10" t="s">
        <v>8</v>
      </c>
      <c r="C67" s="37">
        <v>578</v>
      </c>
      <c r="D67" s="37">
        <v>1179</v>
      </c>
      <c r="E67" s="37">
        <v>1435</v>
      </c>
      <c r="F67" s="37">
        <v>1811</v>
      </c>
      <c r="G67" s="37">
        <v>588</v>
      </c>
      <c r="H67" s="38">
        <f t="shared" si="8"/>
        <v>5591</v>
      </c>
    </row>
    <row r="68" spans="1:8" ht="15" customHeight="1" x14ac:dyDescent="0.3">
      <c r="A68" s="147"/>
      <c r="B68" s="10" t="s">
        <v>9</v>
      </c>
      <c r="C68" s="37">
        <v>1255</v>
      </c>
      <c r="D68" s="37">
        <v>2566</v>
      </c>
      <c r="E68" s="37">
        <v>2980</v>
      </c>
      <c r="F68" s="37">
        <v>3662</v>
      </c>
      <c r="G68" s="37">
        <v>1117</v>
      </c>
      <c r="H68" s="38">
        <f t="shared" si="8"/>
        <v>11580</v>
      </c>
    </row>
    <row r="69" spans="1:8" ht="15" customHeight="1" x14ac:dyDescent="0.3">
      <c r="A69" s="148" t="s">
        <v>4</v>
      </c>
      <c r="B69" s="12" t="s">
        <v>7</v>
      </c>
      <c r="C69" s="35">
        <v>2</v>
      </c>
      <c r="D69" s="35">
        <v>7</v>
      </c>
      <c r="E69" s="35">
        <v>18</v>
      </c>
      <c r="F69" s="35">
        <v>19</v>
      </c>
      <c r="G69" s="35">
        <v>10</v>
      </c>
      <c r="H69" s="36">
        <f t="shared" si="8"/>
        <v>56</v>
      </c>
    </row>
    <row r="70" spans="1:8" ht="15" customHeight="1" x14ac:dyDescent="0.3">
      <c r="A70" s="148"/>
      <c r="B70" s="12" t="s">
        <v>8</v>
      </c>
      <c r="C70" s="35">
        <v>179</v>
      </c>
      <c r="D70" s="35">
        <v>368</v>
      </c>
      <c r="E70" s="35">
        <v>702</v>
      </c>
      <c r="F70" s="35">
        <v>383</v>
      </c>
      <c r="G70" s="35">
        <v>154</v>
      </c>
      <c r="H70" s="36">
        <f t="shared" si="8"/>
        <v>1786</v>
      </c>
    </row>
    <row r="71" spans="1:8" ht="15" customHeight="1" x14ac:dyDescent="0.3">
      <c r="A71" s="148"/>
      <c r="B71" s="12" t="s">
        <v>9</v>
      </c>
      <c r="C71" s="35">
        <v>359</v>
      </c>
      <c r="D71" s="35">
        <v>664</v>
      </c>
      <c r="E71" s="35">
        <v>1332</v>
      </c>
      <c r="F71" s="35">
        <v>723</v>
      </c>
      <c r="G71" s="35">
        <v>325</v>
      </c>
      <c r="H71" s="36">
        <f t="shared" si="8"/>
        <v>3403</v>
      </c>
    </row>
    <row r="72" spans="1:8" ht="15" customHeight="1" x14ac:dyDescent="0.3">
      <c r="A72" s="147" t="s">
        <v>5</v>
      </c>
      <c r="B72" s="10" t="s">
        <v>7</v>
      </c>
      <c r="C72" s="37">
        <v>1</v>
      </c>
      <c r="D72" s="37">
        <v>2</v>
      </c>
      <c r="E72" s="37">
        <v>11</v>
      </c>
      <c r="F72" s="37">
        <v>1</v>
      </c>
      <c r="G72" s="37">
        <v>2</v>
      </c>
      <c r="H72" s="38">
        <f t="shared" si="8"/>
        <v>17</v>
      </c>
    </row>
    <row r="73" spans="1:8" ht="15" customHeight="1" x14ac:dyDescent="0.3">
      <c r="A73" s="147"/>
      <c r="B73" s="10" t="s">
        <v>8</v>
      </c>
      <c r="C73" s="37">
        <v>100</v>
      </c>
      <c r="D73" s="37">
        <v>62</v>
      </c>
      <c r="E73" s="37">
        <v>424</v>
      </c>
      <c r="F73" s="37">
        <v>34</v>
      </c>
      <c r="G73" s="37">
        <v>34</v>
      </c>
      <c r="H73" s="38">
        <f t="shared" si="8"/>
        <v>654</v>
      </c>
    </row>
    <row r="74" spans="1:8" ht="15" customHeight="1" x14ac:dyDescent="0.3">
      <c r="A74" s="147"/>
      <c r="B74" s="10" t="s">
        <v>9</v>
      </c>
      <c r="C74" s="37">
        <v>183</v>
      </c>
      <c r="D74" s="37">
        <v>125</v>
      </c>
      <c r="E74" s="37">
        <v>845</v>
      </c>
      <c r="F74" s="37">
        <v>74</v>
      </c>
      <c r="G74" s="37">
        <v>66</v>
      </c>
      <c r="H74" s="38">
        <f t="shared" si="8"/>
        <v>1293</v>
      </c>
    </row>
    <row r="75" spans="1:8" ht="15" customHeight="1" x14ac:dyDescent="0.3">
      <c r="A75" s="148" t="s">
        <v>6</v>
      </c>
      <c r="B75" s="12" t="s">
        <v>7</v>
      </c>
      <c r="C75" s="35"/>
      <c r="D75" s="35">
        <v>4</v>
      </c>
      <c r="E75" s="35">
        <v>16</v>
      </c>
      <c r="F75" s="35"/>
      <c r="G75" s="35">
        <v>1</v>
      </c>
      <c r="H75" s="36">
        <f t="shared" si="8"/>
        <v>21</v>
      </c>
    </row>
    <row r="76" spans="1:8" ht="15" customHeight="1" x14ac:dyDescent="0.3">
      <c r="A76" s="148"/>
      <c r="B76" s="12" t="s">
        <v>8</v>
      </c>
      <c r="C76" s="35"/>
      <c r="D76" s="35">
        <v>167</v>
      </c>
      <c r="E76" s="35">
        <v>595</v>
      </c>
      <c r="F76" s="35"/>
      <c r="G76" s="35">
        <v>90</v>
      </c>
      <c r="H76" s="36">
        <f t="shared" si="8"/>
        <v>852</v>
      </c>
    </row>
    <row r="77" spans="1:8" ht="15" customHeight="1" x14ac:dyDescent="0.3">
      <c r="A77" s="148"/>
      <c r="B77" s="12" t="s">
        <v>9</v>
      </c>
      <c r="C77" s="35"/>
      <c r="D77" s="35">
        <v>320</v>
      </c>
      <c r="E77" s="35">
        <v>1108</v>
      </c>
      <c r="F77" s="35"/>
      <c r="G77" s="35">
        <v>90</v>
      </c>
      <c r="H77" s="36">
        <f t="shared" si="8"/>
        <v>1518</v>
      </c>
    </row>
    <row r="78" spans="1:8" ht="15" customHeight="1" x14ac:dyDescent="0.3">
      <c r="A78" s="149" t="s">
        <v>1</v>
      </c>
      <c r="B78" s="109" t="s">
        <v>7</v>
      </c>
      <c r="C78" s="110">
        <f t="shared" ref="C78:H78" si="9">C60+C63+C66+C69+C72+C75</f>
        <v>14</v>
      </c>
      <c r="D78" s="110">
        <f t="shared" si="9"/>
        <v>35</v>
      </c>
      <c r="E78" s="110">
        <f t="shared" si="9"/>
        <v>129</v>
      </c>
      <c r="F78" s="110">
        <f t="shared" si="9"/>
        <v>141</v>
      </c>
      <c r="G78" s="110">
        <f t="shared" si="9"/>
        <v>64</v>
      </c>
      <c r="H78" s="110">
        <f t="shared" si="9"/>
        <v>383</v>
      </c>
    </row>
    <row r="79" spans="1:8" ht="15" customHeight="1" x14ac:dyDescent="0.3">
      <c r="A79" s="149"/>
      <c r="B79" s="109" t="s">
        <v>8</v>
      </c>
      <c r="C79" s="110">
        <f t="shared" ref="C79:H79" si="10">C61+C64+C67+C70+C73+C76</f>
        <v>1316</v>
      </c>
      <c r="D79" s="110">
        <f t="shared" si="10"/>
        <v>2091</v>
      </c>
      <c r="E79" s="110">
        <f t="shared" si="10"/>
        <v>4033</v>
      </c>
      <c r="F79" s="110">
        <f t="shared" si="10"/>
        <v>2948</v>
      </c>
      <c r="G79" s="110">
        <f t="shared" si="10"/>
        <v>1024</v>
      </c>
      <c r="H79" s="110">
        <f t="shared" si="10"/>
        <v>11412</v>
      </c>
    </row>
    <row r="80" spans="1:8" ht="15" customHeight="1" x14ac:dyDescent="0.3">
      <c r="A80" s="149"/>
      <c r="B80" s="109" t="s">
        <v>9</v>
      </c>
      <c r="C80" s="110">
        <f t="shared" ref="C80:H80" si="11">C62+C65+C68+C71+C74+C77</f>
        <v>2728</v>
      </c>
      <c r="D80" s="110">
        <f t="shared" si="11"/>
        <v>4333</v>
      </c>
      <c r="E80" s="110">
        <f t="shared" si="11"/>
        <v>7982</v>
      </c>
      <c r="F80" s="110">
        <f t="shared" si="11"/>
        <v>5812</v>
      </c>
      <c r="G80" s="110">
        <f t="shared" si="11"/>
        <v>1922</v>
      </c>
      <c r="H80" s="110">
        <f t="shared" si="11"/>
        <v>22777</v>
      </c>
    </row>
    <row r="81" spans="1:8" ht="15" customHeight="1" x14ac:dyDescent="0.3">
      <c r="A81" s="81" t="s">
        <v>111</v>
      </c>
      <c r="B81" s="84"/>
      <c r="C81" s="84"/>
      <c r="D81" s="84"/>
      <c r="E81" s="84"/>
      <c r="F81" s="84"/>
      <c r="G81" s="83"/>
      <c r="H81" s="83"/>
    </row>
    <row r="84" spans="1:8" ht="15" customHeight="1" x14ac:dyDescent="0.3">
      <c r="A84" s="146" t="s">
        <v>76</v>
      </c>
      <c r="B84" s="146"/>
      <c r="C84" s="146"/>
      <c r="D84" s="146"/>
      <c r="E84" s="146"/>
      <c r="F84" s="146"/>
      <c r="G84" s="146"/>
      <c r="H84" s="146"/>
    </row>
    <row r="85" spans="1:8" ht="15" customHeight="1" x14ac:dyDescent="0.3">
      <c r="A85" s="146" t="s">
        <v>120</v>
      </c>
      <c r="B85" s="146"/>
      <c r="C85" s="146"/>
      <c r="D85" s="146"/>
      <c r="E85" s="146"/>
      <c r="F85" s="146"/>
      <c r="G85" s="146"/>
      <c r="H85" s="146"/>
    </row>
    <row r="86" spans="1:8" ht="15" customHeight="1" x14ac:dyDescent="0.3">
      <c r="A86" s="91" t="s">
        <v>103</v>
      </c>
      <c r="B86" s="92"/>
      <c r="C86" s="92" t="s">
        <v>39</v>
      </c>
      <c r="D86" s="92" t="s">
        <v>40</v>
      </c>
      <c r="E86" s="92" t="s">
        <v>41</v>
      </c>
      <c r="F86" s="92" t="s">
        <v>42</v>
      </c>
      <c r="G86" s="92" t="s">
        <v>0</v>
      </c>
      <c r="H86" s="92" t="s">
        <v>1</v>
      </c>
    </row>
    <row r="87" spans="1:8" ht="15" customHeight="1" x14ac:dyDescent="0.3">
      <c r="A87" s="147" t="s">
        <v>2</v>
      </c>
      <c r="B87" s="10" t="s">
        <v>7</v>
      </c>
      <c r="C87" s="37">
        <v>1</v>
      </c>
      <c r="D87" s="37">
        <v>3</v>
      </c>
      <c r="E87" s="37">
        <v>12</v>
      </c>
      <c r="F87" s="37">
        <v>1</v>
      </c>
      <c r="G87" s="37">
        <v>3</v>
      </c>
      <c r="H87" s="38">
        <f>SUM(C87:G87)</f>
        <v>20</v>
      </c>
    </row>
    <row r="88" spans="1:8" ht="15" customHeight="1" x14ac:dyDescent="0.3">
      <c r="A88" s="147"/>
      <c r="B88" s="10" t="s">
        <v>8</v>
      </c>
      <c r="C88" s="37">
        <v>73</v>
      </c>
      <c r="D88" s="37">
        <v>173</v>
      </c>
      <c r="E88" s="37">
        <v>235</v>
      </c>
      <c r="F88" s="37">
        <v>26</v>
      </c>
      <c r="G88" s="37">
        <v>49</v>
      </c>
      <c r="H88" s="38">
        <f t="shared" ref="H88:H104" si="12">SUM(C88:G88)</f>
        <v>556</v>
      </c>
    </row>
    <row r="89" spans="1:8" ht="15" customHeight="1" x14ac:dyDescent="0.3">
      <c r="A89" s="147"/>
      <c r="B89" s="10" t="s">
        <v>9</v>
      </c>
      <c r="C89" s="37">
        <v>147</v>
      </c>
      <c r="D89" s="37">
        <v>365</v>
      </c>
      <c r="E89" s="37">
        <v>479</v>
      </c>
      <c r="F89" s="37">
        <v>48</v>
      </c>
      <c r="G89" s="37">
        <v>92</v>
      </c>
      <c r="H89" s="38">
        <f t="shared" si="12"/>
        <v>1131</v>
      </c>
    </row>
    <row r="90" spans="1:8" ht="15" customHeight="1" x14ac:dyDescent="0.3">
      <c r="A90" s="148" t="s">
        <v>3</v>
      </c>
      <c r="B90" s="12" t="s">
        <v>7</v>
      </c>
      <c r="C90" s="35">
        <v>3</v>
      </c>
      <c r="D90" s="35">
        <v>2</v>
      </c>
      <c r="E90" s="35">
        <v>20</v>
      </c>
      <c r="F90" s="35">
        <v>29</v>
      </c>
      <c r="G90" s="35">
        <v>9</v>
      </c>
      <c r="H90" s="36">
        <f t="shared" si="12"/>
        <v>63</v>
      </c>
    </row>
    <row r="91" spans="1:8" ht="15" customHeight="1" x14ac:dyDescent="0.3">
      <c r="A91" s="148"/>
      <c r="B91" s="12" t="s">
        <v>8</v>
      </c>
      <c r="C91" s="35">
        <v>386</v>
      </c>
      <c r="D91" s="35">
        <v>142</v>
      </c>
      <c r="E91" s="35">
        <v>624</v>
      </c>
      <c r="F91" s="35">
        <v>701</v>
      </c>
      <c r="G91" s="35">
        <v>127</v>
      </c>
      <c r="H91" s="36">
        <f t="shared" si="12"/>
        <v>1980</v>
      </c>
    </row>
    <row r="92" spans="1:8" ht="15" customHeight="1" x14ac:dyDescent="0.3">
      <c r="A92" s="148"/>
      <c r="B92" s="12" t="s">
        <v>9</v>
      </c>
      <c r="C92" s="35">
        <v>784</v>
      </c>
      <c r="D92" s="35">
        <v>293</v>
      </c>
      <c r="E92" s="35">
        <v>1207</v>
      </c>
      <c r="F92" s="35">
        <v>1302</v>
      </c>
      <c r="G92" s="35">
        <v>262</v>
      </c>
      <c r="H92" s="36">
        <f t="shared" si="12"/>
        <v>3848</v>
      </c>
    </row>
    <row r="93" spans="1:8" ht="15" customHeight="1" x14ac:dyDescent="0.3">
      <c r="A93" s="147" t="s">
        <v>10</v>
      </c>
      <c r="B93" s="10" t="s">
        <v>7</v>
      </c>
      <c r="C93" s="37">
        <v>7</v>
      </c>
      <c r="D93" s="37">
        <v>17</v>
      </c>
      <c r="E93" s="37">
        <v>47</v>
      </c>
      <c r="F93" s="37">
        <v>94</v>
      </c>
      <c r="G93" s="37">
        <v>41</v>
      </c>
      <c r="H93" s="38">
        <f t="shared" si="12"/>
        <v>206</v>
      </c>
    </row>
    <row r="94" spans="1:8" ht="15" customHeight="1" x14ac:dyDescent="0.3">
      <c r="A94" s="147"/>
      <c r="B94" s="10" t="s">
        <v>8</v>
      </c>
      <c r="C94" s="37">
        <v>578</v>
      </c>
      <c r="D94" s="37">
        <v>1179</v>
      </c>
      <c r="E94" s="37">
        <v>1359</v>
      </c>
      <c r="F94" s="37">
        <v>1823</v>
      </c>
      <c r="G94" s="37">
        <v>596</v>
      </c>
      <c r="H94" s="38">
        <f t="shared" si="12"/>
        <v>5535</v>
      </c>
    </row>
    <row r="95" spans="1:8" ht="15" customHeight="1" x14ac:dyDescent="0.3">
      <c r="A95" s="147"/>
      <c r="B95" s="10" t="s">
        <v>9</v>
      </c>
      <c r="C95" s="37">
        <v>1255</v>
      </c>
      <c r="D95" s="37">
        <v>2567</v>
      </c>
      <c r="E95" s="37">
        <v>2806</v>
      </c>
      <c r="F95" s="37">
        <v>3680</v>
      </c>
      <c r="G95" s="37">
        <v>1129</v>
      </c>
      <c r="H95" s="38">
        <f t="shared" si="12"/>
        <v>11437</v>
      </c>
    </row>
    <row r="96" spans="1:8" ht="15" customHeight="1" x14ac:dyDescent="0.3">
      <c r="A96" s="148" t="s">
        <v>4</v>
      </c>
      <c r="B96" s="12" t="s">
        <v>7</v>
      </c>
      <c r="C96" s="35">
        <v>2</v>
      </c>
      <c r="D96" s="35">
        <v>6</v>
      </c>
      <c r="E96" s="35">
        <v>17</v>
      </c>
      <c r="F96" s="35">
        <v>19</v>
      </c>
      <c r="G96" s="35">
        <v>10</v>
      </c>
      <c r="H96" s="36">
        <f t="shared" si="12"/>
        <v>54</v>
      </c>
    </row>
    <row r="97" spans="1:8" ht="15" customHeight="1" x14ac:dyDescent="0.3">
      <c r="A97" s="148"/>
      <c r="B97" s="12" t="s">
        <v>8</v>
      </c>
      <c r="C97" s="35">
        <v>179</v>
      </c>
      <c r="D97" s="35">
        <v>345</v>
      </c>
      <c r="E97" s="35">
        <v>672</v>
      </c>
      <c r="F97" s="35">
        <v>396</v>
      </c>
      <c r="G97" s="35">
        <v>154</v>
      </c>
      <c r="H97" s="36">
        <f t="shared" si="12"/>
        <v>1746</v>
      </c>
    </row>
    <row r="98" spans="1:8" ht="15" customHeight="1" x14ac:dyDescent="0.3">
      <c r="A98" s="148"/>
      <c r="B98" s="12" t="s">
        <v>9</v>
      </c>
      <c r="C98" s="35">
        <v>359</v>
      </c>
      <c r="D98" s="35">
        <v>623</v>
      </c>
      <c r="E98" s="35">
        <v>1282</v>
      </c>
      <c r="F98" s="35">
        <v>739</v>
      </c>
      <c r="G98" s="35">
        <v>325</v>
      </c>
      <c r="H98" s="36">
        <f t="shared" si="12"/>
        <v>3328</v>
      </c>
    </row>
    <row r="99" spans="1:8" ht="15" customHeight="1" x14ac:dyDescent="0.3">
      <c r="A99" s="147" t="s">
        <v>5</v>
      </c>
      <c r="B99" s="10" t="s">
        <v>7</v>
      </c>
      <c r="C99" s="37">
        <v>1</v>
      </c>
      <c r="D99" s="37">
        <v>2</v>
      </c>
      <c r="E99" s="37">
        <v>11</v>
      </c>
      <c r="F99" s="37">
        <v>1</v>
      </c>
      <c r="G99" s="37">
        <v>2</v>
      </c>
      <c r="H99" s="38">
        <f t="shared" si="12"/>
        <v>17</v>
      </c>
    </row>
    <row r="100" spans="1:8" ht="15" customHeight="1" x14ac:dyDescent="0.3">
      <c r="A100" s="147"/>
      <c r="B100" s="10" t="s">
        <v>8</v>
      </c>
      <c r="C100" s="37">
        <v>100</v>
      </c>
      <c r="D100" s="37">
        <v>62</v>
      </c>
      <c r="E100" s="37">
        <v>424</v>
      </c>
      <c r="F100" s="37">
        <v>34</v>
      </c>
      <c r="G100" s="37">
        <v>34</v>
      </c>
      <c r="H100" s="38">
        <f t="shared" si="12"/>
        <v>654</v>
      </c>
    </row>
    <row r="101" spans="1:8" ht="15" customHeight="1" x14ac:dyDescent="0.3">
      <c r="A101" s="147"/>
      <c r="B101" s="10" t="s">
        <v>9</v>
      </c>
      <c r="C101" s="37">
        <v>183</v>
      </c>
      <c r="D101" s="37">
        <v>125</v>
      </c>
      <c r="E101" s="37">
        <v>845</v>
      </c>
      <c r="F101" s="37">
        <v>74</v>
      </c>
      <c r="G101" s="37">
        <v>66</v>
      </c>
      <c r="H101" s="38">
        <f t="shared" si="12"/>
        <v>1293</v>
      </c>
    </row>
    <row r="102" spans="1:8" ht="15" customHeight="1" x14ac:dyDescent="0.3">
      <c r="A102" s="148" t="s">
        <v>6</v>
      </c>
      <c r="B102" s="12" t="s">
        <v>7</v>
      </c>
      <c r="C102" s="35">
        <v>0</v>
      </c>
      <c r="D102" s="35">
        <v>4</v>
      </c>
      <c r="E102" s="35">
        <v>16</v>
      </c>
      <c r="F102" s="35">
        <v>0</v>
      </c>
      <c r="G102" s="35">
        <v>1</v>
      </c>
      <c r="H102" s="36">
        <f t="shared" si="12"/>
        <v>21</v>
      </c>
    </row>
    <row r="103" spans="1:8" ht="15" customHeight="1" x14ac:dyDescent="0.3">
      <c r="A103" s="148"/>
      <c r="B103" s="12" t="s">
        <v>8</v>
      </c>
      <c r="C103" s="35">
        <v>0</v>
      </c>
      <c r="D103" s="35">
        <v>167</v>
      </c>
      <c r="E103" s="35">
        <v>595</v>
      </c>
      <c r="F103" s="35">
        <v>0</v>
      </c>
      <c r="G103" s="35">
        <v>11</v>
      </c>
      <c r="H103" s="36">
        <f t="shared" si="12"/>
        <v>773</v>
      </c>
    </row>
    <row r="104" spans="1:8" ht="15" customHeight="1" x14ac:dyDescent="0.3">
      <c r="A104" s="148"/>
      <c r="B104" s="12" t="s">
        <v>9</v>
      </c>
      <c r="C104" s="35">
        <v>0</v>
      </c>
      <c r="D104" s="35">
        <v>320</v>
      </c>
      <c r="E104" s="35">
        <v>1108</v>
      </c>
      <c r="F104" s="35">
        <v>0</v>
      </c>
      <c r="G104" s="35">
        <v>22</v>
      </c>
      <c r="H104" s="36">
        <f t="shared" si="12"/>
        <v>1450</v>
      </c>
    </row>
    <row r="105" spans="1:8" ht="15" customHeight="1" x14ac:dyDescent="0.3">
      <c r="A105" s="149" t="s">
        <v>1</v>
      </c>
      <c r="B105" s="109" t="s">
        <v>7</v>
      </c>
      <c r="C105" s="110">
        <f t="shared" ref="C105:H105" si="13">C87+C90+C93+C96+C99+C102</f>
        <v>14</v>
      </c>
      <c r="D105" s="110">
        <f t="shared" si="13"/>
        <v>34</v>
      </c>
      <c r="E105" s="110">
        <f t="shared" si="13"/>
        <v>123</v>
      </c>
      <c r="F105" s="110">
        <f t="shared" si="13"/>
        <v>144</v>
      </c>
      <c r="G105" s="110">
        <f t="shared" si="13"/>
        <v>66</v>
      </c>
      <c r="H105" s="110">
        <f t="shared" si="13"/>
        <v>381</v>
      </c>
    </row>
    <row r="106" spans="1:8" ht="15" customHeight="1" x14ac:dyDescent="0.3">
      <c r="A106" s="149"/>
      <c r="B106" s="109" t="s">
        <v>8</v>
      </c>
      <c r="C106" s="110">
        <f t="shared" ref="C106:H106" si="14">C88+C91+C94+C97+C100+C103</f>
        <v>1316</v>
      </c>
      <c r="D106" s="110">
        <f t="shared" si="14"/>
        <v>2068</v>
      </c>
      <c r="E106" s="110">
        <f t="shared" si="14"/>
        <v>3909</v>
      </c>
      <c r="F106" s="110">
        <f t="shared" si="14"/>
        <v>2980</v>
      </c>
      <c r="G106" s="110">
        <f t="shared" si="14"/>
        <v>971</v>
      </c>
      <c r="H106" s="110">
        <f t="shared" si="14"/>
        <v>11244</v>
      </c>
    </row>
    <row r="107" spans="1:8" ht="15" customHeight="1" x14ac:dyDescent="0.3">
      <c r="A107" s="149"/>
      <c r="B107" s="109" t="s">
        <v>9</v>
      </c>
      <c r="C107" s="110">
        <f t="shared" ref="C107:H107" si="15">C89+C92+C95+C98+C101+C104</f>
        <v>2728</v>
      </c>
      <c r="D107" s="110">
        <f t="shared" si="15"/>
        <v>4293</v>
      </c>
      <c r="E107" s="110">
        <f t="shared" si="15"/>
        <v>7727</v>
      </c>
      <c r="F107" s="110">
        <f t="shared" si="15"/>
        <v>5843</v>
      </c>
      <c r="G107" s="110">
        <f t="shared" si="15"/>
        <v>1896</v>
      </c>
      <c r="H107" s="110">
        <f t="shared" si="15"/>
        <v>22487</v>
      </c>
    </row>
    <row r="108" spans="1:8" ht="15" customHeight="1" x14ac:dyDescent="0.3">
      <c r="A108" s="81" t="s">
        <v>111</v>
      </c>
      <c r="B108" s="84"/>
      <c r="C108" s="84"/>
      <c r="D108" s="84"/>
      <c r="E108" s="84"/>
      <c r="F108" s="84"/>
      <c r="G108" s="83"/>
      <c r="H108" s="83"/>
    </row>
    <row r="111" spans="1:8" ht="15" customHeight="1" x14ac:dyDescent="0.3">
      <c r="A111" s="146" t="s">
        <v>76</v>
      </c>
      <c r="B111" s="146"/>
      <c r="C111" s="146"/>
      <c r="D111" s="146"/>
      <c r="E111" s="146"/>
      <c r="F111" s="146"/>
      <c r="G111" s="146"/>
      <c r="H111" s="146"/>
    </row>
    <row r="112" spans="1:8" ht="15" customHeight="1" x14ac:dyDescent="0.3">
      <c r="A112" s="146" t="s">
        <v>116</v>
      </c>
      <c r="B112" s="146"/>
      <c r="C112" s="146"/>
      <c r="D112" s="146"/>
      <c r="E112" s="146"/>
      <c r="F112" s="146"/>
      <c r="G112" s="146"/>
      <c r="H112" s="146"/>
    </row>
    <row r="113" spans="1:8" ht="15" customHeight="1" x14ac:dyDescent="0.3">
      <c r="A113" s="91" t="s">
        <v>103</v>
      </c>
      <c r="B113" s="92"/>
      <c r="C113" s="92" t="s">
        <v>39</v>
      </c>
      <c r="D113" s="92" t="s">
        <v>40</v>
      </c>
      <c r="E113" s="92" t="s">
        <v>41</v>
      </c>
      <c r="F113" s="92" t="s">
        <v>42</v>
      </c>
      <c r="G113" s="92" t="s">
        <v>0</v>
      </c>
      <c r="H113" s="92" t="s">
        <v>1</v>
      </c>
    </row>
    <row r="114" spans="1:8" ht="15" customHeight="1" x14ac:dyDescent="0.3">
      <c r="A114" s="147" t="s">
        <v>2</v>
      </c>
      <c r="B114" s="10" t="s">
        <v>7</v>
      </c>
      <c r="C114" s="37">
        <v>1</v>
      </c>
      <c r="D114" s="37">
        <v>3</v>
      </c>
      <c r="E114" s="37">
        <v>12</v>
      </c>
      <c r="F114" s="37">
        <v>2</v>
      </c>
      <c r="G114" s="37">
        <v>3</v>
      </c>
      <c r="H114" s="38">
        <f>SUM(C114:G114)</f>
        <v>21</v>
      </c>
    </row>
    <row r="115" spans="1:8" ht="15" customHeight="1" x14ac:dyDescent="0.3">
      <c r="A115" s="147"/>
      <c r="B115" s="10" t="s">
        <v>8</v>
      </c>
      <c r="C115" s="37">
        <v>73</v>
      </c>
      <c r="D115" s="37">
        <v>173</v>
      </c>
      <c r="E115" s="37">
        <v>235</v>
      </c>
      <c r="F115" s="37">
        <v>68</v>
      </c>
      <c r="G115" s="37">
        <v>49</v>
      </c>
      <c r="H115" s="38">
        <f t="shared" ref="H115:H131" si="16">SUM(C115:G115)</f>
        <v>598</v>
      </c>
    </row>
    <row r="116" spans="1:8" ht="15" customHeight="1" x14ac:dyDescent="0.3">
      <c r="A116" s="147"/>
      <c r="B116" s="10" t="s">
        <v>9</v>
      </c>
      <c r="C116" s="37">
        <v>147</v>
      </c>
      <c r="D116" s="37">
        <v>365</v>
      </c>
      <c r="E116" s="37">
        <v>479</v>
      </c>
      <c r="F116" s="37">
        <v>121</v>
      </c>
      <c r="G116" s="37">
        <v>92</v>
      </c>
      <c r="H116" s="38">
        <f t="shared" si="16"/>
        <v>1204</v>
      </c>
    </row>
    <row r="117" spans="1:8" ht="15" customHeight="1" x14ac:dyDescent="0.3">
      <c r="A117" s="148" t="s">
        <v>3</v>
      </c>
      <c r="B117" s="12" t="s">
        <v>7</v>
      </c>
      <c r="C117" s="35">
        <v>3</v>
      </c>
      <c r="D117" s="35">
        <v>2</v>
      </c>
      <c r="E117" s="35">
        <v>21</v>
      </c>
      <c r="F117" s="35">
        <v>29</v>
      </c>
      <c r="G117" s="35">
        <v>9</v>
      </c>
      <c r="H117" s="36">
        <f t="shared" si="16"/>
        <v>64</v>
      </c>
    </row>
    <row r="118" spans="1:8" ht="15" customHeight="1" x14ac:dyDescent="0.3">
      <c r="A118" s="148"/>
      <c r="B118" s="12" t="s">
        <v>8</v>
      </c>
      <c r="C118" s="35">
        <v>386</v>
      </c>
      <c r="D118" s="35">
        <v>142</v>
      </c>
      <c r="E118" s="35">
        <v>632</v>
      </c>
      <c r="F118" s="35">
        <v>701</v>
      </c>
      <c r="G118" s="35">
        <v>127</v>
      </c>
      <c r="H118" s="36">
        <f t="shared" si="16"/>
        <v>1988</v>
      </c>
    </row>
    <row r="119" spans="1:8" ht="15" customHeight="1" x14ac:dyDescent="0.3">
      <c r="A119" s="148"/>
      <c r="B119" s="12" t="s">
        <v>9</v>
      </c>
      <c r="C119" s="35">
        <v>784</v>
      </c>
      <c r="D119" s="35">
        <v>293</v>
      </c>
      <c r="E119" s="35">
        <v>1217</v>
      </c>
      <c r="F119" s="35">
        <v>1302</v>
      </c>
      <c r="G119" s="35">
        <v>262</v>
      </c>
      <c r="H119" s="36">
        <f t="shared" si="16"/>
        <v>3858</v>
      </c>
    </row>
    <row r="120" spans="1:8" ht="15" customHeight="1" x14ac:dyDescent="0.3">
      <c r="A120" s="147" t="s">
        <v>10</v>
      </c>
      <c r="B120" s="10" t="s">
        <v>7</v>
      </c>
      <c r="C120" s="37">
        <v>6</v>
      </c>
      <c r="D120" s="37">
        <v>17</v>
      </c>
      <c r="E120" s="37">
        <v>45</v>
      </c>
      <c r="F120" s="37">
        <v>98</v>
      </c>
      <c r="G120" s="37">
        <v>41</v>
      </c>
      <c r="H120" s="38">
        <f t="shared" si="16"/>
        <v>207</v>
      </c>
    </row>
    <row r="121" spans="1:8" ht="15" customHeight="1" x14ac:dyDescent="0.3">
      <c r="A121" s="147"/>
      <c r="B121" s="10" t="s">
        <v>8</v>
      </c>
      <c r="C121" s="37">
        <v>543</v>
      </c>
      <c r="D121" s="37">
        <v>1179</v>
      </c>
      <c r="E121" s="37">
        <v>1310</v>
      </c>
      <c r="F121" s="37">
        <v>1889</v>
      </c>
      <c r="G121" s="37">
        <v>613</v>
      </c>
      <c r="H121" s="38">
        <f t="shared" si="16"/>
        <v>5534</v>
      </c>
    </row>
    <row r="122" spans="1:8" ht="15" customHeight="1" x14ac:dyDescent="0.3">
      <c r="A122" s="147"/>
      <c r="B122" s="10" t="s">
        <v>9</v>
      </c>
      <c r="C122" s="37">
        <v>1181</v>
      </c>
      <c r="D122" s="37">
        <v>2577</v>
      </c>
      <c r="E122" s="37">
        <v>2699</v>
      </c>
      <c r="F122" s="37">
        <v>3801</v>
      </c>
      <c r="G122" s="37">
        <v>1164</v>
      </c>
      <c r="H122" s="38">
        <f t="shared" si="16"/>
        <v>11422</v>
      </c>
    </row>
    <row r="123" spans="1:8" ht="15" customHeight="1" x14ac:dyDescent="0.3">
      <c r="A123" s="148" t="s">
        <v>4</v>
      </c>
      <c r="B123" s="12" t="s">
        <v>7</v>
      </c>
      <c r="C123" s="35">
        <v>2</v>
      </c>
      <c r="D123" s="35">
        <v>5</v>
      </c>
      <c r="E123" s="35">
        <v>14</v>
      </c>
      <c r="F123" s="35">
        <v>21</v>
      </c>
      <c r="G123" s="35">
        <v>10</v>
      </c>
      <c r="H123" s="36">
        <f t="shared" si="16"/>
        <v>52</v>
      </c>
    </row>
    <row r="124" spans="1:8" ht="15" customHeight="1" x14ac:dyDescent="0.3">
      <c r="A124" s="148"/>
      <c r="B124" s="12" t="s">
        <v>8</v>
      </c>
      <c r="C124" s="35">
        <v>179</v>
      </c>
      <c r="D124" s="35">
        <v>300</v>
      </c>
      <c r="E124" s="35">
        <v>593</v>
      </c>
      <c r="F124" s="35">
        <v>429</v>
      </c>
      <c r="G124" s="35">
        <v>154</v>
      </c>
      <c r="H124" s="36">
        <f t="shared" si="16"/>
        <v>1655</v>
      </c>
    </row>
    <row r="125" spans="1:8" ht="15" customHeight="1" x14ac:dyDescent="0.3">
      <c r="A125" s="148"/>
      <c r="B125" s="12" t="s">
        <v>9</v>
      </c>
      <c r="C125" s="35">
        <v>359</v>
      </c>
      <c r="D125" s="35">
        <v>539</v>
      </c>
      <c r="E125" s="35">
        <v>1129</v>
      </c>
      <c r="F125" s="35">
        <v>799</v>
      </c>
      <c r="G125" s="35">
        <v>325</v>
      </c>
      <c r="H125" s="36">
        <f t="shared" si="16"/>
        <v>3151</v>
      </c>
    </row>
    <row r="126" spans="1:8" ht="15" customHeight="1" x14ac:dyDescent="0.3">
      <c r="A126" s="147" t="s">
        <v>5</v>
      </c>
      <c r="B126" s="10" t="s">
        <v>7</v>
      </c>
      <c r="C126" s="37">
        <v>2</v>
      </c>
      <c r="D126" s="37">
        <v>2</v>
      </c>
      <c r="E126" s="37">
        <v>11</v>
      </c>
      <c r="F126" s="37">
        <v>1</v>
      </c>
      <c r="G126" s="37">
        <v>2</v>
      </c>
      <c r="H126" s="38">
        <f t="shared" si="16"/>
        <v>18</v>
      </c>
    </row>
    <row r="127" spans="1:8" ht="15" customHeight="1" x14ac:dyDescent="0.3">
      <c r="A127" s="147"/>
      <c r="B127" s="10" t="s">
        <v>8</v>
      </c>
      <c r="C127" s="37">
        <v>127</v>
      </c>
      <c r="D127" s="37">
        <v>62</v>
      </c>
      <c r="E127" s="37">
        <v>424</v>
      </c>
      <c r="F127" s="37">
        <v>34</v>
      </c>
      <c r="G127" s="37">
        <v>34</v>
      </c>
      <c r="H127" s="38">
        <f t="shared" si="16"/>
        <v>681</v>
      </c>
    </row>
    <row r="128" spans="1:8" ht="15" customHeight="1" x14ac:dyDescent="0.3">
      <c r="A128" s="147"/>
      <c r="B128" s="10" t="s">
        <v>9</v>
      </c>
      <c r="C128" s="37">
        <v>244</v>
      </c>
      <c r="D128" s="37">
        <v>125</v>
      </c>
      <c r="E128" s="37">
        <v>845</v>
      </c>
      <c r="F128" s="37">
        <v>74</v>
      </c>
      <c r="G128" s="37">
        <v>66</v>
      </c>
      <c r="H128" s="38">
        <f t="shared" si="16"/>
        <v>1354</v>
      </c>
    </row>
    <row r="129" spans="1:8" ht="15" customHeight="1" x14ac:dyDescent="0.3">
      <c r="A129" s="148" t="s">
        <v>6</v>
      </c>
      <c r="B129" s="12" t="s">
        <v>7</v>
      </c>
      <c r="C129" s="35">
        <v>0</v>
      </c>
      <c r="D129" s="35">
        <v>3</v>
      </c>
      <c r="E129" s="35">
        <v>17</v>
      </c>
      <c r="F129" s="35">
        <v>0</v>
      </c>
      <c r="G129" s="35">
        <v>1</v>
      </c>
      <c r="H129" s="36">
        <f t="shared" si="16"/>
        <v>21</v>
      </c>
    </row>
    <row r="130" spans="1:8" ht="15" customHeight="1" x14ac:dyDescent="0.3">
      <c r="A130" s="148"/>
      <c r="B130" s="12" t="s">
        <v>8</v>
      </c>
      <c r="C130" s="35">
        <v>0</v>
      </c>
      <c r="D130" s="35">
        <v>112</v>
      </c>
      <c r="E130" s="35">
        <v>605</v>
      </c>
      <c r="F130" s="35">
        <v>0</v>
      </c>
      <c r="G130" s="35">
        <v>11</v>
      </c>
      <c r="H130" s="36">
        <f t="shared" si="16"/>
        <v>728</v>
      </c>
    </row>
    <row r="131" spans="1:8" ht="15" customHeight="1" x14ac:dyDescent="0.3">
      <c r="A131" s="148"/>
      <c r="B131" s="12" t="s">
        <v>9</v>
      </c>
      <c r="C131" s="35">
        <v>0</v>
      </c>
      <c r="D131" s="35">
        <v>224</v>
      </c>
      <c r="E131" s="35">
        <v>1129</v>
      </c>
      <c r="F131" s="35">
        <v>0</v>
      </c>
      <c r="G131" s="35">
        <v>22</v>
      </c>
      <c r="H131" s="36">
        <f t="shared" si="16"/>
        <v>1375</v>
      </c>
    </row>
    <row r="132" spans="1:8" ht="15" customHeight="1" x14ac:dyDescent="0.3">
      <c r="A132" s="149" t="s">
        <v>1</v>
      </c>
      <c r="B132" s="109" t="s">
        <v>7</v>
      </c>
      <c r="C132" s="110">
        <f t="shared" ref="C132:H132" si="17">C114+C117+C120+C123+C126+C129</f>
        <v>14</v>
      </c>
      <c r="D132" s="110">
        <f t="shared" si="17"/>
        <v>32</v>
      </c>
      <c r="E132" s="110">
        <f t="shared" si="17"/>
        <v>120</v>
      </c>
      <c r="F132" s="110">
        <f t="shared" si="17"/>
        <v>151</v>
      </c>
      <c r="G132" s="110">
        <f t="shared" si="17"/>
        <v>66</v>
      </c>
      <c r="H132" s="110">
        <f t="shared" si="17"/>
        <v>383</v>
      </c>
    </row>
    <row r="133" spans="1:8" ht="15" customHeight="1" x14ac:dyDescent="0.3">
      <c r="A133" s="149"/>
      <c r="B133" s="109" t="s">
        <v>8</v>
      </c>
      <c r="C133" s="110">
        <f t="shared" ref="C133:H133" si="18">C115+C118+C121+C124+C127+C130</f>
        <v>1308</v>
      </c>
      <c r="D133" s="110">
        <f t="shared" si="18"/>
        <v>1968</v>
      </c>
      <c r="E133" s="110">
        <f t="shared" si="18"/>
        <v>3799</v>
      </c>
      <c r="F133" s="110">
        <f t="shared" si="18"/>
        <v>3121</v>
      </c>
      <c r="G133" s="110">
        <f t="shared" si="18"/>
        <v>988</v>
      </c>
      <c r="H133" s="110">
        <f t="shared" si="18"/>
        <v>11184</v>
      </c>
    </row>
    <row r="134" spans="1:8" ht="15" customHeight="1" x14ac:dyDescent="0.3">
      <c r="A134" s="149"/>
      <c r="B134" s="109" t="s">
        <v>9</v>
      </c>
      <c r="C134" s="110">
        <f t="shared" ref="C134:H134" si="19">C116+C119+C122+C125+C128+C131</f>
        <v>2715</v>
      </c>
      <c r="D134" s="110">
        <f t="shared" si="19"/>
        <v>4123</v>
      </c>
      <c r="E134" s="110">
        <f t="shared" si="19"/>
        <v>7498</v>
      </c>
      <c r="F134" s="110">
        <f t="shared" si="19"/>
        <v>6097</v>
      </c>
      <c r="G134" s="110">
        <f t="shared" si="19"/>
        <v>1931</v>
      </c>
      <c r="H134" s="110">
        <f t="shared" si="19"/>
        <v>22364</v>
      </c>
    </row>
    <row r="135" spans="1:8" ht="15" customHeight="1" x14ac:dyDescent="0.3">
      <c r="A135" s="81" t="s">
        <v>111</v>
      </c>
      <c r="B135" s="84"/>
      <c r="C135" s="84"/>
      <c r="D135" s="84"/>
      <c r="E135" s="84"/>
      <c r="F135" s="84"/>
      <c r="G135" s="83"/>
      <c r="H135" s="83"/>
    </row>
    <row r="138" spans="1:8" ht="15" customHeight="1" x14ac:dyDescent="0.3">
      <c r="A138" s="146" t="s">
        <v>76</v>
      </c>
      <c r="B138" s="146"/>
      <c r="C138" s="146"/>
      <c r="D138" s="146"/>
      <c r="E138" s="146"/>
      <c r="F138" s="146"/>
      <c r="G138" s="146"/>
      <c r="H138" s="146"/>
    </row>
    <row r="139" spans="1:8" ht="15" customHeight="1" x14ac:dyDescent="0.3">
      <c r="A139" s="146" t="s">
        <v>97</v>
      </c>
      <c r="B139" s="146"/>
      <c r="C139" s="146"/>
      <c r="D139" s="146"/>
      <c r="E139" s="146"/>
      <c r="F139" s="146"/>
      <c r="G139" s="146"/>
      <c r="H139" s="146"/>
    </row>
    <row r="140" spans="1:8" ht="15" customHeight="1" x14ac:dyDescent="0.3">
      <c r="A140" s="91" t="s">
        <v>103</v>
      </c>
      <c r="B140" s="92"/>
      <c r="C140" s="92" t="s">
        <v>39</v>
      </c>
      <c r="D140" s="92" t="s">
        <v>40</v>
      </c>
      <c r="E140" s="92" t="s">
        <v>41</v>
      </c>
      <c r="F140" s="92" t="s">
        <v>42</v>
      </c>
      <c r="G140" s="92" t="s">
        <v>0</v>
      </c>
      <c r="H140" s="92" t="s">
        <v>1</v>
      </c>
    </row>
    <row r="141" spans="1:8" ht="15" customHeight="1" x14ac:dyDescent="0.3">
      <c r="A141" s="147" t="s">
        <v>2</v>
      </c>
      <c r="B141" s="10" t="s">
        <v>7</v>
      </c>
      <c r="C141" s="37">
        <v>1</v>
      </c>
      <c r="D141" s="37">
        <v>3</v>
      </c>
      <c r="E141" s="37">
        <v>12</v>
      </c>
      <c r="F141" s="37">
        <v>2</v>
      </c>
      <c r="G141" s="37">
        <v>3</v>
      </c>
      <c r="H141" s="38">
        <f>SUM(C141:G141)</f>
        <v>21</v>
      </c>
    </row>
    <row r="142" spans="1:8" ht="15" customHeight="1" x14ac:dyDescent="0.3">
      <c r="A142" s="147"/>
      <c r="B142" s="10" t="s">
        <v>8</v>
      </c>
      <c r="C142" s="37">
        <v>73</v>
      </c>
      <c r="D142" s="37">
        <v>173</v>
      </c>
      <c r="E142" s="37">
        <v>235</v>
      </c>
      <c r="F142" s="37">
        <v>68</v>
      </c>
      <c r="G142" s="37">
        <v>49</v>
      </c>
      <c r="H142" s="38">
        <f t="shared" ref="H142:H158" si="20">SUM(C142:G142)</f>
        <v>598</v>
      </c>
    </row>
    <row r="143" spans="1:8" ht="15" customHeight="1" x14ac:dyDescent="0.3">
      <c r="A143" s="147"/>
      <c r="B143" s="10" t="s">
        <v>9</v>
      </c>
      <c r="C143" s="37">
        <v>147</v>
      </c>
      <c r="D143" s="37">
        <v>365</v>
      </c>
      <c r="E143" s="37">
        <v>479</v>
      </c>
      <c r="F143" s="37">
        <v>121</v>
      </c>
      <c r="G143" s="37">
        <v>92</v>
      </c>
      <c r="H143" s="38">
        <f t="shared" si="20"/>
        <v>1204</v>
      </c>
    </row>
    <row r="144" spans="1:8" ht="15" customHeight="1" x14ac:dyDescent="0.3">
      <c r="A144" s="148" t="s">
        <v>3</v>
      </c>
      <c r="B144" s="12" t="s">
        <v>7</v>
      </c>
      <c r="C144" s="35">
        <v>3</v>
      </c>
      <c r="D144" s="35">
        <v>2</v>
      </c>
      <c r="E144" s="35">
        <v>22</v>
      </c>
      <c r="F144" s="35">
        <v>29</v>
      </c>
      <c r="G144" s="35">
        <v>9</v>
      </c>
      <c r="H144" s="36">
        <f t="shared" si="20"/>
        <v>65</v>
      </c>
    </row>
    <row r="145" spans="1:8" ht="15" customHeight="1" x14ac:dyDescent="0.3">
      <c r="A145" s="148"/>
      <c r="B145" s="12" t="s">
        <v>8</v>
      </c>
      <c r="C145" s="35">
        <v>386</v>
      </c>
      <c r="D145" s="35">
        <v>142</v>
      </c>
      <c r="E145" s="35">
        <v>674</v>
      </c>
      <c r="F145" s="35">
        <v>701</v>
      </c>
      <c r="G145" s="35">
        <v>127</v>
      </c>
      <c r="H145" s="36">
        <f t="shared" si="20"/>
        <v>2030</v>
      </c>
    </row>
    <row r="146" spans="1:8" ht="15" customHeight="1" x14ac:dyDescent="0.3">
      <c r="A146" s="148"/>
      <c r="B146" s="12" t="s">
        <v>9</v>
      </c>
      <c r="C146" s="35">
        <v>784</v>
      </c>
      <c r="D146" s="35">
        <v>293</v>
      </c>
      <c r="E146" s="35">
        <v>1301</v>
      </c>
      <c r="F146" s="35">
        <v>1302</v>
      </c>
      <c r="G146" s="35">
        <v>262</v>
      </c>
      <c r="H146" s="36">
        <f t="shared" si="20"/>
        <v>3942</v>
      </c>
    </row>
    <row r="147" spans="1:8" ht="15" customHeight="1" x14ac:dyDescent="0.3">
      <c r="A147" s="147" t="s">
        <v>10</v>
      </c>
      <c r="B147" s="10" t="s">
        <v>7</v>
      </c>
      <c r="C147" s="37">
        <v>5</v>
      </c>
      <c r="D147" s="37">
        <v>17</v>
      </c>
      <c r="E147" s="37">
        <v>43</v>
      </c>
      <c r="F147" s="37">
        <v>101</v>
      </c>
      <c r="G147" s="37">
        <v>44</v>
      </c>
      <c r="H147" s="38">
        <f t="shared" si="20"/>
        <v>210</v>
      </c>
    </row>
    <row r="148" spans="1:8" ht="15" customHeight="1" x14ac:dyDescent="0.3">
      <c r="A148" s="147"/>
      <c r="B148" s="10" t="s">
        <v>8</v>
      </c>
      <c r="C148" s="37">
        <v>450</v>
      </c>
      <c r="D148" s="37">
        <v>1245</v>
      </c>
      <c r="E148" s="37">
        <v>1247</v>
      </c>
      <c r="F148" s="37">
        <v>1992</v>
      </c>
      <c r="G148" s="37">
        <v>686</v>
      </c>
      <c r="H148" s="38">
        <f t="shared" si="20"/>
        <v>5620</v>
      </c>
    </row>
    <row r="149" spans="1:8" ht="15" customHeight="1" x14ac:dyDescent="0.3">
      <c r="A149" s="147"/>
      <c r="B149" s="10" t="s">
        <v>9</v>
      </c>
      <c r="C149" s="37">
        <v>993</v>
      </c>
      <c r="D149" s="37">
        <v>2715</v>
      </c>
      <c r="E149" s="37">
        <v>2562</v>
      </c>
      <c r="F149" s="37">
        <v>4002</v>
      </c>
      <c r="G149" s="37">
        <v>1304</v>
      </c>
      <c r="H149" s="38">
        <f t="shared" si="20"/>
        <v>11576</v>
      </c>
    </row>
    <row r="150" spans="1:8" ht="15" customHeight="1" x14ac:dyDescent="0.3">
      <c r="A150" s="148" t="s">
        <v>4</v>
      </c>
      <c r="B150" s="12" t="s">
        <v>7</v>
      </c>
      <c r="C150" s="35">
        <v>2</v>
      </c>
      <c r="D150" s="35">
        <v>5</v>
      </c>
      <c r="E150" s="35">
        <v>12</v>
      </c>
      <c r="F150" s="35">
        <v>22</v>
      </c>
      <c r="G150" s="35">
        <v>10</v>
      </c>
      <c r="H150" s="36">
        <f t="shared" si="20"/>
        <v>51</v>
      </c>
    </row>
    <row r="151" spans="1:8" ht="15" customHeight="1" x14ac:dyDescent="0.3">
      <c r="A151" s="148"/>
      <c r="B151" s="12" t="s">
        <v>8</v>
      </c>
      <c r="C151" s="35">
        <v>179</v>
      </c>
      <c r="D151" s="35">
        <v>327</v>
      </c>
      <c r="E151" s="35">
        <v>479</v>
      </c>
      <c r="F151" s="35">
        <v>523</v>
      </c>
      <c r="G151" s="35">
        <v>154</v>
      </c>
      <c r="H151" s="36">
        <f t="shared" si="20"/>
        <v>1662</v>
      </c>
    </row>
    <row r="152" spans="1:8" ht="15" customHeight="1" x14ac:dyDescent="0.3">
      <c r="A152" s="148"/>
      <c r="B152" s="12" t="s">
        <v>9</v>
      </c>
      <c r="C152" s="35">
        <v>359</v>
      </c>
      <c r="D152" s="35">
        <v>572</v>
      </c>
      <c r="E152" s="35">
        <v>897</v>
      </c>
      <c r="F152" s="35">
        <v>978</v>
      </c>
      <c r="G152" s="35">
        <v>325</v>
      </c>
      <c r="H152" s="36">
        <f t="shared" si="20"/>
        <v>3131</v>
      </c>
    </row>
    <row r="153" spans="1:8" ht="15" customHeight="1" x14ac:dyDescent="0.3">
      <c r="A153" s="147" t="s">
        <v>5</v>
      </c>
      <c r="B153" s="10" t="s">
        <v>7</v>
      </c>
      <c r="C153" s="37">
        <v>2</v>
      </c>
      <c r="D153" s="37">
        <v>2</v>
      </c>
      <c r="E153" s="37">
        <v>11</v>
      </c>
      <c r="F153" s="37">
        <v>1</v>
      </c>
      <c r="G153" s="37">
        <v>2</v>
      </c>
      <c r="H153" s="38">
        <f t="shared" si="20"/>
        <v>18</v>
      </c>
    </row>
    <row r="154" spans="1:8" ht="15" customHeight="1" x14ac:dyDescent="0.3">
      <c r="A154" s="147"/>
      <c r="B154" s="10" t="s">
        <v>8</v>
      </c>
      <c r="C154" s="37">
        <v>127</v>
      </c>
      <c r="D154" s="37">
        <v>62</v>
      </c>
      <c r="E154" s="37">
        <v>424</v>
      </c>
      <c r="F154" s="37">
        <v>34</v>
      </c>
      <c r="G154" s="37">
        <v>34</v>
      </c>
      <c r="H154" s="38">
        <f t="shared" si="20"/>
        <v>681</v>
      </c>
    </row>
    <row r="155" spans="1:8" ht="15" customHeight="1" x14ac:dyDescent="0.3">
      <c r="A155" s="147"/>
      <c r="B155" s="10" t="s">
        <v>9</v>
      </c>
      <c r="C155" s="37">
        <v>244</v>
      </c>
      <c r="D155" s="37">
        <v>125</v>
      </c>
      <c r="E155" s="37">
        <v>845</v>
      </c>
      <c r="F155" s="37">
        <v>74</v>
      </c>
      <c r="G155" s="37">
        <v>66</v>
      </c>
      <c r="H155" s="38">
        <f t="shared" si="20"/>
        <v>1354</v>
      </c>
    </row>
    <row r="156" spans="1:8" ht="15" customHeight="1" x14ac:dyDescent="0.3">
      <c r="A156" s="148" t="s">
        <v>6</v>
      </c>
      <c r="B156" s="12" t="s">
        <v>7</v>
      </c>
      <c r="C156" s="35">
        <v>0</v>
      </c>
      <c r="D156" s="35">
        <v>3</v>
      </c>
      <c r="E156" s="35">
        <v>16</v>
      </c>
      <c r="F156" s="35">
        <v>0</v>
      </c>
      <c r="G156" s="35">
        <v>1</v>
      </c>
      <c r="H156" s="36">
        <f t="shared" si="20"/>
        <v>20</v>
      </c>
    </row>
    <row r="157" spans="1:8" ht="15" customHeight="1" x14ac:dyDescent="0.3">
      <c r="A157" s="148"/>
      <c r="B157" s="12" t="s">
        <v>8</v>
      </c>
      <c r="C157" s="35">
        <v>0</v>
      </c>
      <c r="D157" s="35">
        <v>112</v>
      </c>
      <c r="E157" s="35">
        <v>576</v>
      </c>
      <c r="F157" s="35">
        <v>0</v>
      </c>
      <c r="G157" s="35">
        <v>11</v>
      </c>
      <c r="H157" s="36">
        <f t="shared" si="20"/>
        <v>699</v>
      </c>
    </row>
    <row r="158" spans="1:8" ht="15" customHeight="1" x14ac:dyDescent="0.3">
      <c r="A158" s="148"/>
      <c r="B158" s="12" t="s">
        <v>9</v>
      </c>
      <c r="C158" s="35">
        <v>0</v>
      </c>
      <c r="D158" s="35">
        <v>224</v>
      </c>
      <c r="E158" s="35">
        <v>1080</v>
      </c>
      <c r="F158" s="35">
        <v>0</v>
      </c>
      <c r="G158" s="35">
        <v>22</v>
      </c>
      <c r="H158" s="36">
        <f t="shared" si="20"/>
        <v>1326</v>
      </c>
    </row>
    <row r="159" spans="1:8" ht="15" customHeight="1" x14ac:dyDescent="0.3">
      <c r="A159" s="149" t="s">
        <v>1</v>
      </c>
      <c r="B159" s="109" t="s">
        <v>7</v>
      </c>
      <c r="C159" s="110">
        <f t="shared" ref="C159:H159" si="21">C141+C144+C147+C150+C153+C156</f>
        <v>13</v>
      </c>
      <c r="D159" s="110">
        <f t="shared" si="21"/>
        <v>32</v>
      </c>
      <c r="E159" s="110">
        <f t="shared" si="21"/>
        <v>116</v>
      </c>
      <c r="F159" s="110">
        <f t="shared" si="21"/>
        <v>155</v>
      </c>
      <c r="G159" s="110">
        <f t="shared" si="21"/>
        <v>69</v>
      </c>
      <c r="H159" s="110">
        <f t="shared" si="21"/>
        <v>385</v>
      </c>
    </row>
    <row r="160" spans="1:8" ht="15" customHeight="1" x14ac:dyDescent="0.3">
      <c r="A160" s="149"/>
      <c r="B160" s="109" t="s">
        <v>8</v>
      </c>
      <c r="C160" s="110">
        <f t="shared" ref="C160:H160" si="22">C142+C145+C148+C151+C154+C157</f>
        <v>1215</v>
      </c>
      <c r="D160" s="110">
        <f t="shared" si="22"/>
        <v>2061</v>
      </c>
      <c r="E160" s="110">
        <f t="shared" si="22"/>
        <v>3635</v>
      </c>
      <c r="F160" s="110">
        <f t="shared" si="22"/>
        <v>3318</v>
      </c>
      <c r="G160" s="110">
        <f t="shared" si="22"/>
        <v>1061</v>
      </c>
      <c r="H160" s="110">
        <f t="shared" si="22"/>
        <v>11290</v>
      </c>
    </row>
    <row r="161" spans="1:8" ht="15" customHeight="1" x14ac:dyDescent="0.3">
      <c r="A161" s="149"/>
      <c r="B161" s="109" t="s">
        <v>9</v>
      </c>
      <c r="C161" s="110">
        <f t="shared" ref="C161:H161" si="23">C143+C146+C149+C152+C155+C158</f>
        <v>2527</v>
      </c>
      <c r="D161" s="110">
        <f t="shared" si="23"/>
        <v>4294</v>
      </c>
      <c r="E161" s="110">
        <f t="shared" si="23"/>
        <v>7164</v>
      </c>
      <c r="F161" s="110">
        <f t="shared" si="23"/>
        <v>6477</v>
      </c>
      <c r="G161" s="110">
        <f t="shared" si="23"/>
        <v>2071</v>
      </c>
      <c r="H161" s="110">
        <f t="shared" si="23"/>
        <v>22533</v>
      </c>
    </row>
    <row r="162" spans="1:8" ht="15" customHeight="1" x14ac:dyDescent="0.3">
      <c r="A162" s="81" t="s">
        <v>111</v>
      </c>
      <c r="B162" s="84"/>
      <c r="C162" s="84"/>
      <c r="D162" s="84"/>
      <c r="E162" s="84"/>
      <c r="F162" s="84"/>
      <c r="G162" s="83"/>
      <c r="H162" s="83"/>
    </row>
    <row r="165" spans="1:8" ht="15" customHeight="1" x14ac:dyDescent="0.3">
      <c r="A165" s="146" t="s">
        <v>76</v>
      </c>
      <c r="B165" s="146"/>
      <c r="C165" s="146"/>
      <c r="D165" s="146"/>
      <c r="E165" s="146"/>
      <c r="F165" s="146"/>
      <c r="G165" s="146"/>
      <c r="H165" s="146"/>
    </row>
    <row r="166" spans="1:8" ht="15" customHeight="1" x14ac:dyDescent="0.3">
      <c r="A166" s="146" t="s">
        <v>93</v>
      </c>
      <c r="B166" s="146"/>
      <c r="C166" s="146"/>
      <c r="D166" s="146"/>
      <c r="E166" s="146"/>
      <c r="F166" s="146"/>
      <c r="G166" s="146"/>
      <c r="H166" s="146"/>
    </row>
    <row r="167" spans="1:8" ht="15" customHeight="1" x14ac:dyDescent="0.3">
      <c r="A167" s="91" t="s">
        <v>103</v>
      </c>
      <c r="B167" s="92"/>
      <c r="C167" s="92" t="s">
        <v>39</v>
      </c>
      <c r="D167" s="92" t="s">
        <v>40</v>
      </c>
      <c r="E167" s="92" t="s">
        <v>41</v>
      </c>
      <c r="F167" s="92" t="s">
        <v>42</v>
      </c>
      <c r="G167" s="92" t="s">
        <v>0</v>
      </c>
      <c r="H167" s="92" t="s">
        <v>1</v>
      </c>
    </row>
    <row r="168" spans="1:8" ht="15" customHeight="1" x14ac:dyDescent="0.3">
      <c r="A168" s="147" t="s">
        <v>2</v>
      </c>
      <c r="B168" s="10" t="s">
        <v>7</v>
      </c>
      <c r="C168" s="37">
        <v>1</v>
      </c>
      <c r="D168" s="37">
        <v>3</v>
      </c>
      <c r="E168" s="37">
        <v>12</v>
      </c>
      <c r="F168" s="37">
        <v>2</v>
      </c>
      <c r="G168" s="37">
        <v>3</v>
      </c>
      <c r="H168" s="38">
        <f>SUM(C168:G168)</f>
        <v>21</v>
      </c>
    </row>
    <row r="169" spans="1:8" ht="15" customHeight="1" x14ac:dyDescent="0.3">
      <c r="A169" s="147"/>
      <c r="B169" s="10" t="s">
        <v>8</v>
      </c>
      <c r="C169" s="37">
        <v>73</v>
      </c>
      <c r="D169" s="37">
        <v>173</v>
      </c>
      <c r="E169" s="37">
        <v>235</v>
      </c>
      <c r="F169" s="37">
        <v>68</v>
      </c>
      <c r="G169" s="37">
        <v>49</v>
      </c>
      <c r="H169" s="38">
        <f t="shared" ref="H169:H185" si="24">SUM(C169:G169)</f>
        <v>598</v>
      </c>
    </row>
    <row r="170" spans="1:8" ht="15" customHeight="1" x14ac:dyDescent="0.3">
      <c r="A170" s="147"/>
      <c r="B170" s="10" t="s">
        <v>9</v>
      </c>
      <c r="C170" s="37">
        <v>147</v>
      </c>
      <c r="D170" s="37">
        <v>365</v>
      </c>
      <c r="E170" s="37">
        <v>479</v>
      </c>
      <c r="F170" s="37">
        <v>121</v>
      </c>
      <c r="G170" s="37">
        <v>92</v>
      </c>
      <c r="H170" s="38">
        <f t="shared" si="24"/>
        <v>1204</v>
      </c>
    </row>
    <row r="171" spans="1:8" ht="15" customHeight="1" x14ac:dyDescent="0.3">
      <c r="A171" s="148" t="s">
        <v>3</v>
      </c>
      <c r="B171" s="12" t="s">
        <v>7</v>
      </c>
      <c r="C171" s="35">
        <v>3</v>
      </c>
      <c r="D171" s="35">
        <v>2</v>
      </c>
      <c r="E171" s="35">
        <v>21</v>
      </c>
      <c r="F171" s="35">
        <v>29</v>
      </c>
      <c r="G171" s="35">
        <v>10</v>
      </c>
      <c r="H171" s="36">
        <f t="shared" si="24"/>
        <v>65</v>
      </c>
    </row>
    <row r="172" spans="1:8" ht="15" customHeight="1" x14ac:dyDescent="0.3">
      <c r="A172" s="148"/>
      <c r="B172" s="12" t="s">
        <v>8</v>
      </c>
      <c r="C172" s="35">
        <v>386</v>
      </c>
      <c r="D172" s="35">
        <v>142</v>
      </c>
      <c r="E172" s="35">
        <v>658</v>
      </c>
      <c r="F172" s="35">
        <v>701</v>
      </c>
      <c r="G172" s="35">
        <v>144</v>
      </c>
      <c r="H172" s="36">
        <f t="shared" si="24"/>
        <v>2031</v>
      </c>
    </row>
    <row r="173" spans="1:8" ht="15" customHeight="1" x14ac:dyDescent="0.3">
      <c r="A173" s="148"/>
      <c r="B173" s="12" t="s">
        <v>9</v>
      </c>
      <c r="C173" s="35">
        <v>784</v>
      </c>
      <c r="D173" s="35">
        <v>293</v>
      </c>
      <c r="E173" s="35">
        <v>1275</v>
      </c>
      <c r="F173" s="35">
        <v>1302</v>
      </c>
      <c r="G173" s="35">
        <v>291</v>
      </c>
      <c r="H173" s="36">
        <f t="shared" si="24"/>
        <v>3945</v>
      </c>
    </row>
    <row r="174" spans="1:8" ht="15" customHeight="1" x14ac:dyDescent="0.3">
      <c r="A174" s="147" t="s">
        <v>10</v>
      </c>
      <c r="B174" s="10" t="s">
        <v>7</v>
      </c>
      <c r="C174" s="37">
        <v>4</v>
      </c>
      <c r="D174" s="37">
        <v>15</v>
      </c>
      <c r="E174" s="37">
        <v>43</v>
      </c>
      <c r="F174" s="37">
        <v>101</v>
      </c>
      <c r="G174" s="37">
        <v>46</v>
      </c>
      <c r="H174" s="38">
        <f t="shared" si="24"/>
        <v>209</v>
      </c>
    </row>
    <row r="175" spans="1:8" ht="15" customHeight="1" x14ac:dyDescent="0.3">
      <c r="A175" s="147"/>
      <c r="B175" s="10" t="s">
        <v>8</v>
      </c>
      <c r="C175" s="37">
        <v>420</v>
      </c>
      <c r="D175" s="37">
        <v>1167</v>
      </c>
      <c r="E175" s="37">
        <v>1238</v>
      </c>
      <c r="F175" s="37">
        <v>1982</v>
      </c>
      <c r="G175" s="37">
        <v>708</v>
      </c>
      <c r="H175" s="38">
        <f t="shared" si="24"/>
        <v>5515</v>
      </c>
    </row>
    <row r="176" spans="1:8" ht="15" customHeight="1" x14ac:dyDescent="0.3">
      <c r="A176" s="147"/>
      <c r="B176" s="10" t="s">
        <v>9</v>
      </c>
      <c r="C176" s="37">
        <v>929</v>
      </c>
      <c r="D176" s="37">
        <v>2516</v>
      </c>
      <c r="E176" s="37">
        <v>2519</v>
      </c>
      <c r="F176" s="37">
        <v>3945</v>
      </c>
      <c r="G176" s="37">
        <v>1348</v>
      </c>
      <c r="H176" s="38">
        <f t="shared" si="24"/>
        <v>11257</v>
      </c>
    </row>
    <row r="177" spans="1:8" ht="15" customHeight="1" x14ac:dyDescent="0.3">
      <c r="A177" s="148" t="s">
        <v>4</v>
      </c>
      <c r="B177" s="12" t="s">
        <v>7</v>
      </c>
      <c r="C177" s="35">
        <v>2</v>
      </c>
      <c r="D177" s="35">
        <v>5</v>
      </c>
      <c r="E177" s="35">
        <v>12</v>
      </c>
      <c r="F177" s="35">
        <v>22</v>
      </c>
      <c r="G177" s="35">
        <v>10</v>
      </c>
      <c r="H177" s="36">
        <f t="shared" si="24"/>
        <v>51</v>
      </c>
    </row>
    <row r="178" spans="1:8" ht="15" customHeight="1" x14ac:dyDescent="0.3">
      <c r="A178" s="148"/>
      <c r="B178" s="12" t="s">
        <v>8</v>
      </c>
      <c r="C178" s="35">
        <v>179</v>
      </c>
      <c r="D178" s="35">
        <v>327</v>
      </c>
      <c r="E178" s="35">
        <v>479</v>
      </c>
      <c r="F178" s="35">
        <v>523</v>
      </c>
      <c r="G178" s="35">
        <v>154</v>
      </c>
      <c r="H178" s="36">
        <f t="shared" si="24"/>
        <v>1662</v>
      </c>
    </row>
    <row r="179" spans="1:8" ht="15" customHeight="1" x14ac:dyDescent="0.3">
      <c r="A179" s="148"/>
      <c r="B179" s="12" t="s">
        <v>9</v>
      </c>
      <c r="C179" s="35">
        <v>359</v>
      </c>
      <c r="D179" s="35">
        <v>572</v>
      </c>
      <c r="E179" s="35">
        <v>897</v>
      </c>
      <c r="F179" s="35">
        <v>978</v>
      </c>
      <c r="G179" s="35">
        <v>325</v>
      </c>
      <c r="H179" s="36">
        <f t="shared" si="24"/>
        <v>3131</v>
      </c>
    </row>
    <row r="180" spans="1:8" ht="15" customHeight="1" x14ac:dyDescent="0.3">
      <c r="A180" s="147" t="s">
        <v>5</v>
      </c>
      <c r="B180" s="10" t="s">
        <v>7</v>
      </c>
      <c r="C180" s="37">
        <v>2</v>
      </c>
      <c r="D180" s="37">
        <v>2</v>
      </c>
      <c r="E180" s="37">
        <v>10</v>
      </c>
      <c r="F180" s="37">
        <v>2</v>
      </c>
      <c r="G180" s="37">
        <v>2</v>
      </c>
      <c r="H180" s="38">
        <f t="shared" si="24"/>
        <v>18</v>
      </c>
    </row>
    <row r="181" spans="1:8" ht="15" customHeight="1" x14ac:dyDescent="0.3">
      <c r="A181" s="147"/>
      <c r="B181" s="10" t="s">
        <v>8</v>
      </c>
      <c r="C181" s="37">
        <v>127</v>
      </c>
      <c r="D181" s="37">
        <v>62</v>
      </c>
      <c r="E181" s="37">
        <v>369</v>
      </c>
      <c r="F181" s="37">
        <v>87</v>
      </c>
      <c r="G181" s="37">
        <v>34</v>
      </c>
      <c r="H181" s="38">
        <f t="shared" si="24"/>
        <v>679</v>
      </c>
    </row>
    <row r="182" spans="1:8" ht="15" customHeight="1" x14ac:dyDescent="0.3">
      <c r="A182" s="147"/>
      <c r="B182" s="10" t="s">
        <v>9</v>
      </c>
      <c r="C182" s="37">
        <v>244</v>
      </c>
      <c r="D182" s="37">
        <v>125</v>
      </c>
      <c r="E182" s="37">
        <v>748</v>
      </c>
      <c r="F182" s="37">
        <v>175</v>
      </c>
      <c r="G182" s="37">
        <v>66</v>
      </c>
      <c r="H182" s="38">
        <f t="shared" si="24"/>
        <v>1358</v>
      </c>
    </row>
    <row r="183" spans="1:8" ht="15" customHeight="1" x14ac:dyDescent="0.3">
      <c r="A183" s="148" t="s">
        <v>6</v>
      </c>
      <c r="B183" s="12" t="s">
        <v>7</v>
      </c>
      <c r="C183" s="35">
        <v>0</v>
      </c>
      <c r="D183" s="35">
        <v>4</v>
      </c>
      <c r="E183" s="35">
        <v>17</v>
      </c>
      <c r="F183" s="35">
        <v>0</v>
      </c>
      <c r="G183" s="35">
        <v>1</v>
      </c>
      <c r="H183" s="36">
        <f t="shared" si="24"/>
        <v>22</v>
      </c>
    </row>
    <row r="184" spans="1:8" ht="15" customHeight="1" x14ac:dyDescent="0.3">
      <c r="A184" s="148"/>
      <c r="B184" s="12" t="s">
        <v>8</v>
      </c>
      <c r="C184" s="35">
        <v>0</v>
      </c>
      <c r="D184" s="35">
        <v>167</v>
      </c>
      <c r="E184" s="35">
        <v>598</v>
      </c>
      <c r="F184" s="35">
        <v>0</v>
      </c>
      <c r="G184" s="35">
        <v>11</v>
      </c>
      <c r="H184" s="36">
        <f t="shared" si="24"/>
        <v>776</v>
      </c>
    </row>
    <row r="185" spans="1:8" ht="15" customHeight="1" x14ac:dyDescent="0.3">
      <c r="A185" s="148"/>
      <c r="B185" s="12" t="s">
        <v>9</v>
      </c>
      <c r="C185" s="35">
        <v>0</v>
      </c>
      <c r="D185" s="35">
        <v>320</v>
      </c>
      <c r="E185" s="35">
        <v>1127</v>
      </c>
      <c r="F185" s="35">
        <v>0</v>
      </c>
      <c r="G185" s="35">
        <v>22</v>
      </c>
      <c r="H185" s="36">
        <f t="shared" si="24"/>
        <v>1469</v>
      </c>
    </row>
    <row r="186" spans="1:8" ht="15" customHeight="1" x14ac:dyDescent="0.3">
      <c r="A186" s="149" t="s">
        <v>1</v>
      </c>
      <c r="B186" s="109" t="s">
        <v>7</v>
      </c>
      <c r="C186" s="110">
        <f t="shared" ref="C186:H186" si="25">C168+C171+C174+C177+C180+C183</f>
        <v>12</v>
      </c>
      <c r="D186" s="110">
        <f t="shared" si="25"/>
        <v>31</v>
      </c>
      <c r="E186" s="110">
        <f t="shared" si="25"/>
        <v>115</v>
      </c>
      <c r="F186" s="110">
        <f t="shared" si="25"/>
        <v>156</v>
      </c>
      <c r="G186" s="110">
        <f t="shared" si="25"/>
        <v>72</v>
      </c>
      <c r="H186" s="110">
        <f t="shared" si="25"/>
        <v>386</v>
      </c>
    </row>
    <row r="187" spans="1:8" ht="15" customHeight="1" x14ac:dyDescent="0.3">
      <c r="A187" s="149"/>
      <c r="B187" s="109" t="s">
        <v>8</v>
      </c>
      <c r="C187" s="110">
        <f t="shared" ref="C187:H187" si="26">C169+C172+C175+C178+C181+C184</f>
        <v>1185</v>
      </c>
      <c r="D187" s="110">
        <f t="shared" si="26"/>
        <v>2038</v>
      </c>
      <c r="E187" s="110">
        <f t="shared" si="26"/>
        <v>3577</v>
      </c>
      <c r="F187" s="110">
        <f t="shared" si="26"/>
        <v>3361</v>
      </c>
      <c r="G187" s="110">
        <f t="shared" si="26"/>
        <v>1100</v>
      </c>
      <c r="H187" s="110">
        <f t="shared" si="26"/>
        <v>11261</v>
      </c>
    </row>
    <row r="188" spans="1:8" ht="15" customHeight="1" x14ac:dyDescent="0.3">
      <c r="A188" s="149"/>
      <c r="B188" s="109" t="s">
        <v>9</v>
      </c>
      <c r="C188" s="110">
        <f t="shared" ref="C188:H188" si="27">C170+C173+C176+C179+C182+C185</f>
        <v>2463</v>
      </c>
      <c r="D188" s="110">
        <f t="shared" si="27"/>
        <v>4191</v>
      </c>
      <c r="E188" s="110">
        <f t="shared" si="27"/>
        <v>7045</v>
      </c>
      <c r="F188" s="110">
        <f t="shared" si="27"/>
        <v>6521</v>
      </c>
      <c r="G188" s="110">
        <f t="shared" si="27"/>
        <v>2144</v>
      </c>
      <c r="H188" s="110">
        <f t="shared" si="27"/>
        <v>22364</v>
      </c>
    </row>
    <row r="189" spans="1:8" ht="15" customHeight="1" x14ac:dyDescent="0.3">
      <c r="A189" s="81" t="s">
        <v>111</v>
      </c>
      <c r="B189" s="84"/>
      <c r="C189" s="84"/>
      <c r="D189" s="84"/>
      <c r="E189" s="84"/>
      <c r="F189" s="84"/>
      <c r="G189" s="83"/>
      <c r="H189" s="83"/>
    </row>
    <row r="192" spans="1:8" ht="15" customHeight="1" x14ac:dyDescent="0.3">
      <c r="A192" s="146" t="s">
        <v>76</v>
      </c>
      <c r="B192" s="146"/>
      <c r="C192" s="146"/>
      <c r="D192" s="146"/>
      <c r="E192" s="146"/>
      <c r="F192" s="146"/>
      <c r="G192" s="146"/>
      <c r="H192" s="146"/>
    </row>
    <row r="193" spans="1:8" ht="15" customHeight="1" x14ac:dyDescent="0.3">
      <c r="A193" s="146" t="s">
        <v>90</v>
      </c>
      <c r="B193" s="146"/>
      <c r="C193" s="146"/>
      <c r="D193" s="146"/>
      <c r="E193" s="146"/>
      <c r="F193" s="146"/>
      <c r="G193" s="146"/>
      <c r="H193" s="146"/>
    </row>
    <row r="194" spans="1:8" ht="15" customHeight="1" x14ac:dyDescent="0.3">
      <c r="A194" s="91" t="s">
        <v>103</v>
      </c>
      <c r="B194" s="92"/>
      <c r="C194" s="92" t="s">
        <v>39</v>
      </c>
      <c r="D194" s="92" t="s">
        <v>40</v>
      </c>
      <c r="E194" s="92" t="s">
        <v>41</v>
      </c>
      <c r="F194" s="92" t="s">
        <v>42</v>
      </c>
      <c r="G194" s="92" t="s">
        <v>0</v>
      </c>
      <c r="H194" s="92" t="s">
        <v>1</v>
      </c>
    </row>
    <row r="195" spans="1:8" ht="15" customHeight="1" x14ac:dyDescent="0.3">
      <c r="A195" s="147" t="s">
        <v>2</v>
      </c>
      <c r="B195" s="10" t="s">
        <v>7</v>
      </c>
      <c r="C195" s="37">
        <v>1</v>
      </c>
      <c r="D195" s="37">
        <v>3</v>
      </c>
      <c r="E195" s="37">
        <v>11</v>
      </c>
      <c r="F195" s="37">
        <v>2</v>
      </c>
      <c r="G195" s="37">
        <v>3</v>
      </c>
      <c r="H195" s="38">
        <f>SUM(C195:G195)</f>
        <v>20</v>
      </c>
    </row>
    <row r="196" spans="1:8" ht="15" customHeight="1" x14ac:dyDescent="0.3">
      <c r="A196" s="147"/>
      <c r="B196" s="10" t="s">
        <v>8</v>
      </c>
      <c r="C196" s="37">
        <v>73</v>
      </c>
      <c r="D196" s="37">
        <v>173</v>
      </c>
      <c r="E196" s="37">
        <v>223</v>
      </c>
      <c r="F196" s="37">
        <v>68</v>
      </c>
      <c r="G196" s="37">
        <v>49</v>
      </c>
      <c r="H196" s="38">
        <f t="shared" ref="H196:H212" si="28">SUM(C196:G196)</f>
        <v>586</v>
      </c>
    </row>
    <row r="197" spans="1:8" ht="15" customHeight="1" x14ac:dyDescent="0.3">
      <c r="A197" s="147"/>
      <c r="B197" s="10" t="s">
        <v>9</v>
      </c>
      <c r="C197" s="37">
        <v>147</v>
      </c>
      <c r="D197" s="37">
        <v>365</v>
      </c>
      <c r="E197" s="37">
        <v>453</v>
      </c>
      <c r="F197" s="37">
        <v>121</v>
      </c>
      <c r="G197" s="37">
        <v>92</v>
      </c>
      <c r="H197" s="38">
        <f t="shared" si="28"/>
        <v>1178</v>
      </c>
    </row>
    <row r="198" spans="1:8" ht="15" customHeight="1" x14ac:dyDescent="0.3">
      <c r="A198" s="148" t="s">
        <v>3</v>
      </c>
      <c r="B198" s="12" t="s">
        <v>7</v>
      </c>
      <c r="C198" s="35">
        <v>3</v>
      </c>
      <c r="D198" s="35">
        <v>2</v>
      </c>
      <c r="E198" s="35">
        <v>19</v>
      </c>
      <c r="F198" s="35">
        <v>29</v>
      </c>
      <c r="G198" s="35">
        <v>10</v>
      </c>
      <c r="H198" s="36">
        <f t="shared" si="28"/>
        <v>63</v>
      </c>
    </row>
    <row r="199" spans="1:8" ht="15" customHeight="1" x14ac:dyDescent="0.3">
      <c r="A199" s="148"/>
      <c r="B199" s="12" t="s">
        <v>8</v>
      </c>
      <c r="C199" s="35">
        <v>384</v>
      </c>
      <c r="D199" s="35">
        <v>142</v>
      </c>
      <c r="E199" s="35">
        <v>612</v>
      </c>
      <c r="F199" s="35">
        <v>705</v>
      </c>
      <c r="G199" s="35">
        <v>144</v>
      </c>
      <c r="H199" s="36">
        <f t="shared" si="28"/>
        <v>1987</v>
      </c>
    </row>
    <row r="200" spans="1:8" ht="15" customHeight="1" x14ac:dyDescent="0.3">
      <c r="A200" s="148"/>
      <c r="B200" s="12" t="s">
        <v>9</v>
      </c>
      <c r="C200" s="35">
        <v>762</v>
      </c>
      <c r="D200" s="35">
        <v>293</v>
      </c>
      <c r="E200" s="35">
        <v>1192</v>
      </c>
      <c r="F200" s="35">
        <v>1302</v>
      </c>
      <c r="G200" s="35">
        <v>291</v>
      </c>
      <c r="H200" s="36">
        <f t="shared" si="28"/>
        <v>3840</v>
      </c>
    </row>
    <row r="201" spans="1:8" ht="15" customHeight="1" x14ac:dyDescent="0.3">
      <c r="A201" s="147" t="s">
        <v>10</v>
      </c>
      <c r="B201" s="10" t="s">
        <v>7</v>
      </c>
      <c r="C201" s="37">
        <v>4</v>
      </c>
      <c r="D201" s="37">
        <v>12</v>
      </c>
      <c r="E201" s="37">
        <v>40</v>
      </c>
      <c r="F201" s="37">
        <v>106</v>
      </c>
      <c r="G201" s="37">
        <v>48</v>
      </c>
      <c r="H201" s="38">
        <f t="shared" si="28"/>
        <v>210</v>
      </c>
    </row>
    <row r="202" spans="1:8" ht="15" customHeight="1" x14ac:dyDescent="0.3">
      <c r="A202" s="147"/>
      <c r="B202" s="10" t="s">
        <v>8</v>
      </c>
      <c r="C202" s="37">
        <v>444</v>
      </c>
      <c r="D202" s="37">
        <v>963</v>
      </c>
      <c r="E202" s="37">
        <v>1227</v>
      </c>
      <c r="F202" s="37">
        <v>2117</v>
      </c>
      <c r="G202" s="37">
        <v>719</v>
      </c>
      <c r="H202" s="38">
        <f t="shared" si="28"/>
        <v>5470</v>
      </c>
    </row>
    <row r="203" spans="1:8" ht="15" customHeight="1" x14ac:dyDescent="0.3">
      <c r="A203" s="147"/>
      <c r="B203" s="10" t="s">
        <v>9</v>
      </c>
      <c r="C203" s="37">
        <v>929</v>
      </c>
      <c r="D203" s="37">
        <v>2099</v>
      </c>
      <c r="E203" s="37">
        <v>2577</v>
      </c>
      <c r="F203" s="37">
        <v>4238</v>
      </c>
      <c r="G203" s="37">
        <v>1372</v>
      </c>
      <c r="H203" s="38">
        <f t="shared" si="28"/>
        <v>11215</v>
      </c>
    </row>
    <row r="204" spans="1:8" ht="15" customHeight="1" x14ac:dyDescent="0.3">
      <c r="A204" s="148" t="s">
        <v>4</v>
      </c>
      <c r="B204" s="12" t="s">
        <v>7</v>
      </c>
      <c r="C204" s="35">
        <v>2</v>
      </c>
      <c r="D204" s="35">
        <v>5</v>
      </c>
      <c r="E204" s="35">
        <v>12</v>
      </c>
      <c r="F204" s="35">
        <v>22</v>
      </c>
      <c r="G204" s="35">
        <v>10</v>
      </c>
      <c r="H204" s="36">
        <f t="shared" si="28"/>
        <v>51</v>
      </c>
    </row>
    <row r="205" spans="1:8" ht="15" customHeight="1" x14ac:dyDescent="0.3">
      <c r="A205" s="148"/>
      <c r="B205" s="12" t="s">
        <v>8</v>
      </c>
      <c r="C205" s="35">
        <v>179</v>
      </c>
      <c r="D205" s="35">
        <v>310</v>
      </c>
      <c r="E205" s="35">
        <v>479</v>
      </c>
      <c r="F205" s="35">
        <v>523</v>
      </c>
      <c r="G205" s="35">
        <v>154</v>
      </c>
      <c r="H205" s="36">
        <f t="shared" si="28"/>
        <v>1645</v>
      </c>
    </row>
    <row r="206" spans="1:8" ht="15" customHeight="1" x14ac:dyDescent="0.3">
      <c r="A206" s="148"/>
      <c r="B206" s="12" t="s">
        <v>9</v>
      </c>
      <c r="C206" s="35">
        <v>359</v>
      </c>
      <c r="D206" s="35">
        <v>573</v>
      </c>
      <c r="E206" s="35">
        <v>897</v>
      </c>
      <c r="F206" s="35">
        <v>980</v>
      </c>
      <c r="G206" s="35">
        <v>325</v>
      </c>
      <c r="H206" s="36">
        <f t="shared" si="28"/>
        <v>3134</v>
      </c>
    </row>
    <row r="207" spans="1:8" ht="15" customHeight="1" x14ac:dyDescent="0.3">
      <c r="A207" s="147" t="s">
        <v>5</v>
      </c>
      <c r="B207" s="10" t="s">
        <v>7</v>
      </c>
      <c r="C207" s="37">
        <v>2</v>
      </c>
      <c r="D207" s="37">
        <v>3</v>
      </c>
      <c r="E207" s="37">
        <v>10</v>
      </c>
      <c r="F207" s="37">
        <v>2</v>
      </c>
      <c r="G207" s="37">
        <v>2</v>
      </c>
      <c r="H207" s="38">
        <f t="shared" si="28"/>
        <v>19</v>
      </c>
    </row>
    <row r="208" spans="1:8" ht="15" customHeight="1" x14ac:dyDescent="0.3">
      <c r="A208" s="147"/>
      <c r="B208" s="10" t="s">
        <v>8</v>
      </c>
      <c r="C208" s="37">
        <v>127</v>
      </c>
      <c r="D208" s="37">
        <v>68</v>
      </c>
      <c r="E208" s="37">
        <v>369</v>
      </c>
      <c r="F208" s="37">
        <v>87</v>
      </c>
      <c r="G208" s="37">
        <v>34</v>
      </c>
      <c r="H208" s="38">
        <f t="shared" si="28"/>
        <v>685</v>
      </c>
    </row>
    <row r="209" spans="1:8" ht="15" customHeight="1" x14ac:dyDescent="0.3">
      <c r="A209" s="147"/>
      <c r="B209" s="10" t="s">
        <v>9</v>
      </c>
      <c r="C209" s="37">
        <v>244</v>
      </c>
      <c r="D209" s="37">
        <v>146</v>
      </c>
      <c r="E209" s="37">
        <v>748</v>
      </c>
      <c r="F209" s="37">
        <v>175</v>
      </c>
      <c r="G209" s="37">
        <v>66</v>
      </c>
      <c r="H209" s="38">
        <f t="shared" si="28"/>
        <v>1379</v>
      </c>
    </row>
    <row r="210" spans="1:8" ht="15" customHeight="1" x14ac:dyDescent="0.3">
      <c r="A210" s="148" t="s">
        <v>6</v>
      </c>
      <c r="B210" s="12" t="s">
        <v>7</v>
      </c>
      <c r="C210" s="35">
        <v>0</v>
      </c>
      <c r="D210" s="35">
        <v>5</v>
      </c>
      <c r="E210" s="35">
        <v>17</v>
      </c>
      <c r="F210" s="35">
        <v>0</v>
      </c>
      <c r="G210" s="35">
        <v>1</v>
      </c>
      <c r="H210" s="36">
        <f t="shared" si="28"/>
        <v>23</v>
      </c>
    </row>
    <row r="211" spans="1:8" ht="15" customHeight="1" x14ac:dyDescent="0.3">
      <c r="A211" s="148"/>
      <c r="B211" s="12" t="s">
        <v>8</v>
      </c>
      <c r="C211" s="35">
        <v>0</v>
      </c>
      <c r="D211" s="35">
        <v>252</v>
      </c>
      <c r="E211" s="35">
        <v>598</v>
      </c>
      <c r="F211" s="35">
        <v>0</v>
      </c>
      <c r="G211" s="35">
        <v>11</v>
      </c>
      <c r="H211" s="36">
        <f t="shared" si="28"/>
        <v>861</v>
      </c>
    </row>
    <row r="212" spans="1:8" ht="15" customHeight="1" x14ac:dyDescent="0.3">
      <c r="A212" s="148"/>
      <c r="B212" s="12" t="s">
        <v>9</v>
      </c>
      <c r="C212" s="35">
        <v>0</v>
      </c>
      <c r="D212" s="35">
        <v>490</v>
      </c>
      <c r="E212" s="35">
        <v>1127</v>
      </c>
      <c r="F212" s="35">
        <v>0</v>
      </c>
      <c r="G212" s="35">
        <v>22</v>
      </c>
      <c r="H212" s="36">
        <f t="shared" si="28"/>
        <v>1639</v>
      </c>
    </row>
    <row r="213" spans="1:8" ht="15" customHeight="1" x14ac:dyDescent="0.3">
      <c r="A213" s="149" t="s">
        <v>1</v>
      </c>
      <c r="B213" s="109" t="s">
        <v>7</v>
      </c>
      <c r="C213" s="110">
        <f t="shared" ref="C213:H215" si="29">C195+C198+C201+C204+C207+C210</f>
        <v>12</v>
      </c>
      <c r="D213" s="110">
        <f t="shared" si="29"/>
        <v>30</v>
      </c>
      <c r="E213" s="110">
        <f t="shared" si="29"/>
        <v>109</v>
      </c>
      <c r="F213" s="110">
        <f t="shared" si="29"/>
        <v>161</v>
      </c>
      <c r="G213" s="110">
        <f t="shared" si="29"/>
        <v>74</v>
      </c>
      <c r="H213" s="110">
        <f t="shared" si="29"/>
        <v>386</v>
      </c>
    </row>
    <row r="214" spans="1:8" ht="15" customHeight="1" x14ac:dyDescent="0.3">
      <c r="A214" s="149"/>
      <c r="B214" s="109" t="s">
        <v>8</v>
      </c>
      <c r="C214" s="110">
        <f t="shared" si="29"/>
        <v>1207</v>
      </c>
      <c r="D214" s="110">
        <f t="shared" si="29"/>
        <v>1908</v>
      </c>
      <c r="E214" s="110">
        <f t="shared" si="29"/>
        <v>3508</v>
      </c>
      <c r="F214" s="110">
        <f t="shared" si="29"/>
        <v>3500</v>
      </c>
      <c r="G214" s="110">
        <f t="shared" si="29"/>
        <v>1111</v>
      </c>
      <c r="H214" s="110">
        <f t="shared" si="29"/>
        <v>11234</v>
      </c>
    </row>
    <row r="215" spans="1:8" ht="15" customHeight="1" x14ac:dyDescent="0.3">
      <c r="A215" s="149"/>
      <c r="B215" s="109" t="s">
        <v>9</v>
      </c>
      <c r="C215" s="110">
        <f t="shared" si="29"/>
        <v>2441</v>
      </c>
      <c r="D215" s="110">
        <f t="shared" si="29"/>
        <v>3966</v>
      </c>
      <c r="E215" s="110">
        <f t="shared" si="29"/>
        <v>6994</v>
      </c>
      <c r="F215" s="110">
        <f t="shared" si="29"/>
        <v>6816</v>
      </c>
      <c r="G215" s="110">
        <f t="shared" si="29"/>
        <v>2168</v>
      </c>
      <c r="H215" s="110">
        <f t="shared" si="29"/>
        <v>22385</v>
      </c>
    </row>
    <row r="216" spans="1:8" ht="15" customHeight="1" x14ac:dyDescent="0.3">
      <c r="A216" s="81" t="s">
        <v>111</v>
      </c>
      <c r="B216" s="84"/>
      <c r="C216" s="84"/>
      <c r="D216" s="84"/>
      <c r="E216" s="84"/>
      <c r="F216" s="84"/>
      <c r="G216" s="83"/>
      <c r="H216" s="83"/>
    </row>
    <row r="219" spans="1:8" ht="15" customHeight="1" x14ac:dyDescent="0.3">
      <c r="A219" s="146" t="s">
        <v>76</v>
      </c>
      <c r="B219" s="146"/>
      <c r="C219" s="146"/>
      <c r="D219" s="146"/>
      <c r="E219" s="146"/>
      <c r="F219" s="146"/>
      <c r="G219" s="146"/>
      <c r="H219" s="146"/>
    </row>
    <row r="220" spans="1:8" ht="15" customHeight="1" x14ac:dyDescent="0.3">
      <c r="A220" s="146" t="s">
        <v>77</v>
      </c>
      <c r="B220" s="146"/>
      <c r="C220" s="146"/>
      <c r="D220" s="146"/>
      <c r="E220" s="146"/>
      <c r="F220" s="146"/>
      <c r="G220" s="146"/>
      <c r="H220" s="146"/>
    </row>
    <row r="221" spans="1:8" ht="15" customHeight="1" x14ac:dyDescent="0.3">
      <c r="A221" s="91" t="s">
        <v>103</v>
      </c>
      <c r="B221" s="92"/>
      <c r="C221" s="92" t="s">
        <v>39</v>
      </c>
      <c r="D221" s="92" t="s">
        <v>40</v>
      </c>
      <c r="E221" s="92" t="s">
        <v>41</v>
      </c>
      <c r="F221" s="92" t="s">
        <v>42</v>
      </c>
      <c r="G221" s="92" t="s">
        <v>0</v>
      </c>
      <c r="H221" s="92" t="s">
        <v>1</v>
      </c>
    </row>
    <row r="222" spans="1:8" ht="15" customHeight="1" x14ac:dyDescent="0.3">
      <c r="A222" s="147" t="s">
        <v>2</v>
      </c>
      <c r="B222" s="10" t="s">
        <v>7</v>
      </c>
      <c r="C222" s="37">
        <v>1</v>
      </c>
      <c r="D222" s="37">
        <v>3</v>
      </c>
      <c r="E222" s="37">
        <v>11</v>
      </c>
      <c r="F222" s="37">
        <v>2</v>
      </c>
      <c r="G222" s="37">
        <v>3</v>
      </c>
      <c r="H222" s="38">
        <f>SUM(C222:G222)</f>
        <v>20</v>
      </c>
    </row>
    <row r="223" spans="1:8" ht="15" customHeight="1" x14ac:dyDescent="0.3">
      <c r="A223" s="147"/>
      <c r="B223" s="10" t="s">
        <v>8</v>
      </c>
      <c r="C223" s="37">
        <v>73</v>
      </c>
      <c r="D223" s="37">
        <v>173</v>
      </c>
      <c r="E223" s="37">
        <v>222</v>
      </c>
      <c r="F223" s="37">
        <v>68</v>
      </c>
      <c r="G223" s="37">
        <v>49</v>
      </c>
      <c r="H223" s="38">
        <f t="shared" ref="H223:H239" si="30">SUM(C223:G223)</f>
        <v>585</v>
      </c>
    </row>
    <row r="224" spans="1:8" ht="15" customHeight="1" x14ac:dyDescent="0.3">
      <c r="A224" s="147"/>
      <c r="B224" s="10" t="s">
        <v>9</v>
      </c>
      <c r="C224" s="37">
        <v>147</v>
      </c>
      <c r="D224" s="37">
        <v>365</v>
      </c>
      <c r="E224" s="37">
        <v>449</v>
      </c>
      <c r="F224" s="37">
        <v>121</v>
      </c>
      <c r="G224" s="37">
        <v>92</v>
      </c>
      <c r="H224" s="38">
        <f t="shared" si="30"/>
        <v>1174</v>
      </c>
    </row>
    <row r="225" spans="1:8" ht="15" customHeight="1" x14ac:dyDescent="0.3">
      <c r="A225" s="148" t="s">
        <v>3</v>
      </c>
      <c r="B225" s="12" t="s">
        <v>7</v>
      </c>
      <c r="C225" s="35">
        <v>3</v>
      </c>
      <c r="D225" s="35">
        <v>2</v>
      </c>
      <c r="E225" s="35">
        <v>19</v>
      </c>
      <c r="F225" s="35">
        <v>28</v>
      </c>
      <c r="G225" s="35">
        <v>10</v>
      </c>
      <c r="H225" s="36">
        <f t="shared" si="30"/>
        <v>62</v>
      </c>
    </row>
    <row r="226" spans="1:8" ht="15" customHeight="1" x14ac:dyDescent="0.3">
      <c r="A226" s="148"/>
      <c r="B226" s="12" t="s">
        <v>8</v>
      </c>
      <c r="C226" s="35">
        <v>384</v>
      </c>
      <c r="D226" s="35">
        <v>142</v>
      </c>
      <c r="E226" s="35">
        <v>658</v>
      </c>
      <c r="F226" s="35">
        <v>651</v>
      </c>
      <c r="G226" s="35">
        <v>144</v>
      </c>
      <c r="H226" s="36">
        <f t="shared" si="30"/>
        <v>1979</v>
      </c>
    </row>
    <row r="227" spans="1:8" ht="15" customHeight="1" x14ac:dyDescent="0.3">
      <c r="A227" s="148"/>
      <c r="B227" s="12" t="s">
        <v>9</v>
      </c>
      <c r="C227" s="35">
        <v>762</v>
      </c>
      <c r="D227" s="35">
        <v>293</v>
      </c>
      <c r="E227" s="35">
        <v>1254</v>
      </c>
      <c r="F227" s="35">
        <v>1210</v>
      </c>
      <c r="G227" s="35">
        <v>291</v>
      </c>
      <c r="H227" s="36">
        <f t="shared" si="30"/>
        <v>3810</v>
      </c>
    </row>
    <row r="228" spans="1:8" ht="15" customHeight="1" x14ac:dyDescent="0.3">
      <c r="A228" s="147" t="s">
        <v>10</v>
      </c>
      <c r="B228" s="10" t="s">
        <v>7</v>
      </c>
      <c r="C228" s="37">
        <v>4</v>
      </c>
      <c r="D228" s="37">
        <v>11</v>
      </c>
      <c r="E228" s="37">
        <v>35</v>
      </c>
      <c r="F228" s="37">
        <v>109</v>
      </c>
      <c r="G228" s="37">
        <v>49</v>
      </c>
      <c r="H228" s="38">
        <f t="shared" si="30"/>
        <v>208</v>
      </c>
    </row>
    <row r="229" spans="1:8" ht="15" customHeight="1" x14ac:dyDescent="0.3">
      <c r="A229" s="147"/>
      <c r="B229" s="10" t="s">
        <v>8</v>
      </c>
      <c r="C229" s="37">
        <v>434</v>
      </c>
      <c r="D229" s="37">
        <v>910</v>
      </c>
      <c r="E229" s="37">
        <v>1072</v>
      </c>
      <c r="F229" s="37">
        <v>2219</v>
      </c>
      <c r="G229" s="37">
        <v>734</v>
      </c>
      <c r="H229" s="38">
        <f t="shared" si="30"/>
        <v>5369</v>
      </c>
    </row>
    <row r="230" spans="1:8" ht="15" customHeight="1" x14ac:dyDescent="0.3">
      <c r="A230" s="147"/>
      <c r="B230" s="10" t="s">
        <v>9</v>
      </c>
      <c r="C230" s="37">
        <v>909</v>
      </c>
      <c r="D230" s="37">
        <v>1901</v>
      </c>
      <c r="E230" s="37">
        <v>2277</v>
      </c>
      <c r="F230" s="37">
        <v>4428</v>
      </c>
      <c r="G230" s="37">
        <v>1402</v>
      </c>
      <c r="H230" s="38">
        <f t="shared" si="30"/>
        <v>10917</v>
      </c>
    </row>
    <row r="231" spans="1:8" ht="15" customHeight="1" x14ac:dyDescent="0.3">
      <c r="A231" s="148" t="s">
        <v>4</v>
      </c>
      <c r="B231" s="12" t="s">
        <v>7</v>
      </c>
      <c r="C231" s="35">
        <v>2</v>
      </c>
      <c r="D231" s="35">
        <v>5</v>
      </c>
      <c r="E231" s="35">
        <v>10</v>
      </c>
      <c r="F231" s="35">
        <v>24</v>
      </c>
      <c r="G231" s="35">
        <v>10</v>
      </c>
      <c r="H231" s="36">
        <f t="shared" si="30"/>
        <v>51</v>
      </c>
    </row>
    <row r="232" spans="1:8" ht="15" customHeight="1" x14ac:dyDescent="0.3">
      <c r="A232" s="148"/>
      <c r="B232" s="12" t="s">
        <v>8</v>
      </c>
      <c r="C232" s="35">
        <v>179</v>
      </c>
      <c r="D232" s="35">
        <v>328</v>
      </c>
      <c r="E232" s="35">
        <v>425</v>
      </c>
      <c r="F232" s="35">
        <v>558</v>
      </c>
      <c r="G232" s="35">
        <v>154</v>
      </c>
      <c r="H232" s="36">
        <f t="shared" si="30"/>
        <v>1644</v>
      </c>
    </row>
    <row r="233" spans="1:8" ht="15" customHeight="1" x14ac:dyDescent="0.3">
      <c r="A233" s="148"/>
      <c r="B233" s="12" t="s">
        <v>9</v>
      </c>
      <c r="C233" s="35">
        <v>359</v>
      </c>
      <c r="D233" s="35">
        <v>573</v>
      </c>
      <c r="E233" s="35">
        <v>807</v>
      </c>
      <c r="F233" s="35">
        <v>1068</v>
      </c>
      <c r="G233" s="35">
        <v>325</v>
      </c>
      <c r="H233" s="36">
        <f t="shared" si="30"/>
        <v>3132</v>
      </c>
    </row>
    <row r="234" spans="1:8" ht="15" customHeight="1" x14ac:dyDescent="0.3">
      <c r="A234" s="147" t="s">
        <v>5</v>
      </c>
      <c r="B234" s="10" t="s">
        <v>7</v>
      </c>
      <c r="C234" s="37">
        <v>2</v>
      </c>
      <c r="D234" s="37">
        <v>3</v>
      </c>
      <c r="E234" s="37">
        <v>10</v>
      </c>
      <c r="F234" s="37">
        <v>2</v>
      </c>
      <c r="G234" s="37">
        <v>2</v>
      </c>
      <c r="H234" s="38">
        <f t="shared" si="30"/>
        <v>19</v>
      </c>
    </row>
    <row r="235" spans="1:8" ht="15" customHeight="1" x14ac:dyDescent="0.3">
      <c r="A235" s="147"/>
      <c r="B235" s="10" t="s">
        <v>8</v>
      </c>
      <c r="C235" s="37">
        <v>127</v>
      </c>
      <c r="D235" s="37">
        <v>68</v>
      </c>
      <c r="E235" s="37">
        <v>369</v>
      </c>
      <c r="F235" s="37">
        <v>87</v>
      </c>
      <c r="G235" s="37">
        <v>34</v>
      </c>
      <c r="H235" s="38">
        <f t="shared" si="30"/>
        <v>685</v>
      </c>
    </row>
    <row r="236" spans="1:8" ht="15" customHeight="1" x14ac:dyDescent="0.3">
      <c r="A236" s="147"/>
      <c r="B236" s="10" t="s">
        <v>9</v>
      </c>
      <c r="C236" s="37">
        <v>244</v>
      </c>
      <c r="D236" s="37">
        <v>146</v>
      </c>
      <c r="E236" s="37">
        <v>748</v>
      </c>
      <c r="F236" s="37">
        <v>175</v>
      </c>
      <c r="G236" s="37">
        <v>66</v>
      </c>
      <c r="H236" s="38">
        <f t="shared" si="30"/>
        <v>1379</v>
      </c>
    </row>
    <row r="237" spans="1:8" ht="15" customHeight="1" x14ac:dyDescent="0.3">
      <c r="A237" s="148" t="s">
        <v>6</v>
      </c>
      <c r="B237" s="12" t="s">
        <v>7</v>
      </c>
      <c r="C237" s="35">
        <v>0</v>
      </c>
      <c r="D237" s="35">
        <v>6</v>
      </c>
      <c r="E237" s="35">
        <v>14</v>
      </c>
      <c r="F237" s="35">
        <v>1</v>
      </c>
      <c r="G237" s="35">
        <v>1</v>
      </c>
      <c r="H237" s="36">
        <f t="shared" si="30"/>
        <v>22</v>
      </c>
    </row>
    <row r="238" spans="1:8" ht="15" customHeight="1" x14ac:dyDescent="0.3">
      <c r="A238" s="148"/>
      <c r="B238" s="12" t="s">
        <v>8</v>
      </c>
      <c r="C238" s="35">
        <v>0</v>
      </c>
      <c r="D238" s="35">
        <v>334</v>
      </c>
      <c r="E238" s="35">
        <v>452</v>
      </c>
      <c r="F238" s="35">
        <v>52</v>
      </c>
      <c r="G238" s="35">
        <v>11</v>
      </c>
      <c r="H238" s="36">
        <f t="shared" si="30"/>
        <v>849</v>
      </c>
    </row>
    <row r="239" spans="1:8" ht="15" customHeight="1" x14ac:dyDescent="0.3">
      <c r="A239" s="148"/>
      <c r="B239" s="12" t="s">
        <v>9</v>
      </c>
      <c r="C239" s="35">
        <v>0</v>
      </c>
      <c r="D239" s="35">
        <v>671</v>
      </c>
      <c r="E239" s="35">
        <v>857</v>
      </c>
      <c r="F239" s="35">
        <v>86</v>
      </c>
      <c r="G239" s="35">
        <v>22</v>
      </c>
      <c r="H239" s="36">
        <f t="shared" si="30"/>
        <v>1636</v>
      </c>
    </row>
    <row r="240" spans="1:8" ht="15" customHeight="1" x14ac:dyDescent="0.3">
      <c r="A240" s="149" t="s">
        <v>1</v>
      </c>
      <c r="B240" s="109" t="s">
        <v>7</v>
      </c>
      <c r="C240" s="110">
        <f t="shared" ref="C240:H240" si="31">C222+C225+C228+C231+C234+C237</f>
        <v>12</v>
      </c>
      <c r="D240" s="110">
        <f t="shared" si="31"/>
        <v>30</v>
      </c>
      <c r="E240" s="110">
        <f t="shared" si="31"/>
        <v>99</v>
      </c>
      <c r="F240" s="110">
        <f t="shared" si="31"/>
        <v>166</v>
      </c>
      <c r="G240" s="110">
        <f t="shared" si="31"/>
        <v>75</v>
      </c>
      <c r="H240" s="110">
        <f t="shared" si="31"/>
        <v>382</v>
      </c>
    </row>
    <row r="241" spans="1:8" ht="15" customHeight="1" x14ac:dyDescent="0.3">
      <c r="A241" s="149"/>
      <c r="B241" s="109" t="s">
        <v>8</v>
      </c>
      <c r="C241" s="110">
        <f t="shared" ref="C241:H241" si="32">C223+C226+C229+C232+C235+C238</f>
        <v>1197</v>
      </c>
      <c r="D241" s="110">
        <f t="shared" si="32"/>
        <v>1955</v>
      </c>
      <c r="E241" s="110">
        <f t="shared" si="32"/>
        <v>3198</v>
      </c>
      <c r="F241" s="110">
        <f t="shared" si="32"/>
        <v>3635</v>
      </c>
      <c r="G241" s="110">
        <f t="shared" si="32"/>
        <v>1126</v>
      </c>
      <c r="H241" s="110">
        <f t="shared" si="32"/>
        <v>11111</v>
      </c>
    </row>
    <row r="242" spans="1:8" ht="15" customHeight="1" x14ac:dyDescent="0.3">
      <c r="A242" s="149"/>
      <c r="B242" s="109" t="s">
        <v>9</v>
      </c>
      <c r="C242" s="110">
        <f t="shared" ref="C242:H242" si="33">C224+C227+C230+C233+C236+C239</f>
        <v>2421</v>
      </c>
      <c r="D242" s="110">
        <f t="shared" si="33"/>
        <v>3949</v>
      </c>
      <c r="E242" s="110">
        <f t="shared" si="33"/>
        <v>6392</v>
      </c>
      <c r="F242" s="110">
        <f t="shared" si="33"/>
        <v>7088</v>
      </c>
      <c r="G242" s="110">
        <f t="shared" si="33"/>
        <v>2198</v>
      </c>
      <c r="H242" s="110">
        <f t="shared" si="33"/>
        <v>22048</v>
      </c>
    </row>
    <row r="243" spans="1:8" ht="15" customHeight="1" x14ac:dyDescent="0.3">
      <c r="A243" s="81" t="s">
        <v>111</v>
      </c>
      <c r="B243" s="83"/>
      <c r="C243" s="83"/>
      <c r="D243" s="83"/>
      <c r="E243" s="83"/>
      <c r="F243" s="83"/>
      <c r="G243" s="83"/>
      <c r="H243" s="83"/>
    </row>
    <row r="246" spans="1:8" ht="15" customHeight="1" x14ac:dyDescent="0.3">
      <c r="A246" s="146" t="s">
        <v>76</v>
      </c>
      <c r="B246" s="146"/>
      <c r="C246" s="146"/>
      <c r="D246" s="146"/>
      <c r="E246" s="146"/>
      <c r="F246" s="146"/>
      <c r="G246" s="146"/>
      <c r="H246" s="146"/>
    </row>
    <row r="247" spans="1:8" ht="15" customHeight="1" x14ac:dyDescent="0.3">
      <c r="A247" s="146" t="s">
        <v>88</v>
      </c>
      <c r="B247" s="146"/>
      <c r="C247" s="146"/>
      <c r="D247" s="146"/>
      <c r="E247" s="146"/>
      <c r="F247" s="146"/>
      <c r="G247" s="146"/>
      <c r="H247" s="146"/>
    </row>
    <row r="248" spans="1:8" ht="15" customHeight="1" x14ac:dyDescent="0.3">
      <c r="A248" s="91" t="s">
        <v>103</v>
      </c>
      <c r="B248" s="92"/>
      <c r="C248" s="92" t="s">
        <v>39</v>
      </c>
      <c r="D248" s="92" t="s">
        <v>40</v>
      </c>
      <c r="E248" s="92" t="s">
        <v>41</v>
      </c>
      <c r="F248" s="92" t="s">
        <v>42</v>
      </c>
      <c r="G248" s="92" t="s">
        <v>0</v>
      </c>
      <c r="H248" s="92" t="s">
        <v>1</v>
      </c>
    </row>
    <row r="249" spans="1:8" ht="15" customHeight="1" x14ac:dyDescent="0.3">
      <c r="A249" s="152" t="s">
        <v>2</v>
      </c>
      <c r="B249" s="10" t="s">
        <v>7</v>
      </c>
      <c r="C249" s="37">
        <v>1</v>
      </c>
      <c r="D249" s="37">
        <v>3</v>
      </c>
      <c r="E249" s="37">
        <v>10</v>
      </c>
      <c r="F249" s="37">
        <v>3</v>
      </c>
      <c r="G249" s="37">
        <v>3</v>
      </c>
      <c r="H249" s="38">
        <f>SUM(C249:G249)</f>
        <v>20</v>
      </c>
    </row>
    <row r="250" spans="1:8" ht="15" customHeight="1" x14ac:dyDescent="0.3">
      <c r="A250" s="152"/>
      <c r="B250" s="10" t="s">
        <v>8</v>
      </c>
      <c r="C250" s="37">
        <v>73</v>
      </c>
      <c r="D250" s="37">
        <v>173</v>
      </c>
      <c r="E250" s="37">
        <v>173</v>
      </c>
      <c r="F250" s="37">
        <v>119</v>
      </c>
      <c r="G250" s="37">
        <v>49</v>
      </c>
      <c r="H250" s="38">
        <f t="shared" ref="H250:H266" si="34">SUM(C250:G250)</f>
        <v>587</v>
      </c>
    </row>
    <row r="251" spans="1:8" ht="15" customHeight="1" x14ac:dyDescent="0.3">
      <c r="A251" s="152"/>
      <c r="B251" s="10" t="s">
        <v>9</v>
      </c>
      <c r="C251" s="37">
        <v>147</v>
      </c>
      <c r="D251" s="37">
        <v>365</v>
      </c>
      <c r="E251" s="37">
        <v>352</v>
      </c>
      <c r="F251" s="37">
        <v>217</v>
      </c>
      <c r="G251" s="37">
        <v>92</v>
      </c>
      <c r="H251" s="38">
        <f t="shared" si="34"/>
        <v>1173</v>
      </c>
    </row>
    <row r="252" spans="1:8" ht="15" customHeight="1" x14ac:dyDescent="0.3">
      <c r="A252" s="151" t="s">
        <v>3</v>
      </c>
      <c r="B252" s="12" t="s">
        <v>7</v>
      </c>
      <c r="C252" s="35">
        <v>3</v>
      </c>
      <c r="D252" s="35">
        <v>2</v>
      </c>
      <c r="E252" s="35">
        <v>19</v>
      </c>
      <c r="F252" s="35">
        <v>28</v>
      </c>
      <c r="G252" s="35">
        <v>10</v>
      </c>
      <c r="H252" s="36">
        <f t="shared" si="34"/>
        <v>62</v>
      </c>
    </row>
    <row r="253" spans="1:8" ht="15" customHeight="1" x14ac:dyDescent="0.3">
      <c r="A253" s="151"/>
      <c r="B253" s="12" t="s">
        <v>8</v>
      </c>
      <c r="C253" s="35">
        <v>384</v>
      </c>
      <c r="D253" s="35">
        <v>142</v>
      </c>
      <c r="E253" s="35">
        <v>658</v>
      </c>
      <c r="F253" s="35">
        <v>651</v>
      </c>
      <c r="G253" s="35">
        <v>144</v>
      </c>
      <c r="H253" s="36">
        <f t="shared" si="34"/>
        <v>1979</v>
      </c>
    </row>
    <row r="254" spans="1:8" ht="15" customHeight="1" x14ac:dyDescent="0.3">
      <c r="A254" s="151"/>
      <c r="B254" s="12" t="s">
        <v>9</v>
      </c>
      <c r="C254" s="35">
        <v>762</v>
      </c>
      <c r="D254" s="35">
        <v>293</v>
      </c>
      <c r="E254" s="35">
        <v>1254</v>
      </c>
      <c r="F254" s="35">
        <v>1210</v>
      </c>
      <c r="G254" s="35">
        <v>291</v>
      </c>
      <c r="H254" s="36">
        <f t="shared" si="34"/>
        <v>3810</v>
      </c>
    </row>
    <row r="255" spans="1:8" ht="15" customHeight="1" x14ac:dyDescent="0.3">
      <c r="A255" s="152" t="s">
        <v>10</v>
      </c>
      <c r="B255" s="10" t="s">
        <v>7</v>
      </c>
      <c r="C255" s="37">
        <v>3</v>
      </c>
      <c r="D255" s="37">
        <v>10</v>
      </c>
      <c r="E255" s="37">
        <v>33</v>
      </c>
      <c r="F255" s="37">
        <v>109</v>
      </c>
      <c r="G255" s="37">
        <v>49</v>
      </c>
      <c r="H255" s="38">
        <f t="shared" si="34"/>
        <v>204</v>
      </c>
    </row>
    <row r="256" spans="1:8" ht="15" customHeight="1" x14ac:dyDescent="0.3">
      <c r="A256" s="152"/>
      <c r="B256" s="10" t="s">
        <v>8</v>
      </c>
      <c r="C256" s="37">
        <v>272</v>
      </c>
      <c r="D256" s="37">
        <v>882</v>
      </c>
      <c r="E256" s="37">
        <v>958</v>
      </c>
      <c r="F256" s="37">
        <v>2221</v>
      </c>
      <c r="G256" s="37">
        <v>734</v>
      </c>
      <c r="H256" s="38">
        <f t="shared" si="34"/>
        <v>5067</v>
      </c>
    </row>
    <row r="257" spans="1:8" ht="15" customHeight="1" x14ac:dyDescent="0.3">
      <c r="A257" s="152"/>
      <c r="B257" s="10" t="s">
        <v>9</v>
      </c>
      <c r="C257" s="37">
        <v>561</v>
      </c>
      <c r="D257" s="37">
        <v>1828</v>
      </c>
      <c r="E257" s="37">
        <v>1937</v>
      </c>
      <c r="F257" s="37">
        <v>4420</v>
      </c>
      <c r="G257" s="37">
        <v>1402</v>
      </c>
      <c r="H257" s="38">
        <f t="shared" si="34"/>
        <v>10148</v>
      </c>
    </row>
    <row r="258" spans="1:8" ht="15" customHeight="1" x14ac:dyDescent="0.3">
      <c r="A258" s="151" t="s">
        <v>4</v>
      </c>
      <c r="B258" s="12" t="s">
        <v>7</v>
      </c>
      <c r="C258" s="35">
        <v>2</v>
      </c>
      <c r="D258" s="35">
        <v>5</v>
      </c>
      <c r="E258" s="35">
        <v>10</v>
      </c>
      <c r="F258" s="35">
        <v>24</v>
      </c>
      <c r="G258" s="35">
        <v>10</v>
      </c>
      <c r="H258" s="36">
        <f t="shared" si="34"/>
        <v>51</v>
      </c>
    </row>
    <row r="259" spans="1:8" ht="15" customHeight="1" x14ac:dyDescent="0.3">
      <c r="A259" s="151"/>
      <c r="B259" s="12" t="s">
        <v>8</v>
      </c>
      <c r="C259" s="35">
        <v>179</v>
      </c>
      <c r="D259" s="35">
        <v>328</v>
      </c>
      <c r="E259" s="35">
        <v>425</v>
      </c>
      <c r="F259" s="35">
        <v>558</v>
      </c>
      <c r="G259" s="35">
        <v>154</v>
      </c>
      <c r="H259" s="36">
        <f t="shared" si="34"/>
        <v>1644</v>
      </c>
    </row>
    <row r="260" spans="1:8" ht="15" customHeight="1" x14ac:dyDescent="0.3">
      <c r="A260" s="151"/>
      <c r="B260" s="12" t="s">
        <v>9</v>
      </c>
      <c r="C260" s="35">
        <v>359</v>
      </c>
      <c r="D260" s="35">
        <v>573</v>
      </c>
      <c r="E260" s="35">
        <v>807</v>
      </c>
      <c r="F260" s="35">
        <v>1068</v>
      </c>
      <c r="G260" s="35">
        <v>325</v>
      </c>
      <c r="H260" s="36">
        <f t="shared" si="34"/>
        <v>3132</v>
      </c>
    </row>
    <row r="261" spans="1:8" ht="15" customHeight="1" x14ac:dyDescent="0.3">
      <c r="A261" s="152" t="s">
        <v>5</v>
      </c>
      <c r="B261" s="10" t="s">
        <v>7</v>
      </c>
      <c r="C261" s="37">
        <v>2</v>
      </c>
      <c r="D261" s="37">
        <v>3</v>
      </c>
      <c r="E261" s="37">
        <v>10</v>
      </c>
      <c r="F261" s="37">
        <v>3</v>
      </c>
      <c r="G261" s="37">
        <v>2</v>
      </c>
      <c r="H261" s="38">
        <f t="shared" si="34"/>
        <v>20</v>
      </c>
    </row>
    <row r="262" spans="1:8" ht="15" customHeight="1" x14ac:dyDescent="0.3">
      <c r="A262" s="152"/>
      <c r="B262" s="10" t="s">
        <v>8</v>
      </c>
      <c r="C262" s="37">
        <v>127</v>
      </c>
      <c r="D262" s="37">
        <v>68</v>
      </c>
      <c r="E262" s="37">
        <v>369</v>
      </c>
      <c r="F262" s="37">
        <v>127</v>
      </c>
      <c r="G262" s="37">
        <v>34</v>
      </c>
      <c r="H262" s="38">
        <f t="shared" si="34"/>
        <v>725</v>
      </c>
    </row>
    <row r="263" spans="1:8" ht="15" customHeight="1" x14ac:dyDescent="0.3">
      <c r="A263" s="152"/>
      <c r="B263" s="10" t="s">
        <v>9</v>
      </c>
      <c r="C263" s="37">
        <v>244</v>
      </c>
      <c r="D263" s="37">
        <v>146</v>
      </c>
      <c r="E263" s="37">
        <v>748</v>
      </c>
      <c r="F263" s="37">
        <v>244</v>
      </c>
      <c r="G263" s="37">
        <v>66</v>
      </c>
      <c r="H263" s="38">
        <f t="shared" si="34"/>
        <v>1448</v>
      </c>
    </row>
    <row r="264" spans="1:8" ht="15" customHeight="1" x14ac:dyDescent="0.3">
      <c r="A264" s="151" t="s">
        <v>6</v>
      </c>
      <c r="B264" s="12" t="s">
        <v>7</v>
      </c>
      <c r="C264" s="35">
        <v>0</v>
      </c>
      <c r="D264" s="35">
        <v>6</v>
      </c>
      <c r="E264" s="35">
        <v>14</v>
      </c>
      <c r="F264" s="35">
        <v>1</v>
      </c>
      <c r="G264" s="35">
        <v>1</v>
      </c>
      <c r="H264" s="36">
        <f t="shared" si="34"/>
        <v>22</v>
      </c>
    </row>
    <row r="265" spans="1:8" ht="15" customHeight="1" x14ac:dyDescent="0.3">
      <c r="A265" s="151"/>
      <c r="B265" s="12" t="s">
        <v>8</v>
      </c>
      <c r="C265" s="35">
        <v>0</v>
      </c>
      <c r="D265" s="35">
        <v>317</v>
      </c>
      <c r="E265" s="35">
        <v>451</v>
      </c>
      <c r="F265" s="35">
        <v>52</v>
      </c>
      <c r="G265" s="35">
        <v>11</v>
      </c>
      <c r="H265" s="36">
        <f t="shared" si="34"/>
        <v>831</v>
      </c>
    </row>
    <row r="266" spans="1:8" ht="15" customHeight="1" x14ac:dyDescent="0.3">
      <c r="A266" s="151"/>
      <c r="B266" s="12" t="s">
        <v>9</v>
      </c>
      <c r="C266" s="35">
        <v>0</v>
      </c>
      <c r="D266" s="35">
        <v>645</v>
      </c>
      <c r="E266" s="35">
        <v>860</v>
      </c>
      <c r="F266" s="35">
        <v>86</v>
      </c>
      <c r="G266" s="35">
        <v>22</v>
      </c>
      <c r="H266" s="36">
        <f t="shared" si="34"/>
        <v>1613</v>
      </c>
    </row>
    <row r="267" spans="1:8" ht="15" customHeight="1" x14ac:dyDescent="0.3">
      <c r="A267" s="150" t="s">
        <v>1</v>
      </c>
      <c r="B267" s="109" t="s">
        <v>7</v>
      </c>
      <c r="C267" s="110">
        <f t="shared" ref="C267:H269" si="35">C249+C252+C255+C258+C261+C264</f>
        <v>11</v>
      </c>
      <c r="D267" s="110">
        <f t="shared" si="35"/>
        <v>29</v>
      </c>
      <c r="E267" s="110">
        <f t="shared" si="35"/>
        <v>96</v>
      </c>
      <c r="F267" s="110">
        <f t="shared" si="35"/>
        <v>168</v>
      </c>
      <c r="G267" s="110">
        <f t="shared" si="35"/>
        <v>75</v>
      </c>
      <c r="H267" s="110">
        <f t="shared" si="35"/>
        <v>379</v>
      </c>
    </row>
    <row r="268" spans="1:8" ht="15" customHeight="1" x14ac:dyDescent="0.3">
      <c r="A268" s="150"/>
      <c r="B268" s="109" t="s">
        <v>8</v>
      </c>
      <c r="C268" s="110">
        <f t="shared" si="35"/>
        <v>1035</v>
      </c>
      <c r="D268" s="110">
        <f t="shared" si="35"/>
        <v>1910</v>
      </c>
      <c r="E268" s="110">
        <f t="shared" si="35"/>
        <v>3034</v>
      </c>
      <c r="F268" s="110">
        <f t="shared" si="35"/>
        <v>3728</v>
      </c>
      <c r="G268" s="110">
        <f t="shared" si="35"/>
        <v>1126</v>
      </c>
      <c r="H268" s="110">
        <f t="shared" si="35"/>
        <v>10833</v>
      </c>
    </row>
    <row r="269" spans="1:8" ht="15" customHeight="1" x14ac:dyDescent="0.3">
      <c r="A269" s="150"/>
      <c r="B269" s="109" t="s">
        <v>9</v>
      </c>
      <c r="C269" s="110">
        <f t="shared" si="35"/>
        <v>2073</v>
      </c>
      <c r="D269" s="110">
        <f t="shared" si="35"/>
        <v>3850</v>
      </c>
      <c r="E269" s="110">
        <f t="shared" si="35"/>
        <v>5958</v>
      </c>
      <c r="F269" s="110">
        <f t="shared" si="35"/>
        <v>7245</v>
      </c>
      <c r="G269" s="110">
        <f t="shared" si="35"/>
        <v>2198</v>
      </c>
      <c r="H269" s="110">
        <f t="shared" si="35"/>
        <v>21324</v>
      </c>
    </row>
    <row r="270" spans="1:8" ht="15" customHeight="1" x14ac:dyDescent="0.3">
      <c r="A270" s="81" t="s">
        <v>111</v>
      </c>
      <c r="B270" s="4"/>
      <c r="C270" s="4"/>
      <c r="D270" s="4"/>
    </row>
    <row r="272" spans="1:8" ht="15" customHeight="1" x14ac:dyDescent="0.3">
      <c r="A272" s="85"/>
      <c r="B272" s="85"/>
      <c r="C272" s="85"/>
      <c r="D272" s="85"/>
    </row>
    <row r="273" spans="1:8" ht="15" customHeight="1" x14ac:dyDescent="0.3">
      <c r="A273" s="146" t="s">
        <v>76</v>
      </c>
      <c r="B273" s="146"/>
      <c r="C273" s="146"/>
      <c r="D273" s="146"/>
      <c r="E273" s="146"/>
      <c r="F273" s="146"/>
      <c r="G273" s="146"/>
      <c r="H273" s="146"/>
    </row>
    <row r="274" spans="1:8" ht="15" customHeight="1" x14ac:dyDescent="0.3">
      <c r="A274" s="146" t="s">
        <v>87</v>
      </c>
      <c r="B274" s="146"/>
      <c r="C274" s="146"/>
      <c r="D274" s="146"/>
      <c r="E274" s="146"/>
      <c r="F274" s="146"/>
      <c r="G274" s="146"/>
      <c r="H274" s="146"/>
    </row>
    <row r="275" spans="1:8" ht="15" customHeight="1" x14ac:dyDescent="0.3">
      <c r="A275" s="91" t="s">
        <v>103</v>
      </c>
      <c r="B275" s="92"/>
      <c r="C275" s="92" t="s">
        <v>39</v>
      </c>
      <c r="D275" s="92" t="s">
        <v>40</v>
      </c>
      <c r="E275" s="92" t="s">
        <v>41</v>
      </c>
      <c r="F275" s="92" t="s">
        <v>42</v>
      </c>
      <c r="G275" s="92" t="s">
        <v>0</v>
      </c>
      <c r="H275" s="92" t="s">
        <v>1</v>
      </c>
    </row>
    <row r="276" spans="1:8" ht="15" customHeight="1" x14ac:dyDescent="0.3">
      <c r="A276" s="152" t="s">
        <v>2</v>
      </c>
      <c r="B276" s="10" t="s">
        <v>7</v>
      </c>
      <c r="C276" s="37">
        <v>0</v>
      </c>
      <c r="D276" s="37">
        <v>3</v>
      </c>
      <c r="E276" s="37">
        <v>10</v>
      </c>
      <c r="F276" s="37">
        <v>3</v>
      </c>
      <c r="G276" s="37">
        <v>4</v>
      </c>
      <c r="H276" s="38">
        <f>SUM(C276:G276)</f>
        <v>20</v>
      </c>
    </row>
    <row r="277" spans="1:8" ht="15" customHeight="1" x14ac:dyDescent="0.3">
      <c r="A277" s="152"/>
      <c r="B277" s="10" t="s">
        <v>8</v>
      </c>
      <c r="C277" s="37">
        <v>0</v>
      </c>
      <c r="D277" s="37">
        <v>173</v>
      </c>
      <c r="E277" s="37">
        <v>173</v>
      </c>
      <c r="F277" s="37">
        <v>119</v>
      </c>
      <c r="G277" s="37">
        <v>59</v>
      </c>
      <c r="H277" s="38">
        <f t="shared" ref="H277:H293" si="36">SUM(C277:G277)</f>
        <v>524</v>
      </c>
    </row>
    <row r="278" spans="1:8" ht="15" customHeight="1" x14ac:dyDescent="0.3">
      <c r="A278" s="152"/>
      <c r="B278" s="10" t="s">
        <v>9</v>
      </c>
      <c r="C278" s="37">
        <v>0</v>
      </c>
      <c r="D278" s="37">
        <v>365</v>
      </c>
      <c r="E278" s="37">
        <v>352</v>
      </c>
      <c r="F278" s="37">
        <v>217</v>
      </c>
      <c r="G278" s="37">
        <v>110</v>
      </c>
      <c r="H278" s="38">
        <f t="shared" si="36"/>
        <v>1044</v>
      </c>
    </row>
    <row r="279" spans="1:8" ht="15" customHeight="1" x14ac:dyDescent="0.3">
      <c r="A279" s="151" t="s">
        <v>3</v>
      </c>
      <c r="B279" s="12" t="s">
        <v>7</v>
      </c>
      <c r="C279" s="35">
        <v>3</v>
      </c>
      <c r="D279" s="35">
        <v>2</v>
      </c>
      <c r="E279" s="35">
        <v>18</v>
      </c>
      <c r="F279" s="35">
        <v>31</v>
      </c>
      <c r="G279" s="35">
        <v>10</v>
      </c>
      <c r="H279" s="36">
        <f t="shared" si="36"/>
        <v>64</v>
      </c>
    </row>
    <row r="280" spans="1:8" ht="15" customHeight="1" x14ac:dyDescent="0.3">
      <c r="A280" s="151"/>
      <c r="B280" s="12" t="s">
        <v>8</v>
      </c>
      <c r="C280" s="35">
        <v>384</v>
      </c>
      <c r="D280" s="35">
        <v>142</v>
      </c>
      <c r="E280" s="35">
        <v>638</v>
      </c>
      <c r="F280" s="35">
        <v>709</v>
      </c>
      <c r="G280" s="35">
        <v>144</v>
      </c>
      <c r="H280" s="36">
        <f t="shared" si="36"/>
        <v>2017</v>
      </c>
    </row>
    <row r="281" spans="1:8" ht="15" customHeight="1" x14ac:dyDescent="0.3">
      <c r="A281" s="151"/>
      <c r="B281" s="12" t="s">
        <v>9</v>
      </c>
      <c r="C281" s="35">
        <v>762</v>
      </c>
      <c r="D281" s="35">
        <v>293</v>
      </c>
      <c r="E281" s="35">
        <v>1214</v>
      </c>
      <c r="F281" s="35">
        <v>1318</v>
      </c>
      <c r="G281" s="35">
        <v>291</v>
      </c>
      <c r="H281" s="36">
        <f t="shared" si="36"/>
        <v>3878</v>
      </c>
    </row>
    <row r="282" spans="1:8" ht="15" customHeight="1" x14ac:dyDescent="0.3">
      <c r="A282" s="152" t="s">
        <v>10</v>
      </c>
      <c r="B282" s="10" t="s">
        <v>7</v>
      </c>
      <c r="C282" s="37">
        <v>3</v>
      </c>
      <c r="D282" s="37">
        <v>10</v>
      </c>
      <c r="E282" s="37">
        <v>31</v>
      </c>
      <c r="F282" s="37">
        <v>114</v>
      </c>
      <c r="G282" s="37">
        <v>49</v>
      </c>
      <c r="H282" s="38">
        <f t="shared" si="36"/>
        <v>207</v>
      </c>
    </row>
    <row r="283" spans="1:8" ht="15" customHeight="1" x14ac:dyDescent="0.3">
      <c r="A283" s="152"/>
      <c r="B283" s="10" t="s">
        <v>8</v>
      </c>
      <c r="C283" s="37">
        <v>272</v>
      </c>
      <c r="D283" s="37">
        <v>879</v>
      </c>
      <c r="E283" s="37">
        <v>965</v>
      </c>
      <c r="F283" s="37">
        <v>2328</v>
      </c>
      <c r="G283" s="37">
        <v>737</v>
      </c>
      <c r="H283" s="38">
        <f t="shared" si="36"/>
        <v>5181</v>
      </c>
    </row>
    <row r="284" spans="1:8" ht="15" customHeight="1" x14ac:dyDescent="0.3">
      <c r="A284" s="152"/>
      <c r="B284" s="10" t="s">
        <v>9</v>
      </c>
      <c r="C284" s="37">
        <v>561</v>
      </c>
      <c r="D284" s="37">
        <v>1825</v>
      </c>
      <c r="E284" s="37">
        <v>1897</v>
      </c>
      <c r="F284" s="37">
        <v>4644</v>
      </c>
      <c r="G284" s="37">
        <v>1405</v>
      </c>
      <c r="H284" s="38">
        <f t="shared" si="36"/>
        <v>10332</v>
      </c>
    </row>
    <row r="285" spans="1:8" ht="15" customHeight="1" x14ac:dyDescent="0.3">
      <c r="A285" s="151" t="s">
        <v>4</v>
      </c>
      <c r="B285" s="12" t="s">
        <v>7</v>
      </c>
      <c r="C285" s="35">
        <v>2</v>
      </c>
      <c r="D285" s="35">
        <v>5</v>
      </c>
      <c r="E285" s="35">
        <v>9</v>
      </c>
      <c r="F285" s="35">
        <v>25</v>
      </c>
      <c r="G285" s="35">
        <v>10</v>
      </c>
      <c r="H285" s="36">
        <f t="shared" si="36"/>
        <v>51</v>
      </c>
    </row>
    <row r="286" spans="1:8" ht="15" customHeight="1" x14ac:dyDescent="0.3">
      <c r="A286" s="151"/>
      <c r="B286" s="12" t="s">
        <v>8</v>
      </c>
      <c r="C286" s="35">
        <v>179</v>
      </c>
      <c r="D286" s="35">
        <v>328</v>
      </c>
      <c r="E286" s="35">
        <v>415</v>
      </c>
      <c r="F286" s="35">
        <v>568</v>
      </c>
      <c r="G286" s="35">
        <v>154</v>
      </c>
      <c r="H286" s="36">
        <f t="shared" si="36"/>
        <v>1644</v>
      </c>
    </row>
    <row r="287" spans="1:8" ht="15" customHeight="1" x14ac:dyDescent="0.3">
      <c r="A287" s="151"/>
      <c r="B287" s="12" t="s">
        <v>9</v>
      </c>
      <c r="C287" s="35">
        <v>359</v>
      </c>
      <c r="D287" s="35">
        <v>573</v>
      </c>
      <c r="E287" s="35">
        <v>786</v>
      </c>
      <c r="F287" s="35">
        <v>1086</v>
      </c>
      <c r="G287" s="35">
        <v>325</v>
      </c>
      <c r="H287" s="36">
        <f t="shared" si="36"/>
        <v>3129</v>
      </c>
    </row>
    <row r="288" spans="1:8" ht="15" customHeight="1" x14ac:dyDescent="0.3">
      <c r="A288" s="152" t="s">
        <v>5</v>
      </c>
      <c r="B288" s="10" t="s">
        <v>7</v>
      </c>
      <c r="C288" s="37">
        <v>2</v>
      </c>
      <c r="D288" s="37">
        <v>2</v>
      </c>
      <c r="E288" s="37">
        <v>9</v>
      </c>
      <c r="F288" s="37">
        <v>5</v>
      </c>
      <c r="G288" s="37">
        <v>2</v>
      </c>
      <c r="H288" s="38">
        <f t="shared" si="36"/>
        <v>20</v>
      </c>
    </row>
    <row r="289" spans="1:8" ht="15" customHeight="1" x14ac:dyDescent="0.3">
      <c r="A289" s="152"/>
      <c r="B289" s="10" t="s">
        <v>8</v>
      </c>
      <c r="C289" s="37">
        <v>127</v>
      </c>
      <c r="D289" s="37">
        <v>62</v>
      </c>
      <c r="E289" s="37">
        <v>326</v>
      </c>
      <c r="F289" s="37">
        <v>210</v>
      </c>
      <c r="G289" s="37">
        <v>34</v>
      </c>
      <c r="H289" s="38">
        <f t="shared" si="36"/>
        <v>759</v>
      </c>
    </row>
    <row r="290" spans="1:8" ht="15" customHeight="1" x14ac:dyDescent="0.3">
      <c r="A290" s="152"/>
      <c r="B290" s="10" t="s">
        <v>9</v>
      </c>
      <c r="C290" s="37">
        <v>244</v>
      </c>
      <c r="D290" s="37">
        <v>125</v>
      </c>
      <c r="E290" s="37">
        <v>660</v>
      </c>
      <c r="F290" s="37">
        <v>401</v>
      </c>
      <c r="G290" s="37">
        <v>66</v>
      </c>
      <c r="H290" s="38">
        <f t="shared" si="36"/>
        <v>1496</v>
      </c>
    </row>
    <row r="291" spans="1:8" ht="15" customHeight="1" x14ac:dyDescent="0.3">
      <c r="A291" s="151" t="s">
        <v>6</v>
      </c>
      <c r="B291" s="12" t="s">
        <v>7</v>
      </c>
      <c r="C291" s="35">
        <v>0</v>
      </c>
      <c r="D291" s="35">
        <v>6</v>
      </c>
      <c r="E291" s="35">
        <v>12</v>
      </c>
      <c r="F291" s="35">
        <v>3</v>
      </c>
      <c r="G291" s="35">
        <v>1</v>
      </c>
      <c r="H291" s="36">
        <f t="shared" si="36"/>
        <v>22</v>
      </c>
    </row>
    <row r="292" spans="1:8" ht="15" customHeight="1" x14ac:dyDescent="0.3">
      <c r="A292" s="151"/>
      <c r="B292" s="12" t="s">
        <v>8</v>
      </c>
      <c r="C292" s="35">
        <v>0</v>
      </c>
      <c r="D292" s="35">
        <v>317</v>
      </c>
      <c r="E292" s="35">
        <v>391</v>
      </c>
      <c r="F292" s="35">
        <v>112</v>
      </c>
      <c r="G292" s="35">
        <v>11</v>
      </c>
      <c r="H292" s="36">
        <f t="shared" si="36"/>
        <v>831</v>
      </c>
    </row>
    <row r="293" spans="1:8" ht="15" customHeight="1" x14ac:dyDescent="0.3">
      <c r="A293" s="151"/>
      <c r="B293" s="12" t="s">
        <v>9</v>
      </c>
      <c r="C293" s="35">
        <v>0</v>
      </c>
      <c r="D293" s="35">
        <v>645</v>
      </c>
      <c r="E293" s="35">
        <v>744</v>
      </c>
      <c r="F293" s="35">
        <v>194</v>
      </c>
      <c r="G293" s="35">
        <v>22</v>
      </c>
      <c r="H293" s="36">
        <f t="shared" si="36"/>
        <v>1605</v>
      </c>
    </row>
    <row r="294" spans="1:8" ht="15" customHeight="1" x14ac:dyDescent="0.3">
      <c r="A294" s="150" t="s">
        <v>1</v>
      </c>
      <c r="B294" s="109" t="s">
        <v>7</v>
      </c>
      <c r="C294" s="110">
        <f>C276+C279+C282+C285+C288+C291</f>
        <v>10</v>
      </c>
      <c r="D294" s="110">
        <f t="shared" ref="D294:H294" si="37">D276+D279+D282+D285+D288+D291</f>
        <v>28</v>
      </c>
      <c r="E294" s="110">
        <f t="shared" si="37"/>
        <v>89</v>
      </c>
      <c r="F294" s="110">
        <f t="shared" si="37"/>
        <v>181</v>
      </c>
      <c r="G294" s="110">
        <f t="shared" si="37"/>
        <v>76</v>
      </c>
      <c r="H294" s="110">
        <f t="shared" si="37"/>
        <v>384</v>
      </c>
    </row>
    <row r="295" spans="1:8" ht="15" customHeight="1" x14ac:dyDescent="0.3">
      <c r="A295" s="150"/>
      <c r="B295" s="109" t="s">
        <v>8</v>
      </c>
      <c r="C295" s="110">
        <f>C277+C280+C283+C286+C289+C292</f>
        <v>962</v>
      </c>
      <c r="D295" s="110">
        <f t="shared" ref="D295:H295" si="38">D277+D280+D283+D286+D289+D292</f>
        <v>1901</v>
      </c>
      <c r="E295" s="110">
        <f t="shared" si="38"/>
        <v>2908</v>
      </c>
      <c r="F295" s="110">
        <f t="shared" si="38"/>
        <v>4046</v>
      </c>
      <c r="G295" s="110">
        <f t="shared" si="38"/>
        <v>1139</v>
      </c>
      <c r="H295" s="110">
        <f t="shared" si="38"/>
        <v>10956</v>
      </c>
    </row>
    <row r="296" spans="1:8" ht="15" customHeight="1" x14ac:dyDescent="0.3">
      <c r="A296" s="150"/>
      <c r="B296" s="109" t="s">
        <v>9</v>
      </c>
      <c r="C296" s="110">
        <f>C278+C281+C284+C287+C290+C293</f>
        <v>1926</v>
      </c>
      <c r="D296" s="110">
        <f t="shared" ref="D296:H296" si="39">D278+D281+D284+D287+D290+D293</f>
        <v>3826</v>
      </c>
      <c r="E296" s="110">
        <f t="shared" si="39"/>
        <v>5653</v>
      </c>
      <c r="F296" s="110">
        <f t="shared" si="39"/>
        <v>7860</v>
      </c>
      <c r="G296" s="110">
        <f t="shared" si="39"/>
        <v>2219</v>
      </c>
      <c r="H296" s="110">
        <f t="shared" si="39"/>
        <v>21484</v>
      </c>
    </row>
    <row r="297" spans="1:8" ht="15" customHeight="1" x14ac:dyDescent="0.3">
      <c r="A297" s="81" t="s">
        <v>111</v>
      </c>
      <c r="B297" s="4"/>
      <c r="C297" s="4"/>
      <c r="D297" s="4"/>
    </row>
    <row r="300" spans="1:8" ht="15" customHeight="1" x14ac:dyDescent="0.3">
      <c r="A300" s="146" t="s">
        <v>76</v>
      </c>
      <c r="B300" s="146"/>
      <c r="C300" s="146"/>
      <c r="D300" s="146"/>
      <c r="E300" s="146"/>
      <c r="F300" s="146"/>
      <c r="G300" s="146"/>
      <c r="H300" s="146"/>
    </row>
    <row r="301" spans="1:8" ht="15" customHeight="1" x14ac:dyDescent="0.3">
      <c r="A301" s="146" t="s">
        <v>86</v>
      </c>
      <c r="B301" s="146"/>
      <c r="C301" s="146"/>
      <c r="D301" s="146"/>
      <c r="E301" s="146"/>
      <c r="F301" s="146"/>
      <c r="G301" s="146"/>
      <c r="H301" s="146"/>
    </row>
    <row r="302" spans="1:8" ht="15" customHeight="1" x14ac:dyDescent="0.3">
      <c r="A302" s="91" t="s">
        <v>103</v>
      </c>
      <c r="B302" s="92"/>
      <c r="C302" s="92" t="s">
        <v>39</v>
      </c>
      <c r="D302" s="92" t="s">
        <v>40</v>
      </c>
      <c r="E302" s="92" t="s">
        <v>41</v>
      </c>
      <c r="F302" s="92" t="s">
        <v>42</v>
      </c>
      <c r="G302" s="92" t="s">
        <v>0</v>
      </c>
      <c r="H302" s="92" t="s">
        <v>1</v>
      </c>
    </row>
    <row r="303" spans="1:8" ht="15" customHeight="1" x14ac:dyDescent="0.3">
      <c r="A303" s="39" t="s">
        <v>2</v>
      </c>
      <c r="B303" s="10" t="s">
        <v>7</v>
      </c>
      <c r="C303" s="37">
        <v>0</v>
      </c>
      <c r="D303" s="37">
        <v>3</v>
      </c>
      <c r="E303" s="37">
        <v>10</v>
      </c>
      <c r="F303" s="37">
        <v>3</v>
      </c>
      <c r="G303" s="37">
        <v>4</v>
      </c>
      <c r="H303" s="38">
        <f t="shared" ref="H303:H320" si="40">SUM(C303:G303)</f>
        <v>20</v>
      </c>
    </row>
    <row r="304" spans="1:8" ht="15" customHeight="1" x14ac:dyDescent="0.3">
      <c r="A304" s="39"/>
      <c r="B304" s="10" t="s">
        <v>8</v>
      </c>
      <c r="C304" s="37">
        <v>0</v>
      </c>
      <c r="D304" s="37">
        <v>173</v>
      </c>
      <c r="E304" s="37">
        <v>173</v>
      </c>
      <c r="F304" s="37">
        <v>119</v>
      </c>
      <c r="G304" s="37">
        <v>59</v>
      </c>
      <c r="H304" s="38">
        <f t="shared" si="40"/>
        <v>524</v>
      </c>
    </row>
    <row r="305" spans="1:8" ht="15" customHeight="1" x14ac:dyDescent="0.3">
      <c r="A305" s="39"/>
      <c r="B305" s="10" t="s">
        <v>9</v>
      </c>
      <c r="C305" s="37">
        <v>0</v>
      </c>
      <c r="D305" s="37">
        <v>365</v>
      </c>
      <c r="E305" s="37">
        <v>352</v>
      </c>
      <c r="F305" s="37">
        <v>217</v>
      </c>
      <c r="G305" s="37">
        <v>110</v>
      </c>
      <c r="H305" s="38">
        <f t="shared" si="40"/>
        <v>1044</v>
      </c>
    </row>
    <row r="306" spans="1:8" ht="15" customHeight="1" x14ac:dyDescent="0.3">
      <c r="A306" s="151" t="s">
        <v>3</v>
      </c>
      <c r="B306" s="12" t="s">
        <v>7</v>
      </c>
      <c r="C306" s="35">
        <v>3</v>
      </c>
      <c r="D306" s="35">
        <v>2</v>
      </c>
      <c r="E306" s="35">
        <v>20</v>
      </c>
      <c r="F306" s="35">
        <v>31</v>
      </c>
      <c r="G306" s="35">
        <v>10</v>
      </c>
      <c r="H306" s="36">
        <f t="shared" si="40"/>
        <v>66</v>
      </c>
    </row>
    <row r="307" spans="1:8" ht="15" customHeight="1" x14ac:dyDescent="0.3">
      <c r="A307" s="151"/>
      <c r="B307" s="12" t="s">
        <v>8</v>
      </c>
      <c r="C307" s="35">
        <v>376</v>
      </c>
      <c r="D307" s="35">
        <v>142</v>
      </c>
      <c r="E307" s="35">
        <v>670</v>
      </c>
      <c r="F307" s="35">
        <v>709</v>
      </c>
      <c r="G307" s="35">
        <v>144</v>
      </c>
      <c r="H307" s="36">
        <f t="shared" si="40"/>
        <v>2041</v>
      </c>
    </row>
    <row r="308" spans="1:8" ht="15" customHeight="1" x14ac:dyDescent="0.3">
      <c r="A308" s="151"/>
      <c r="B308" s="12" t="s">
        <v>9</v>
      </c>
      <c r="C308" s="35">
        <v>762</v>
      </c>
      <c r="D308" s="35">
        <v>293</v>
      </c>
      <c r="E308" s="35">
        <v>1269</v>
      </c>
      <c r="F308" s="35">
        <v>1318</v>
      </c>
      <c r="G308" s="35">
        <v>291</v>
      </c>
      <c r="H308" s="36">
        <f t="shared" si="40"/>
        <v>3933</v>
      </c>
    </row>
    <row r="309" spans="1:8" ht="15" customHeight="1" x14ac:dyDescent="0.3">
      <c r="A309" s="152" t="s">
        <v>10</v>
      </c>
      <c r="B309" s="10" t="s">
        <v>7</v>
      </c>
      <c r="C309" s="37">
        <v>3</v>
      </c>
      <c r="D309" s="37">
        <v>10</v>
      </c>
      <c r="E309" s="37">
        <v>31</v>
      </c>
      <c r="F309" s="37">
        <v>115</v>
      </c>
      <c r="G309" s="37">
        <v>49</v>
      </c>
      <c r="H309" s="38">
        <f t="shared" si="40"/>
        <v>208</v>
      </c>
    </row>
    <row r="310" spans="1:8" ht="15" customHeight="1" x14ac:dyDescent="0.3">
      <c r="A310" s="152"/>
      <c r="B310" s="10" t="s">
        <v>8</v>
      </c>
      <c r="C310" s="37">
        <v>272</v>
      </c>
      <c r="D310" s="37">
        <v>862</v>
      </c>
      <c r="E310" s="37">
        <v>965</v>
      </c>
      <c r="F310" s="37">
        <v>2336</v>
      </c>
      <c r="G310" s="37">
        <v>729</v>
      </c>
      <c r="H310" s="38">
        <f t="shared" si="40"/>
        <v>5164</v>
      </c>
    </row>
    <row r="311" spans="1:8" ht="15" customHeight="1" x14ac:dyDescent="0.3">
      <c r="A311" s="152"/>
      <c r="B311" s="10" t="s">
        <v>9</v>
      </c>
      <c r="C311" s="37">
        <v>561</v>
      </c>
      <c r="D311" s="37">
        <v>1791</v>
      </c>
      <c r="E311" s="37">
        <v>1897</v>
      </c>
      <c r="F311" s="37">
        <v>4663</v>
      </c>
      <c r="G311" s="37">
        <v>1393</v>
      </c>
      <c r="H311" s="38">
        <f t="shared" si="40"/>
        <v>10305</v>
      </c>
    </row>
    <row r="312" spans="1:8" ht="15" customHeight="1" x14ac:dyDescent="0.3">
      <c r="A312" s="151" t="s">
        <v>4</v>
      </c>
      <c r="B312" s="12" t="s">
        <v>7</v>
      </c>
      <c r="C312" s="35">
        <v>2</v>
      </c>
      <c r="D312" s="35">
        <v>4</v>
      </c>
      <c r="E312" s="35">
        <v>9</v>
      </c>
      <c r="F312" s="35">
        <v>25</v>
      </c>
      <c r="G312" s="35">
        <v>10</v>
      </c>
      <c r="H312" s="36">
        <f t="shared" si="40"/>
        <v>50</v>
      </c>
    </row>
    <row r="313" spans="1:8" ht="15" customHeight="1" x14ac:dyDescent="0.3">
      <c r="A313" s="151"/>
      <c r="B313" s="12" t="s">
        <v>8</v>
      </c>
      <c r="C313" s="35">
        <v>179</v>
      </c>
      <c r="D313" s="35">
        <v>309</v>
      </c>
      <c r="E313" s="35">
        <v>415</v>
      </c>
      <c r="F313" s="35">
        <v>568</v>
      </c>
      <c r="G313" s="35">
        <v>154</v>
      </c>
      <c r="H313" s="36">
        <f t="shared" si="40"/>
        <v>1625</v>
      </c>
    </row>
    <row r="314" spans="1:8" ht="15" customHeight="1" x14ac:dyDescent="0.3">
      <c r="A314" s="151"/>
      <c r="B314" s="12" t="s">
        <v>9</v>
      </c>
      <c r="C314" s="35">
        <v>359</v>
      </c>
      <c r="D314" s="35">
        <v>535</v>
      </c>
      <c r="E314" s="35">
        <v>786</v>
      </c>
      <c r="F314" s="35">
        <v>1086</v>
      </c>
      <c r="G314" s="35">
        <v>325</v>
      </c>
      <c r="H314" s="36">
        <f t="shared" si="40"/>
        <v>3091</v>
      </c>
    </row>
    <row r="315" spans="1:8" ht="15" customHeight="1" x14ac:dyDescent="0.3">
      <c r="A315" s="152" t="s">
        <v>5</v>
      </c>
      <c r="B315" s="10" t="s">
        <v>7</v>
      </c>
      <c r="C315" s="37">
        <v>2</v>
      </c>
      <c r="D315" s="37">
        <v>2</v>
      </c>
      <c r="E315" s="37">
        <v>9</v>
      </c>
      <c r="F315" s="37">
        <v>5</v>
      </c>
      <c r="G315" s="37">
        <v>2</v>
      </c>
      <c r="H315" s="38">
        <f t="shared" si="40"/>
        <v>20</v>
      </c>
    </row>
    <row r="316" spans="1:8" ht="15" customHeight="1" x14ac:dyDescent="0.3">
      <c r="A316" s="152"/>
      <c r="B316" s="10" t="s">
        <v>8</v>
      </c>
      <c r="C316" s="37">
        <v>127</v>
      </c>
      <c r="D316" s="37">
        <v>62</v>
      </c>
      <c r="E316" s="37">
        <v>326</v>
      </c>
      <c r="F316" s="37">
        <v>210</v>
      </c>
      <c r="G316" s="37">
        <v>34</v>
      </c>
      <c r="H316" s="38">
        <f t="shared" si="40"/>
        <v>759</v>
      </c>
    </row>
    <row r="317" spans="1:8" ht="15" customHeight="1" x14ac:dyDescent="0.3">
      <c r="A317" s="152"/>
      <c r="B317" s="10" t="s">
        <v>9</v>
      </c>
      <c r="C317" s="37">
        <v>244</v>
      </c>
      <c r="D317" s="37">
        <v>125</v>
      </c>
      <c r="E317" s="37">
        <v>660</v>
      </c>
      <c r="F317" s="37">
        <v>401</v>
      </c>
      <c r="G317" s="37">
        <v>66</v>
      </c>
      <c r="H317" s="38">
        <f t="shared" si="40"/>
        <v>1496</v>
      </c>
    </row>
    <row r="318" spans="1:8" ht="15" customHeight="1" x14ac:dyDescent="0.3">
      <c r="A318" s="151" t="s">
        <v>6</v>
      </c>
      <c r="B318" s="12" t="s">
        <v>7</v>
      </c>
      <c r="C318" s="35">
        <v>0</v>
      </c>
      <c r="D318" s="35">
        <v>6</v>
      </c>
      <c r="E318" s="35">
        <v>12</v>
      </c>
      <c r="F318" s="35">
        <v>3</v>
      </c>
      <c r="G318" s="35">
        <v>1</v>
      </c>
      <c r="H318" s="36">
        <f t="shared" si="40"/>
        <v>22</v>
      </c>
    </row>
    <row r="319" spans="1:8" ht="15" customHeight="1" x14ac:dyDescent="0.3">
      <c r="A319" s="151"/>
      <c r="B319" s="12" t="s">
        <v>8</v>
      </c>
      <c r="C319" s="35">
        <v>0</v>
      </c>
      <c r="D319" s="35">
        <v>317</v>
      </c>
      <c r="E319" s="35">
        <v>391</v>
      </c>
      <c r="F319" s="35">
        <v>112</v>
      </c>
      <c r="G319" s="35">
        <v>11</v>
      </c>
      <c r="H319" s="36">
        <f t="shared" si="40"/>
        <v>831</v>
      </c>
    </row>
    <row r="320" spans="1:8" ht="15" customHeight="1" x14ac:dyDescent="0.3">
      <c r="A320" s="151"/>
      <c r="B320" s="12" t="s">
        <v>9</v>
      </c>
      <c r="C320" s="35">
        <v>0</v>
      </c>
      <c r="D320" s="35">
        <v>645</v>
      </c>
      <c r="E320" s="35">
        <v>744</v>
      </c>
      <c r="F320" s="35">
        <v>194</v>
      </c>
      <c r="G320" s="35">
        <v>22</v>
      </c>
      <c r="H320" s="36">
        <f t="shared" si="40"/>
        <v>1605</v>
      </c>
    </row>
    <row r="321" spans="1:8" ht="15" customHeight="1" x14ac:dyDescent="0.3">
      <c r="A321" s="150" t="s">
        <v>1</v>
      </c>
      <c r="B321" s="109" t="s">
        <v>7</v>
      </c>
      <c r="C321" s="110">
        <f t="shared" ref="C321:H323" si="41">C303+C306+C309+C312+C315+C318</f>
        <v>10</v>
      </c>
      <c r="D321" s="110">
        <f t="shared" si="41"/>
        <v>27</v>
      </c>
      <c r="E321" s="110">
        <f t="shared" si="41"/>
        <v>91</v>
      </c>
      <c r="F321" s="110">
        <f t="shared" si="41"/>
        <v>182</v>
      </c>
      <c r="G321" s="110">
        <f t="shared" si="41"/>
        <v>76</v>
      </c>
      <c r="H321" s="110">
        <f t="shared" si="41"/>
        <v>386</v>
      </c>
    </row>
    <row r="322" spans="1:8" ht="15" customHeight="1" x14ac:dyDescent="0.3">
      <c r="A322" s="150"/>
      <c r="B322" s="109" t="s">
        <v>8</v>
      </c>
      <c r="C322" s="110">
        <f t="shared" si="41"/>
        <v>954</v>
      </c>
      <c r="D322" s="110">
        <f t="shared" si="41"/>
        <v>1865</v>
      </c>
      <c r="E322" s="110">
        <f t="shared" si="41"/>
        <v>2940</v>
      </c>
      <c r="F322" s="110">
        <f t="shared" si="41"/>
        <v>4054</v>
      </c>
      <c r="G322" s="110">
        <f t="shared" si="41"/>
        <v>1131</v>
      </c>
      <c r="H322" s="110">
        <f t="shared" si="41"/>
        <v>10944</v>
      </c>
    </row>
    <row r="323" spans="1:8" ht="15" customHeight="1" x14ac:dyDescent="0.3">
      <c r="A323" s="150"/>
      <c r="B323" s="109" t="s">
        <v>9</v>
      </c>
      <c r="C323" s="110">
        <f t="shared" si="41"/>
        <v>1926</v>
      </c>
      <c r="D323" s="110">
        <f t="shared" si="41"/>
        <v>3754</v>
      </c>
      <c r="E323" s="110">
        <f t="shared" si="41"/>
        <v>5708</v>
      </c>
      <c r="F323" s="110">
        <f t="shared" si="41"/>
        <v>7879</v>
      </c>
      <c r="G323" s="110">
        <f t="shared" si="41"/>
        <v>2207</v>
      </c>
      <c r="H323" s="110">
        <f t="shared" si="41"/>
        <v>21474</v>
      </c>
    </row>
    <row r="324" spans="1:8" ht="15" customHeight="1" x14ac:dyDescent="0.3">
      <c r="A324" s="81" t="s">
        <v>111</v>
      </c>
      <c r="B324" s="4"/>
      <c r="C324" s="4"/>
      <c r="D324" s="4"/>
    </row>
    <row r="325" spans="1:8" ht="15" customHeight="1" x14ac:dyDescent="0.3">
      <c r="A325" s="85"/>
      <c r="B325" s="85"/>
      <c r="C325" s="85"/>
      <c r="D325" s="85"/>
    </row>
    <row r="326" spans="1:8" ht="15" customHeight="1" x14ac:dyDescent="0.3">
      <c r="A326" s="85"/>
      <c r="B326" s="85"/>
      <c r="C326" s="85"/>
      <c r="D326" s="85"/>
    </row>
    <row r="327" spans="1:8" ht="15" customHeight="1" x14ac:dyDescent="0.3">
      <c r="A327" s="146" t="s">
        <v>76</v>
      </c>
      <c r="B327" s="146"/>
      <c r="C327" s="146"/>
      <c r="D327" s="146"/>
      <c r="E327" s="146"/>
      <c r="F327" s="146"/>
      <c r="G327" s="146"/>
      <c r="H327" s="146"/>
    </row>
    <row r="328" spans="1:8" ht="15" customHeight="1" x14ac:dyDescent="0.3">
      <c r="A328" s="146" t="s">
        <v>85</v>
      </c>
      <c r="B328" s="146"/>
      <c r="C328" s="146"/>
      <c r="D328" s="146"/>
      <c r="E328" s="146"/>
      <c r="F328" s="146"/>
      <c r="G328" s="146"/>
      <c r="H328" s="146"/>
    </row>
    <row r="329" spans="1:8" ht="15" customHeight="1" x14ac:dyDescent="0.3">
      <c r="A329" s="91" t="s">
        <v>103</v>
      </c>
      <c r="B329" s="92"/>
      <c r="C329" s="92" t="s">
        <v>39</v>
      </c>
      <c r="D329" s="92" t="s">
        <v>40</v>
      </c>
      <c r="E329" s="92" t="s">
        <v>41</v>
      </c>
      <c r="F329" s="92" t="s">
        <v>42</v>
      </c>
      <c r="G329" s="92" t="s">
        <v>0</v>
      </c>
      <c r="H329" s="92" t="s">
        <v>1</v>
      </c>
    </row>
    <row r="330" spans="1:8" ht="15" customHeight="1" x14ac:dyDescent="0.3">
      <c r="A330" s="152" t="s">
        <v>2</v>
      </c>
      <c r="B330" s="10" t="s">
        <v>7</v>
      </c>
      <c r="C330" s="37">
        <v>0</v>
      </c>
      <c r="D330" s="37">
        <v>3</v>
      </c>
      <c r="E330" s="37">
        <v>10</v>
      </c>
      <c r="F330" s="37">
        <v>3</v>
      </c>
      <c r="G330" s="37">
        <v>4</v>
      </c>
      <c r="H330" s="38">
        <f>SUM(C330:G330)</f>
        <v>20</v>
      </c>
    </row>
    <row r="331" spans="1:8" ht="15" customHeight="1" x14ac:dyDescent="0.3">
      <c r="A331" s="152"/>
      <c r="B331" s="10" t="s">
        <v>8</v>
      </c>
      <c r="C331" s="37">
        <v>0</v>
      </c>
      <c r="D331" s="37">
        <v>173</v>
      </c>
      <c r="E331" s="37">
        <v>173</v>
      </c>
      <c r="F331" s="37">
        <v>119</v>
      </c>
      <c r="G331" s="37">
        <v>59</v>
      </c>
      <c r="H331" s="38">
        <f t="shared" ref="H331:H347" si="42">SUM(C331:G331)</f>
        <v>524</v>
      </c>
    </row>
    <row r="332" spans="1:8" ht="15" customHeight="1" x14ac:dyDescent="0.3">
      <c r="A332" s="152"/>
      <c r="B332" s="10" t="s">
        <v>9</v>
      </c>
      <c r="C332" s="37">
        <v>0</v>
      </c>
      <c r="D332" s="37">
        <v>365</v>
      </c>
      <c r="E332" s="37">
        <v>352</v>
      </c>
      <c r="F332" s="37">
        <v>217</v>
      </c>
      <c r="G332" s="37">
        <v>110</v>
      </c>
      <c r="H332" s="38">
        <f t="shared" si="42"/>
        <v>1044</v>
      </c>
    </row>
    <row r="333" spans="1:8" ht="15" customHeight="1" x14ac:dyDescent="0.3">
      <c r="A333" s="151" t="s">
        <v>3</v>
      </c>
      <c r="B333" s="12" t="s">
        <v>7</v>
      </c>
      <c r="C333" s="35">
        <v>3</v>
      </c>
      <c r="D333" s="35">
        <v>2</v>
      </c>
      <c r="E333" s="35">
        <v>20</v>
      </c>
      <c r="F333" s="35">
        <v>31</v>
      </c>
      <c r="G333" s="35">
        <v>10</v>
      </c>
      <c r="H333" s="36">
        <f t="shared" si="42"/>
        <v>66</v>
      </c>
    </row>
    <row r="334" spans="1:8" ht="15" customHeight="1" x14ac:dyDescent="0.3">
      <c r="A334" s="151"/>
      <c r="B334" s="12" t="s">
        <v>8</v>
      </c>
      <c r="C334" s="35">
        <v>376</v>
      </c>
      <c r="D334" s="35">
        <v>142</v>
      </c>
      <c r="E334" s="35">
        <v>665</v>
      </c>
      <c r="F334" s="35">
        <v>709</v>
      </c>
      <c r="G334" s="35">
        <v>144</v>
      </c>
      <c r="H334" s="36">
        <f t="shared" si="42"/>
        <v>2036</v>
      </c>
    </row>
    <row r="335" spans="1:8" ht="15" customHeight="1" x14ac:dyDescent="0.3">
      <c r="A335" s="151"/>
      <c r="B335" s="12" t="s">
        <v>9</v>
      </c>
      <c r="C335" s="35">
        <v>762</v>
      </c>
      <c r="D335" s="35">
        <v>293</v>
      </c>
      <c r="E335" s="35">
        <v>1260</v>
      </c>
      <c r="F335" s="35">
        <v>1318</v>
      </c>
      <c r="G335" s="35">
        <v>291</v>
      </c>
      <c r="H335" s="36">
        <f t="shared" si="42"/>
        <v>3924</v>
      </c>
    </row>
    <row r="336" spans="1:8" ht="15" customHeight="1" x14ac:dyDescent="0.3">
      <c r="A336" s="152" t="s">
        <v>10</v>
      </c>
      <c r="B336" s="10" t="s">
        <v>7</v>
      </c>
      <c r="C336" s="37">
        <v>3</v>
      </c>
      <c r="D336" s="37">
        <v>10</v>
      </c>
      <c r="E336" s="37">
        <v>30</v>
      </c>
      <c r="F336" s="37">
        <v>116</v>
      </c>
      <c r="G336" s="37">
        <v>47</v>
      </c>
      <c r="H336" s="38">
        <f t="shared" si="42"/>
        <v>206</v>
      </c>
    </row>
    <row r="337" spans="1:8" ht="15" customHeight="1" x14ac:dyDescent="0.3">
      <c r="A337" s="152"/>
      <c r="B337" s="10" t="s">
        <v>8</v>
      </c>
      <c r="C337" s="37">
        <v>272</v>
      </c>
      <c r="D337" s="37">
        <v>862</v>
      </c>
      <c r="E337" s="37">
        <v>951</v>
      </c>
      <c r="F337" s="37">
        <v>2350</v>
      </c>
      <c r="G337" s="37">
        <v>710</v>
      </c>
      <c r="H337" s="38">
        <f t="shared" si="42"/>
        <v>5145</v>
      </c>
    </row>
    <row r="338" spans="1:8" ht="15" customHeight="1" x14ac:dyDescent="0.3">
      <c r="A338" s="152"/>
      <c r="B338" s="10" t="s">
        <v>9</v>
      </c>
      <c r="C338" s="37">
        <v>561</v>
      </c>
      <c r="D338" s="37">
        <v>1791</v>
      </c>
      <c r="E338" s="37">
        <v>1869</v>
      </c>
      <c r="F338" s="37">
        <v>4690</v>
      </c>
      <c r="G338" s="37">
        <v>1358</v>
      </c>
      <c r="H338" s="38">
        <f t="shared" si="42"/>
        <v>10269</v>
      </c>
    </row>
    <row r="339" spans="1:8" ht="15" customHeight="1" x14ac:dyDescent="0.3">
      <c r="A339" s="151" t="s">
        <v>4</v>
      </c>
      <c r="B339" s="12" t="s">
        <v>7</v>
      </c>
      <c r="C339" s="86">
        <v>2</v>
      </c>
      <c r="D339" s="86">
        <v>4</v>
      </c>
      <c r="E339" s="86">
        <v>9</v>
      </c>
      <c r="F339" s="86">
        <v>25</v>
      </c>
      <c r="G339" s="86">
        <v>10</v>
      </c>
      <c r="H339" s="87">
        <f t="shared" si="42"/>
        <v>50</v>
      </c>
    </row>
    <row r="340" spans="1:8" ht="15" customHeight="1" x14ac:dyDescent="0.3">
      <c r="A340" s="151"/>
      <c r="B340" s="12" t="s">
        <v>8</v>
      </c>
      <c r="C340" s="86">
        <v>179</v>
      </c>
      <c r="D340" s="86">
        <v>309</v>
      </c>
      <c r="E340" s="86">
        <v>415</v>
      </c>
      <c r="F340" s="86">
        <v>568</v>
      </c>
      <c r="G340" s="86">
        <v>154</v>
      </c>
      <c r="H340" s="87">
        <f t="shared" si="42"/>
        <v>1625</v>
      </c>
    </row>
    <row r="341" spans="1:8" ht="15" customHeight="1" x14ac:dyDescent="0.3">
      <c r="A341" s="151"/>
      <c r="B341" s="12" t="s">
        <v>9</v>
      </c>
      <c r="C341" s="86">
        <v>359</v>
      </c>
      <c r="D341" s="86">
        <v>535</v>
      </c>
      <c r="E341" s="86">
        <v>786</v>
      </c>
      <c r="F341" s="86">
        <v>1086</v>
      </c>
      <c r="G341" s="86">
        <v>325</v>
      </c>
      <c r="H341" s="87">
        <f t="shared" si="42"/>
        <v>3091</v>
      </c>
    </row>
    <row r="342" spans="1:8" ht="15" customHeight="1" x14ac:dyDescent="0.3">
      <c r="A342" s="152" t="s">
        <v>5</v>
      </c>
      <c r="B342" s="10" t="s">
        <v>7</v>
      </c>
      <c r="C342" s="37">
        <v>2</v>
      </c>
      <c r="D342" s="37">
        <v>2</v>
      </c>
      <c r="E342" s="37">
        <v>9</v>
      </c>
      <c r="F342" s="37">
        <v>4</v>
      </c>
      <c r="G342" s="37">
        <v>2</v>
      </c>
      <c r="H342" s="38">
        <f t="shared" si="42"/>
        <v>19</v>
      </c>
    </row>
    <row r="343" spans="1:8" ht="15" customHeight="1" x14ac:dyDescent="0.3">
      <c r="A343" s="152"/>
      <c r="B343" s="10" t="s">
        <v>8</v>
      </c>
      <c r="C343" s="37">
        <v>127</v>
      </c>
      <c r="D343" s="37">
        <v>62</v>
      </c>
      <c r="E343" s="37">
        <v>326</v>
      </c>
      <c r="F343" s="37">
        <v>170</v>
      </c>
      <c r="G343" s="37">
        <v>34</v>
      </c>
      <c r="H343" s="38">
        <f t="shared" si="42"/>
        <v>719</v>
      </c>
    </row>
    <row r="344" spans="1:8" ht="15" customHeight="1" x14ac:dyDescent="0.3">
      <c r="A344" s="152"/>
      <c r="B344" s="10" t="s">
        <v>9</v>
      </c>
      <c r="C344" s="37">
        <v>244</v>
      </c>
      <c r="D344" s="37">
        <v>125</v>
      </c>
      <c r="E344" s="37">
        <v>660</v>
      </c>
      <c r="F344" s="37">
        <v>332</v>
      </c>
      <c r="G344" s="37">
        <v>66</v>
      </c>
      <c r="H344" s="38">
        <f t="shared" si="42"/>
        <v>1427</v>
      </c>
    </row>
    <row r="345" spans="1:8" ht="15" customHeight="1" x14ac:dyDescent="0.3">
      <c r="A345" s="151" t="s">
        <v>6</v>
      </c>
      <c r="B345" s="12" t="s">
        <v>7</v>
      </c>
      <c r="C345" s="35">
        <v>0</v>
      </c>
      <c r="D345" s="35">
        <v>6</v>
      </c>
      <c r="E345" s="35">
        <v>12</v>
      </c>
      <c r="F345" s="35">
        <v>3</v>
      </c>
      <c r="G345" s="35">
        <v>1</v>
      </c>
      <c r="H345" s="36">
        <f t="shared" si="42"/>
        <v>22</v>
      </c>
    </row>
    <row r="346" spans="1:8" ht="15" customHeight="1" x14ac:dyDescent="0.3">
      <c r="A346" s="151"/>
      <c r="B346" s="12" t="s">
        <v>8</v>
      </c>
      <c r="C346" s="35">
        <v>0</v>
      </c>
      <c r="D346" s="35">
        <v>317</v>
      </c>
      <c r="E346" s="35">
        <v>391</v>
      </c>
      <c r="F346" s="35">
        <v>112</v>
      </c>
      <c r="G346" s="35">
        <v>11</v>
      </c>
      <c r="H346" s="36">
        <f t="shared" si="42"/>
        <v>831</v>
      </c>
    </row>
    <row r="347" spans="1:8" ht="15" customHeight="1" x14ac:dyDescent="0.3">
      <c r="A347" s="151"/>
      <c r="B347" s="12" t="s">
        <v>9</v>
      </c>
      <c r="C347" s="35">
        <v>0</v>
      </c>
      <c r="D347" s="35">
        <v>645</v>
      </c>
      <c r="E347" s="35">
        <v>744</v>
      </c>
      <c r="F347" s="35">
        <v>194</v>
      </c>
      <c r="G347" s="35">
        <v>22</v>
      </c>
      <c r="H347" s="36">
        <f t="shared" si="42"/>
        <v>1605</v>
      </c>
    </row>
    <row r="348" spans="1:8" ht="15" customHeight="1" x14ac:dyDescent="0.3">
      <c r="A348" s="150" t="s">
        <v>1</v>
      </c>
      <c r="B348" s="109" t="s">
        <v>7</v>
      </c>
      <c r="C348" s="110">
        <f>C330+C333+C336+C339+C342+C345</f>
        <v>10</v>
      </c>
      <c r="D348" s="110">
        <f t="shared" ref="D348:H348" si="43">D330+D333+D336+D339+D342+D345</f>
        <v>27</v>
      </c>
      <c r="E348" s="110">
        <f t="shared" si="43"/>
        <v>90</v>
      </c>
      <c r="F348" s="110">
        <f t="shared" si="43"/>
        <v>182</v>
      </c>
      <c r="G348" s="110">
        <f t="shared" si="43"/>
        <v>74</v>
      </c>
      <c r="H348" s="110">
        <f t="shared" si="43"/>
        <v>383</v>
      </c>
    </row>
    <row r="349" spans="1:8" ht="15" customHeight="1" x14ac:dyDescent="0.3">
      <c r="A349" s="150"/>
      <c r="B349" s="109" t="s">
        <v>8</v>
      </c>
      <c r="C349" s="110">
        <f>C331+C334+C337+C340+C343+C346</f>
        <v>954</v>
      </c>
      <c r="D349" s="110">
        <f t="shared" ref="D349:H349" si="44">D331+D334+D337+D340+D343+D346</f>
        <v>1865</v>
      </c>
      <c r="E349" s="110">
        <f t="shared" si="44"/>
        <v>2921</v>
      </c>
      <c r="F349" s="110">
        <f t="shared" si="44"/>
        <v>4028</v>
      </c>
      <c r="G349" s="110">
        <f t="shared" si="44"/>
        <v>1112</v>
      </c>
      <c r="H349" s="110">
        <f t="shared" si="44"/>
        <v>10880</v>
      </c>
    </row>
    <row r="350" spans="1:8" ht="15" customHeight="1" x14ac:dyDescent="0.3">
      <c r="A350" s="150"/>
      <c r="B350" s="109" t="s">
        <v>9</v>
      </c>
      <c r="C350" s="110">
        <f>C332+C335+C338+C341+C344+C347</f>
        <v>1926</v>
      </c>
      <c r="D350" s="110">
        <f t="shared" ref="D350:H350" si="45">D332+D335+D338+D341+D344+D347</f>
        <v>3754</v>
      </c>
      <c r="E350" s="110">
        <f t="shared" si="45"/>
        <v>5671</v>
      </c>
      <c r="F350" s="110">
        <f t="shared" si="45"/>
        <v>7837</v>
      </c>
      <c r="G350" s="110">
        <f t="shared" si="45"/>
        <v>2172</v>
      </c>
      <c r="H350" s="110">
        <f t="shared" si="45"/>
        <v>21360</v>
      </c>
    </row>
    <row r="351" spans="1:8" ht="15" customHeight="1" x14ac:dyDescent="0.3">
      <c r="A351" s="81" t="s">
        <v>111</v>
      </c>
      <c r="B351" s="4"/>
      <c r="C351" s="4"/>
      <c r="D351" s="4"/>
    </row>
    <row r="354" spans="1:8" ht="15" customHeight="1" x14ac:dyDescent="0.3">
      <c r="A354" s="146" t="s">
        <v>76</v>
      </c>
      <c r="B354" s="146"/>
      <c r="C354" s="146"/>
      <c r="D354" s="146"/>
      <c r="E354" s="146"/>
      <c r="F354" s="146"/>
      <c r="G354" s="146"/>
      <c r="H354" s="146"/>
    </row>
    <row r="355" spans="1:8" ht="15" customHeight="1" x14ac:dyDescent="0.3">
      <c r="A355" s="146" t="s">
        <v>84</v>
      </c>
      <c r="B355" s="146"/>
      <c r="C355" s="146"/>
      <c r="D355" s="146"/>
      <c r="E355" s="146"/>
      <c r="F355" s="146"/>
      <c r="G355" s="146"/>
      <c r="H355" s="146"/>
    </row>
    <row r="356" spans="1:8" ht="15" customHeight="1" x14ac:dyDescent="0.3">
      <c r="A356" s="91" t="s">
        <v>103</v>
      </c>
      <c r="B356" s="92"/>
      <c r="C356" s="92" t="s">
        <v>39</v>
      </c>
      <c r="D356" s="92" t="s">
        <v>40</v>
      </c>
      <c r="E356" s="92" t="s">
        <v>41</v>
      </c>
      <c r="F356" s="92" t="s">
        <v>42</v>
      </c>
      <c r="G356" s="92" t="s">
        <v>0</v>
      </c>
      <c r="H356" s="92" t="s">
        <v>1</v>
      </c>
    </row>
    <row r="357" spans="1:8" ht="15" customHeight="1" x14ac:dyDescent="0.3">
      <c r="A357" s="152" t="s">
        <v>2</v>
      </c>
      <c r="B357" s="10" t="s">
        <v>7</v>
      </c>
      <c r="C357" s="37">
        <v>0</v>
      </c>
      <c r="D357" s="37">
        <v>3</v>
      </c>
      <c r="E357" s="37">
        <v>10</v>
      </c>
      <c r="F357" s="37">
        <v>4</v>
      </c>
      <c r="G357" s="37">
        <v>4</v>
      </c>
      <c r="H357" s="38">
        <f>SUM(C357:G357)</f>
        <v>21</v>
      </c>
    </row>
    <row r="358" spans="1:8" ht="15" customHeight="1" x14ac:dyDescent="0.3">
      <c r="A358" s="152"/>
      <c r="B358" s="10" t="s">
        <v>8</v>
      </c>
      <c r="C358" s="37">
        <v>0</v>
      </c>
      <c r="D358" s="37">
        <v>173</v>
      </c>
      <c r="E358" s="37">
        <v>173</v>
      </c>
      <c r="F358" s="37">
        <v>133</v>
      </c>
      <c r="G358" s="37">
        <v>59</v>
      </c>
      <c r="H358" s="38">
        <f t="shared" ref="H358:H371" si="46">SUM(C358:G358)</f>
        <v>538</v>
      </c>
    </row>
    <row r="359" spans="1:8" ht="15" customHeight="1" x14ac:dyDescent="0.3">
      <c r="A359" s="152"/>
      <c r="B359" s="10" t="s">
        <v>9</v>
      </c>
      <c r="C359" s="37">
        <v>0</v>
      </c>
      <c r="D359" s="37">
        <v>365</v>
      </c>
      <c r="E359" s="37">
        <v>352</v>
      </c>
      <c r="F359" s="37">
        <v>247</v>
      </c>
      <c r="G359" s="37">
        <v>110</v>
      </c>
      <c r="H359" s="38">
        <f t="shared" si="46"/>
        <v>1074</v>
      </c>
    </row>
    <row r="360" spans="1:8" ht="15" customHeight="1" x14ac:dyDescent="0.3">
      <c r="A360" s="151" t="s">
        <v>3</v>
      </c>
      <c r="B360" s="12" t="s">
        <v>7</v>
      </c>
      <c r="C360" s="35">
        <v>3</v>
      </c>
      <c r="D360" s="35">
        <v>2</v>
      </c>
      <c r="E360" s="35">
        <v>19</v>
      </c>
      <c r="F360" s="35">
        <v>30</v>
      </c>
      <c r="G360" s="35">
        <v>13</v>
      </c>
      <c r="H360" s="36">
        <f t="shared" si="46"/>
        <v>67</v>
      </c>
    </row>
    <row r="361" spans="1:8" ht="15" customHeight="1" x14ac:dyDescent="0.3">
      <c r="A361" s="151"/>
      <c r="B361" s="12" t="s">
        <v>8</v>
      </c>
      <c r="C361" s="35">
        <v>376</v>
      </c>
      <c r="D361" s="35">
        <v>142</v>
      </c>
      <c r="E361" s="35">
        <v>647</v>
      </c>
      <c r="F361" s="35">
        <v>699</v>
      </c>
      <c r="G361" s="35">
        <v>235</v>
      </c>
      <c r="H361" s="36">
        <f t="shared" si="46"/>
        <v>2099</v>
      </c>
    </row>
    <row r="362" spans="1:8" ht="15" customHeight="1" x14ac:dyDescent="0.3">
      <c r="A362" s="151"/>
      <c r="B362" s="12" t="s">
        <v>9</v>
      </c>
      <c r="C362" s="35">
        <v>762</v>
      </c>
      <c r="D362" s="35">
        <v>293</v>
      </c>
      <c r="E362" s="35">
        <v>1230</v>
      </c>
      <c r="F362" s="35">
        <v>1295</v>
      </c>
      <c r="G362" s="35">
        <v>449</v>
      </c>
      <c r="H362" s="36">
        <f t="shared" si="46"/>
        <v>4029</v>
      </c>
    </row>
    <row r="363" spans="1:8" ht="15" customHeight="1" x14ac:dyDescent="0.3">
      <c r="A363" s="153" t="s">
        <v>12</v>
      </c>
      <c r="B363" s="10" t="s">
        <v>7</v>
      </c>
      <c r="C363" s="37">
        <v>5</v>
      </c>
      <c r="D363" s="37">
        <v>14</v>
      </c>
      <c r="E363" s="37">
        <v>39</v>
      </c>
      <c r="F363" s="37">
        <v>140</v>
      </c>
      <c r="G363" s="37">
        <v>58</v>
      </c>
      <c r="H363" s="38">
        <f t="shared" si="46"/>
        <v>256</v>
      </c>
    </row>
    <row r="364" spans="1:8" ht="15" customHeight="1" x14ac:dyDescent="0.3">
      <c r="A364" s="153"/>
      <c r="B364" s="10" t="s">
        <v>8</v>
      </c>
      <c r="C364" s="37">
        <v>441</v>
      </c>
      <c r="D364" s="37">
        <v>1151</v>
      </c>
      <c r="E364" s="37">
        <v>1366</v>
      </c>
      <c r="F364" s="37">
        <v>2901</v>
      </c>
      <c r="G364" s="37">
        <v>883</v>
      </c>
      <c r="H364" s="38">
        <f t="shared" si="46"/>
        <v>6742</v>
      </c>
    </row>
    <row r="365" spans="1:8" ht="15" customHeight="1" x14ac:dyDescent="0.3">
      <c r="A365" s="153"/>
      <c r="B365" s="10" t="s">
        <v>9</v>
      </c>
      <c r="C365" s="37">
        <v>933</v>
      </c>
      <c r="D365" s="37">
        <v>2412</v>
      </c>
      <c r="E365" s="37">
        <v>2655</v>
      </c>
      <c r="F365" s="37">
        <v>5748</v>
      </c>
      <c r="G365" s="37">
        <v>1732</v>
      </c>
      <c r="H365" s="38">
        <f t="shared" si="46"/>
        <v>13480</v>
      </c>
    </row>
    <row r="366" spans="1:8" ht="15" customHeight="1" x14ac:dyDescent="0.3">
      <c r="A366" s="151" t="s">
        <v>5</v>
      </c>
      <c r="B366" s="12" t="s">
        <v>7</v>
      </c>
      <c r="C366" s="86">
        <v>2</v>
      </c>
      <c r="D366" s="86">
        <v>2</v>
      </c>
      <c r="E366" s="86">
        <v>9</v>
      </c>
      <c r="F366" s="86">
        <v>4</v>
      </c>
      <c r="G366" s="86">
        <v>2</v>
      </c>
      <c r="H366" s="87">
        <f t="shared" si="46"/>
        <v>19</v>
      </c>
    </row>
    <row r="367" spans="1:8" ht="15" customHeight="1" x14ac:dyDescent="0.3">
      <c r="A367" s="151"/>
      <c r="B367" s="12" t="s">
        <v>8</v>
      </c>
      <c r="C367" s="86">
        <v>124</v>
      </c>
      <c r="D367" s="86">
        <v>62</v>
      </c>
      <c r="E367" s="86">
        <v>326</v>
      </c>
      <c r="F367" s="86">
        <v>170</v>
      </c>
      <c r="G367" s="86">
        <v>34</v>
      </c>
      <c r="H367" s="87">
        <f t="shared" si="46"/>
        <v>716</v>
      </c>
    </row>
    <row r="368" spans="1:8" ht="15" customHeight="1" x14ac:dyDescent="0.3">
      <c r="A368" s="151"/>
      <c r="B368" s="12" t="s">
        <v>9</v>
      </c>
      <c r="C368" s="86">
        <v>244</v>
      </c>
      <c r="D368" s="86">
        <v>125</v>
      </c>
      <c r="E368" s="86">
        <v>660</v>
      </c>
      <c r="F368" s="86">
        <v>331</v>
      </c>
      <c r="G368" s="86">
        <v>66</v>
      </c>
      <c r="H368" s="87">
        <f t="shared" si="46"/>
        <v>1426</v>
      </c>
    </row>
    <row r="369" spans="1:8" ht="15" customHeight="1" x14ac:dyDescent="0.3">
      <c r="A369" s="152" t="s">
        <v>6</v>
      </c>
      <c r="B369" s="10" t="s">
        <v>7</v>
      </c>
      <c r="C369" s="37">
        <v>0</v>
      </c>
      <c r="D369" s="37">
        <v>6</v>
      </c>
      <c r="E369" s="37">
        <v>12</v>
      </c>
      <c r="F369" s="37">
        <v>3</v>
      </c>
      <c r="G369" s="37">
        <v>1</v>
      </c>
      <c r="H369" s="38">
        <f t="shared" si="46"/>
        <v>22</v>
      </c>
    </row>
    <row r="370" spans="1:8" ht="15" customHeight="1" x14ac:dyDescent="0.3">
      <c r="A370" s="152"/>
      <c r="B370" s="10" t="s">
        <v>8</v>
      </c>
      <c r="C370" s="37">
        <v>0</v>
      </c>
      <c r="D370" s="37">
        <v>317</v>
      </c>
      <c r="E370" s="37">
        <v>390</v>
      </c>
      <c r="F370" s="37">
        <v>114</v>
      </c>
      <c r="G370" s="37">
        <v>11</v>
      </c>
      <c r="H370" s="38">
        <f t="shared" si="46"/>
        <v>832</v>
      </c>
    </row>
    <row r="371" spans="1:8" ht="15" customHeight="1" x14ac:dyDescent="0.3">
      <c r="A371" s="152"/>
      <c r="B371" s="10" t="s">
        <v>9</v>
      </c>
      <c r="C371" s="37">
        <v>0</v>
      </c>
      <c r="D371" s="37">
        <v>645</v>
      </c>
      <c r="E371" s="37">
        <v>744</v>
      </c>
      <c r="F371" s="37">
        <v>196</v>
      </c>
      <c r="G371" s="37">
        <v>22</v>
      </c>
      <c r="H371" s="38">
        <f t="shared" si="46"/>
        <v>1607</v>
      </c>
    </row>
    <row r="372" spans="1:8" ht="15" customHeight="1" x14ac:dyDescent="0.3">
      <c r="A372" s="150" t="s">
        <v>1</v>
      </c>
      <c r="B372" s="109" t="s">
        <v>7</v>
      </c>
      <c r="C372" s="110">
        <f>C357+C360+C363+C366+C369</f>
        <v>10</v>
      </c>
      <c r="D372" s="110">
        <f t="shared" ref="D372:H372" si="47">D357+D360+D363+D366+D369</f>
        <v>27</v>
      </c>
      <c r="E372" s="110">
        <f t="shared" si="47"/>
        <v>89</v>
      </c>
      <c r="F372" s="110">
        <f t="shared" si="47"/>
        <v>181</v>
      </c>
      <c r="G372" s="110">
        <f t="shared" si="47"/>
        <v>78</v>
      </c>
      <c r="H372" s="110">
        <f t="shared" si="47"/>
        <v>385</v>
      </c>
    </row>
    <row r="373" spans="1:8" ht="15" customHeight="1" x14ac:dyDescent="0.3">
      <c r="A373" s="150"/>
      <c r="B373" s="109" t="s">
        <v>8</v>
      </c>
      <c r="C373" s="110">
        <f>C358+C361+C364+C367+C370</f>
        <v>941</v>
      </c>
      <c r="D373" s="110">
        <f t="shared" ref="D373:H373" si="48">D358+D361+D364+D367+D370</f>
        <v>1845</v>
      </c>
      <c r="E373" s="110">
        <f t="shared" si="48"/>
        <v>2902</v>
      </c>
      <c r="F373" s="110">
        <f t="shared" si="48"/>
        <v>4017</v>
      </c>
      <c r="G373" s="110">
        <f t="shared" si="48"/>
        <v>1222</v>
      </c>
      <c r="H373" s="110">
        <f t="shared" si="48"/>
        <v>10927</v>
      </c>
    </row>
    <row r="374" spans="1:8" ht="15" customHeight="1" x14ac:dyDescent="0.3">
      <c r="A374" s="150"/>
      <c r="B374" s="109" t="s">
        <v>9</v>
      </c>
      <c r="C374" s="110">
        <f>C359+C362+C365+C368+C371</f>
        <v>1939</v>
      </c>
      <c r="D374" s="110">
        <f t="shared" ref="D374:H374" si="49">D359+D362+D365+D368+D371</f>
        <v>3840</v>
      </c>
      <c r="E374" s="110">
        <f t="shared" si="49"/>
        <v>5641</v>
      </c>
      <c r="F374" s="110">
        <f t="shared" si="49"/>
        <v>7817</v>
      </c>
      <c r="G374" s="110">
        <f t="shared" si="49"/>
        <v>2379</v>
      </c>
      <c r="H374" s="110">
        <f t="shared" si="49"/>
        <v>21616</v>
      </c>
    </row>
    <row r="375" spans="1:8" ht="15" customHeight="1" x14ac:dyDescent="0.3">
      <c r="A375" s="81" t="s">
        <v>111</v>
      </c>
      <c r="B375" s="4"/>
      <c r="C375" s="4"/>
      <c r="D375" s="4"/>
    </row>
    <row r="378" spans="1:8" ht="15" customHeight="1" x14ac:dyDescent="0.3">
      <c r="A378" s="146" t="s">
        <v>76</v>
      </c>
      <c r="B378" s="146"/>
      <c r="C378" s="146"/>
      <c r="D378" s="146"/>
      <c r="E378" s="146"/>
      <c r="F378" s="146"/>
      <c r="G378" s="146"/>
      <c r="H378" s="146"/>
    </row>
    <row r="379" spans="1:8" ht="15" customHeight="1" x14ac:dyDescent="0.3">
      <c r="A379" s="146" t="s">
        <v>83</v>
      </c>
      <c r="B379" s="146"/>
      <c r="C379" s="146"/>
      <c r="D379" s="146"/>
      <c r="E379" s="146"/>
      <c r="F379" s="146"/>
      <c r="G379" s="146"/>
      <c r="H379" s="146"/>
    </row>
    <row r="380" spans="1:8" ht="15" customHeight="1" x14ac:dyDescent="0.3">
      <c r="A380" s="91" t="s">
        <v>103</v>
      </c>
      <c r="B380" s="92"/>
      <c r="C380" s="92" t="s">
        <v>39</v>
      </c>
      <c r="D380" s="92" t="s">
        <v>40</v>
      </c>
      <c r="E380" s="92" t="s">
        <v>41</v>
      </c>
      <c r="F380" s="92" t="s">
        <v>42</v>
      </c>
      <c r="G380" s="92" t="s">
        <v>0</v>
      </c>
      <c r="H380" s="92" t="s">
        <v>1</v>
      </c>
    </row>
    <row r="381" spans="1:8" ht="15" customHeight="1" x14ac:dyDescent="0.3">
      <c r="A381" s="152" t="s">
        <v>2</v>
      </c>
      <c r="B381" s="10" t="s">
        <v>7</v>
      </c>
      <c r="C381" s="37">
        <v>0</v>
      </c>
      <c r="D381" s="37">
        <v>3</v>
      </c>
      <c r="E381" s="37">
        <v>10</v>
      </c>
      <c r="F381" s="37">
        <v>4</v>
      </c>
      <c r="G381" s="37">
        <v>4</v>
      </c>
      <c r="H381" s="38">
        <f>SUM(C381:G381)</f>
        <v>21</v>
      </c>
    </row>
    <row r="382" spans="1:8" ht="15" customHeight="1" x14ac:dyDescent="0.3">
      <c r="A382" s="152"/>
      <c r="B382" s="10" t="s">
        <v>8</v>
      </c>
      <c r="C382" s="37">
        <v>0</v>
      </c>
      <c r="D382" s="37">
        <v>173</v>
      </c>
      <c r="E382" s="37">
        <v>173</v>
      </c>
      <c r="F382" s="37">
        <v>133</v>
      </c>
      <c r="G382" s="37">
        <v>59</v>
      </c>
      <c r="H382" s="38">
        <f t="shared" ref="H382:H395" si="50">SUM(C382:G382)</f>
        <v>538</v>
      </c>
    </row>
    <row r="383" spans="1:8" ht="15" customHeight="1" x14ac:dyDescent="0.3">
      <c r="A383" s="152"/>
      <c r="B383" s="10" t="s">
        <v>9</v>
      </c>
      <c r="C383" s="37">
        <v>0</v>
      </c>
      <c r="D383" s="37">
        <v>365</v>
      </c>
      <c r="E383" s="37">
        <v>352</v>
      </c>
      <c r="F383" s="37">
        <v>247</v>
      </c>
      <c r="G383" s="37">
        <v>110</v>
      </c>
      <c r="H383" s="38">
        <f t="shared" si="50"/>
        <v>1074</v>
      </c>
    </row>
    <row r="384" spans="1:8" ht="15" customHeight="1" x14ac:dyDescent="0.3">
      <c r="A384" s="151" t="s">
        <v>3</v>
      </c>
      <c r="B384" s="12" t="s">
        <v>7</v>
      </c>
      <c r="C384" s="35">
        <v>3</v>
      </c>
      <c r="D384" s="35">
        <v>2</v>
      </c>
      <c r="E384" s="35">
        <v>19</v>
      </c>
      <c r="F384" s="35">
        <v>31</v>
      </c>
      <c r="G384" s="35">
        <v>13</v>
      </c>
      <c r="H384" s="36">
        <f t="shared" si="50"/>
        <v>68</v>
      </c>
    </row>
    <row r="385" spans="1:8" ht="15" customHeight="1" x14ac:dyDescent="0.3">
      <c r="A385" s="151"/>
      <c r="B385" s="12" t="s">
        <v>8</v>
      </c>
      <c r="C385" s="35">
        <v>376</v>
      </c>
      <c r="D385" s="35">
        <v>142</v>
      </c>
      <c r="E385" s="35">
        <v>647</v>
      </c>
      <c r="F385" s="35">
        <v>707</v>
      </c>
      <c r="G385" s="35">
        <v>235</v>
      </c>
      <c r="H385" s="36">
        <f t="shared" si="50"/>
        <v>2107</v>
      </c>
    </row>
    <row r="386" spans="1:8" ht="15" customHeight="1" x14ac:dyDescent="0.3">
      <c r="A386" s="151"/>
      <c r="B386" s="12" t="s">
        <v>9</v>
      </c>
      <c r="C386" s="35">
        <v>762</v>
      </c>
      <c r="D386" s="35">
        <v>293</v>
      </c>
      <c r="E386" s="35">
        <v>1230</v>
      </c>
      <c r="F386" s="35">
        <v>1311</v>
      </c>
      <c r="G386" s="35">
        <v>449</v>
      </c>
      <c r="H386" s="36">
        <f t="shared" si="50"/>
        <v>4045</v>
      </c>
    </row>
    <row r="387" spans="1:8" ht="15" customHeight="1" x14ac:dyDescent="0.3">
      <c r="A387" s="153" t="s">
        <v>12</v>
      </c>
      <c r="B387" s="10" t="s">
        <v>7</v>
      </c>
      <c r="C387" s="37">
        <v>5</v>
      </c>
      <c r="D387" s="37">
        <v>12</v>
      </c>
      <c r="E387" s="37">
        <v>40</v>
      </c>
      <c r="F387" s="37">
        <v>141</v>
      </c>
      <c r="G387" s="37">
        <v>58</v>
      </c>
      <c r="H387" s="38">
        <f t="shared" si="50"/>
        <v>256</v>
      </c>
    </row>
    <row r="388" spans="1:8" ht="15" customHeight="1" x14ac:dyDescent="0.3">
      <c r="A388" s="153"/>
      <c r="B388" s="10" t="s">
        <v>8</v>
      </c>
      <c r="C388" s="37">
        <v>441</v>
      </c>
      <c r="D388" s="37">
        <v>957</v>
      </c>
      <c r="E388" s="37">
        <v>1515</v>
      </c>
      <c r="F388" s="37">
        <v>2904</v>
      </c>
      <c r="G388" s="37">
        <v>883</v>
      </c>
      <c r="H388" s="38">
        <f t="shared" si="50"/>
        <v>6700</v>
      </c>
    </row>
    <row r="389" spans="1:8" ht="15" customHeight="1" x14ac:dyDescent="0.3">
      <c r="A389" s="153"/>
      <c r="B389" s="10" t="s">
        <v>9</v>
      </c>
      <c r="C389" s="37">
        <v>933</v>
      </c>
      <c r="D389" s="37">
        <v>2108</v>
      </c>
      <c r="E389" s="37">
        <v>2938</v>
      </c>
      <c r="F389" s="37">
        <v>5753</v>
      </c>
      <c r="G389" s="37">
        <v>1732</v>
      </c>
      <c r="H389" s="38">
        <f t="shared" si="50"/>
        <v>13464</v>
      </c>
    </row>
    <row r="390" spans="1:8" ht="15" customHeight="1" x14ac:dyDescent="0.3">
      <c r="A390" s="151" t="s">
        <v>5</v>
      </c>
      <c r="B390" s="12" t="s">
        <v>7</v>
      </c>
      <c r="C390" s="35">
        <v>2</v>
      </c>
      <c r="D390" s="35">
        <v>2</v>
      </c>
      <c r="E390" s="35">
        <v>9</v>
      </c>
      <c r="F390" s="35">
        <v>4</v>
      </c>
      <c r="G390" s="35">
        <v>2</v>
      </c>
      <c r="H390" s="36">
        <f t="shared" si="50"/>
        <v>19</v>
      </c>
    </row>
    <row r="391" spans="1:8" ht="15" customHeight="1" x14ac:dyDescent="0.3">
      <c r="A391" s="151"/>
      <c r="B391" s="12" t="s">
        <v>8</v>
      </c>
      <c r="C391" s="35">
        <v>124</v>
      </c>
      <c r="D391" s="35">
        <v>62</v>
      </c>
      <c r="E391" s="35">
        <v>326</v>
      </c>
      <c r="F391" s="35">
        <v>170</v>
      </c>
      <c r="G391" s="35">
        <v>34</v>
      </c>
      <c r="H391" s="36">
        <f t="shared" si="50"/>
        <v>716</v>
      </c>
    </row>
    <row r="392" spans="1:8" ht="15" customHeight="1" x14ac:dyDescent="0.3">
      <c r="A392" s="151"/>
      <c r="B392" s="12" t="s">
        <v>9</v>
      </c>
      <c r="C392" s="35">
        <v>244</v>
      </c>
      <c r="D392" s="35">
        <v>125</v>
      </c>
      <c r="E392" s="35">
        <v>660</v>
      </c>
      <c r="F392" s="35">
        <v>331</v>
      </c>
      <c r="G392" s="35">
        <v>66</v>
      </c>
      <c r="H392" s="36">
        <f t="shared" si="50"/>
        <v>1426</v>
      </c>
    </row>
    <row r="393" spans="1:8" ht="15" customHeight="1" x14ac:dyDescent="0.3">
      <c r="A393" s="152" t="s">
        <v>6</v>
      </c>
      <c r="B393" s="10" t="s">
        <v>7</v>
      </c>
      <c r="C393" s="37">
        <v>0</v>
      </c>
      <c r="D393" s="37">
        <v>6</v>
      </c>
      <c r="E393" s="37">
        <v>12</v>
      </c>
      <c r="F393" s="37">
        <v>3</v>
      </c>
      <c r="G393" s="37">
        <v>1</v>
      </c>
      <c r="H393" s="38">
        <f t="shared" si="50"/>
        <v>22</v>
      </c>
    </row>
    <row r="394" spans="1:8" ht="15" customHeight="1" x14ac:dyDescent="0.3">
      <c r="A394" s="152"/>
      <c r="B394" s="10" t="s">
        <v>8</v>
      </c>
      <c r="C394" s="37">
        <v>0</v>
      </c>
      <c r="D394" s="37">
        <v>317</v>
      </c>
      <c r="E394" s="37">
        <v>390</v>
      </c>
      <c r="F394" s="37">
        <v>114</v>
      </c>
      <c r="G394" s="37">
        <v>11</v>
      </c>
      <c r="H394" s="38">
        <f t="shared" si="50"/>
        <v>832</v>
      </c>
    </row>
    <row r="395" spans="1:8" ht="15" customHeight="1" x14ac:dyDescent="0.3">
      <c r="A395" s="152"/>
      <c r="B395" s="10" t="s">
        <v>9</v>
      </c>
      <c r="C395" s="37">
        <v>0</v>
      </c>
      <c r="D395" s="37">
        <v>645</v>
      </c>
      <c r="E395" s="37">
        <v>744</v>
      </c>
      <c r="F395" s="37">
        <v>196</v>
      </c>
      <c r="G395" s="37">
        <v>22</v>
      </c>
      <c r="H395" s="38">
        <f t="shared" si="50"/>
        <v>1607</v>
      </c>
    </row>
    <row r="396" spans="1:8" ht="15" customHeight="1" x14ac:dyDescent="0.3">
      <c r="A396" s="150" t="s">
        <v>1</v>
      </c>
      <c r="B396" s="109" t="s">
        <v>7</v>
      </c>
      <c r="C396" s="110">
        <f>C381+C384+C387+C390+C393</f>
        <v>10</v>
      </c>
      <c r="D396" s="110">
        <f t="shared" ref="D396:H396" si="51">D381+D384+D387+D390+D393</f>
        <v>25</v>
      </c>
      <c r="E396" s="110">
        <f t="shared" si="51"/>
        <v>90</v>
      </c>
      <c r="F396" s="110">
        <f t="shared" si="51"/>
        <v>183</v>
      </c>
      <c r="G396" s="110">
        <f t="shared" si="51"/>
        <v>78</v>
      </c>
      <c r="H396" s="110">
        <f t="shared" si="51"/>
        <v>386</v>
      </c>
    </row>
    <row r="397" spans="1:8" ht="15" customHeight="1" x14ac:dyDescent="0.3">
      <c r="A397" s="150"/>
      <c r="B397" s="109" t="s">
        <v>8</v>
      </c>
      <c r="C397" s="110">
        <f t="shared" ref="C397:H397" si="52">C382+C385+C388+C391+C394</f>
        <v>941</v>
      </c>
      <c r="D397" s="110">
        <f t="shared" si="52"/>
        <v>1651</v>
      </c>
      <c r="E397" s="110">
        <f t="shared" si="52"/>
        <v>3051</v>
      </c>
      <c r="F397" s="110">
        <f t="shared" si="52"/>
        <v>4028</v>
      </c>
      <c r="G397" s="110">
        <f t="shared" si="52"/>
        <v>1222</v>
      </c>
      <c r="H397" s="110">
        <f t="shared" si="52"/>
        <v>10893</v>
      </c>
    </row>
    <row r="398" spans="1:8" ht="15" customHeight="1" x14ac:dyDescent="0.3">
      <c r="A398" s="150"/>
      <c r="B398" s="109" t="s">
        <v>9</v>
      </c>
      <c r="C398" s="110">
        <f t="shared" ref="C398:H398" si="53">C383+C386+C389+C392+C395</f>
        <v>1939</v>
      </c>
      <c r="D398" s="110">
        <f t="shared" si="53"/>
        <v>3536</v>
      </c>
      <c r="E398" s="110">
        <f t="shared" si="53"/>
        <v>5924</v>
      </c>
      <c r="F398" s="110">
        <f t="shared" si="53"/>
        <v>7838</v>
      </c>
      <c r="G398" s="110">
        <f t="shared" si="53"/>
        <v>2379</v>
      </c>
      <c r="H398" s="110">
        <f t="shared" si="53"/>
        <v>21616</v>
      </c>
    </row>
    <row r="399" spans="1:8" ht="15" customHeight="1" x14ac:dyDescent="0.3">
      <c r="A399" s="81" t="s">
        <v>111</v>
      </c>
      <c r="B399" s="4"/>
      <c r="C399" s="4"/>
      <c r="D399" s="4"/>
    </row>
    <row r="402" spans="1:8" ht="15" customHeight="1" x14ac:dyDescent="0.3">
      <c r="A402" s="146" t="s">
        <v>76</v>
      </c>
      <c r="B402" s="146"/>
      <c r="C402" s="146"/>
      <c r="D402" s="146"/>
      <c r="E402" s="146"/>
      <c r="F402" s="146"/>
      <c r="G402" s="146"/>
      <c r="H402" s="146"/>
    </row>
    <row r="403" spans="1:8" ht="15" customHeight="1" x14ac:dyDescent="0.3">
      <c r="A403" s="146" t="s">
        <v>82</v>
      </c>
      <c r="B403" s="146"/>
      <c r="C403" s="146"/>
      <c r="D403" s="146"/>
      <c r="E403" s="146"/>
      <c r="F403" s="146"/>
      <c r="G403" s="146"/>
      <c r="H403" s="146"/>
    </row>
    <row r="404" spans="1:8" ht="15" customHeight="1" x14ac:dyDescent="0.3">
      <c r="A404" s="91" t="s">
        <v>103</v>
      </c>
      <c r="B404" s="92"/>
      <c r="C404" s="92" t="s">
        <v>39</v>
      </c>
      <c r="D404" s="92" t="s">
        <v>40</v>
      </c>
      <c r="E404" s="92" t="s">
        <v>41</v>
      </c>
      <c r="F404" s="92" t="s">
        <v>42</v>
      </c>
      <c r="G404" s="92" t="s">
        <v>0</v>
      </c>
      <c r="H404" s="92" t="s">
        <v>1</v>
      </c>
    </row>
    <row r="405" spans="1:8" ht="15" customHeight="1" x14ac:dyDescent="0.3">
      <c r="A405" s="152" t="s">
        <v>2</v>
      </c>
      <c r="B405" s="10" t="s">
        <v>7</v>
      </c>
      <c r="C405" s="37">
        <v>0</v>
      </c>
      <c r="D405" s="37">
        <v>3</v>
      </c>
      <c r="E405" s="37">
        <v>10</v>
      </c>
      <c r="F405" s="37">
        <v>4</v>
      </c>
      <c r="G405" s="37">
        <v>3</v>
      </c>
      <c r="H405" s="38">
        <f>SUM(C405:G405)</f>
        <v>20</v>
      </c>
    </row>
    <row r="406" spans="1:8" ht="15" customHeight="1" x14ac:dyDescent="0.3">
      <c r="A406" s="152"/>
      <c r="B406" s="10" t="s">
        <v>8</v>
      </c>
      <c r="C406" s="37">
        <v>0</v>
      </c>
      <c r="D406" s="37">
        <v>173</v>
      </c>
      <c r="E406" s="37">
        <v>173</v>
      </c>
      <c r="F406" s="37">
        <v>133</v>
      </c>
      <c r="G406" s="37">
        <v>49</v>
      </c>
      <c r="H406" s="38">
        <f t="shared" ref="H406:H422" si="54">SUM(C406:G406)</f>
        <v>528</v>
      </c>
    </row>
    <row r="407" spans="1:8" ht="15" customHeight="1" x14ac:dyDescent="0.3">
      <c r="A407" s="152"/>
      <c r="B407" s="10" t="s">
        <v>9</v>
      </c>
      <c r="C407" s="37">
        <v>0</v>
      </c>
      <c r="D407" s="37">
        <v>365</v>
      </c>
      <c r="E407" s="37">
        <v>352</v>
      </c>
      <c r="F407" s="37">
        <v>247</v>
      </c>
      <c r="G407" s="37">
        <v>92</v>
      </c>
      <c r="H407" s="38">
        <f t="shared" si="54"/>
        <v>1056</v>
      </c>
    </row>
    <row r="408" spans="1:8" ht="15" customHeight="1" x14ac:dyDescent="0.3">
      <c r="A408" s="151" t="s">
        <v>3</v>
      </c>
      <c r="B408" s="12" t="s">
        <v>7</v>
      </c>
      <c r="C408" s="35">
        <v>2</v>
      </c>
      <c r="D408" s="35">
        <v>2</v>
      </c>
      <c r="E408" s="35">
        <v>19</v>
      </c>
      <c r="F408" s="35">
        <v>33</v>
      </c>
      <c r="G408" s="35">
        <v>13</v>
      </c>
      <c r="H408" s="36">
        <f t="shared" si="54"/>
        <v>69</v>
      </c>
    </row>
    <row r="409" spans="1:8" ht="15" customHeight="1" x14ac:dyDescent="0.3">
      <c r="A409" s="151"/>
      <c r="B409" s="12" t="s">
        <v>8</v>
      </c>
      <c r="C409" s="35">
        <v>264</v>
      </c>
      <c r="D409" s="35">
        <v>142</v>
      </c>
      <c r="E409" s="35">
        <v>647</v>
      </c>
      <c r="F409" s="35">
        <v>738</v>
      </c>
      <c r="G409" s="35">
        <v>235</v>
      </c>
      <c r="H409" s="36">
        <f t="shared" si="54"/>
        <v>2026</v>
      </c>
    </row>
    <row r="410" spans="1:8" ht="15" customHeight="1" x14ac:dyDescent="0.3">
      <c r="A410" s="151"/>
      <c r="B410" s="12" t="s">
        <v>9</v>
      </c>
      <c r="C410" s="35">
        <v>535</v>
      </c>
      <c r="D410" s="35">
        <v>293</v>
      </c>
      <c r="E410" s="35">
        <v>1230</v>
      </c>
      <c r="F410" s="35">
        <v>1372</v>
      </c>
      <c r="G410" s="35">
        <v>449</v>
      </c>
      <c r="H410" s="36">
        <f t="shared" si="54"/>
        <v>3879</v>
      </c>
    </row>
    <row r="411" spans="1:8" ht="15" customHeight="1" x14ac:dyDescent="0.3">
      <c r="A411" s="152" t="s">
        <v>10</v>
      </c>
      <c r="B411" s="10" t="s">
        <v>7</v>
      </c>
      <c r="C411" s="37">
        <v>2</v>
      </c>
      <c r="D411" s="37">
        <v>9</v>
      </c>
      <c r="E411" s="37">
        <v>30</v>
      </c>
      <c r="F411" s="37">
        <v>116</v>
      </c>
      <c r="G411" s="37">
        <v>49</v>
      </c>
      <c r="H411" s="38">
        <f t="shared" si="54"/>
        <v>206</v>
      </c>
    </row>
    <row r="412" spans="1:8" ht="15" customHeight="1" x14ac:dyDescent="0.3">
      <c r="A412" s="152"/>
      <c r="B412" s="10" t="s">
        <v>8</v>
      </c>
      <c r="C412" s="37">
        <v>184</v>
      </c>
      <c r="D412" s="37">
        <v>784</v>
      </c>
      <c r="E412" s="37">
        <v>951</v>
      </c>
      <c r="F412" s="37">
        <v>2322</v>
      </c>
      <c r="G412" s="37">
        <v>737</v>
      </c>
      <c r="H412" s="38">
        <f t="shared" si="54"/>
        <v>4978</v>
      </c>
    </row>
    <row r="413" spans="1:8" ht="15" customHeight="1" x14ac:dyDescent="0.3">
      <c r="A413" s="152"/>
      <c r="B413" s="10" t="s">
        <v>9</v>
      </c>
      <c r="C413" s="37">
        <v>398</v>
      </c>
      <c r="D413" s="37">
        <v>1718</v>
      </c>
      <c r="E413" s="37">
        <v>1869</v>
      </c>
      <c r="F413" s="37">
        <v>4636</v>
      </c>
      <c r="G413" s="37">
        <v>1420</v>
      </c>
      <c r="H413" s="38">
        <f t="shared" si="54"/>
        <v>10041</v>
      </c>
    </row>
    <row r="414" spans="1:8" ht="15" customHeight="1" x14ac:dyDescent="0.3">
      <c r="A414" s="151" t="s">
        <v>4</v>
      </c>
      <c r="B414" s="12" t="s">
        <v>7</v>
      </c>
      <c r="C414" s="35">
        <v>2</v>
      </c>
      <c r="D414" s="35">
        <v>3</v>
      </c>
      <c r="E414" s="35">
        <v>10</v>
      </c>
      <c r="F414" s="35">
        <v>25</v>
      </c>
      <c r="G414" s="35">
        <v>10</v>
      </c>
      <c r="H414" s="36">
        <f t="shared" si="54"/>
        <v>50</v>
      </c>
    </row>
    <row r="415" spans="1:8" ht="15" customHeight="1" x14ac:dyDescent="0.3">
      <c r="A415" s="151"/>
      <c r="B415" s="12" t="s">
        <v>8</v>
      </c>
      <c r="C415" s="35">
        <v>179</v>
      </c>
      <c r="D415" s="35">
        <v>160</v>
      </c>
      <c r="E415" s="35">
        <v>564</v>
      </c>
      <c r="F415" s="35">
        <v>564</v>
      </c>
      <c r="G415" s="35">
        <v>154</v>
      </c>
      <c r="H415" s="36">
        <f t="shared" si="54"/>
        <v>1621</v>
      </c>
    </row>
    <row r="416" spans="1:8" ht="15" customHeight="1" x14ac:dyDescent="0.3">
      <c r="A416" s="151"/>
      <c r="B416" s="12" t="s">
        <v>9</v>
      </c>
      <c r="C416" s="35">
        <v>359</v>
      </c>
      <c r="D416" s="35">
        <v>328</v>
      </c>
      <c r="E416" s="35">
        <v>1069</v>
      </c>
      <c r="F416" s="35">
        <v>1078</v>
      </c>
      <c r="G416" s="35">
        <v>325</v>
      </c>
      <c r="H416" s="36">
        <f t="shared" si="54"/>
        <v>3159</v>
      </c>
    </row>
    <row r="417" spans="1:8" ht="15" customHeight="1" x14ac:dyDescent="0.3">
      <c r="A417" s="152" t="s">
        <v>5</v>
      </c>
      <c r="B417" s="10" t="s">
        <v>7</v>
      </c>
      <c r="C417" s="37">
        <v>2</v>
      </c>
      <c r="D417" s="37">
        <v>2</v>
      </c>
      <c r="E417" s="37">
        <v>8</v>
      </c>
      <c r="F417" s="37">
        <v>4</v>
      </c>
      <c r="G417" s="37">
        <v>2</v>
      </c>
      <c r="H417" s="38">
        <f t="shared" si="54"/>
        <v>18</v>
      </c>
    </row>
    <row r="418" spans="1:8" ht="15" customHeight="1" x14ac:dyDescent="0.3">
      <c r="A418" s="152"/>
      <c r="B418" s="10" t="s">
        <v>8</v>
      </c>
      <c r="C418" s="37">
        <v>124</v>
      </c>
      <c r="D418" s="37">
        <v>62</v>
      </c>
      <c r="E418" s="37">
        <v>315</v>
      </c>
      <c r="F418" s="37">
        <v>170</v>
      </c>
      <c r="G418" s="37">
        <v>34</v>
      </c>
      <c r="H418" s="38">
        <f t="shared" si="54"/>
        <v>705</v>
      </c>
    </row>
    <row r="419" spans="1:8" ht="15" customHeight="1" x14ac:dyDescent="0.3">
      <c r="A419" s="152"/>
      <c r="B419" s="10" t="s">
        <v>9</v>
      </c>
      <c r="C419" s="37">
        <v>244</v>
      </c>
      <c r="D419" s="37">
        <v>125</v>
      </c>
      <c r="E419" s="37">
        <v>638</v>
      </c>
      <c r="F419" s="37">
        <v>331</v>
      </c>
      <c r="G419" s="37">
        <v>66</v>
      </c>
      <c r="H419" s="38">
        <f t="shared" si="54"/>
        <v>1404</v>
      </c>
    </row>
    <row r="420" spans="1:8" ht="15" customHeight="1" x14ac:dyDescent="0.3">
      <c r="A420" s="151" t="s">
        <v>6</v>
      </c>
      <c r="B420" s="12" t="s">
        <v>7</v>
      </c>
      <c r="C420" s="35">
        <v>0</v>
      </c>
      <c r="D420" s="35">
        <v>6</v>
      </c>
      <c r="E420" s="35">
        <v>12</v>
      </c>
      <c r="F420" s="35">
        <v>3</v>
      </c>
      <c r="G420" s="35">
        <v>1</v>
      </c>
      <c r="H420" s="36">
        <f t="shared" si="54"/>
        <v>22</v>
      </c>
    </row>
    <row r="421" spans="1:8" ht="15" customHeight="1" x14ac:dyDescent="0.3">
      <c r="A421" s="151"/>
      <c r="B421" s="12" t="s">
        <v>8</v>
      </c>
      <c r="C421" s="35">
        <v>0</v>
      </c>
      <c r="D421" s="35">
        <v>317</v>
      </c>
      <c r="E421" s="35">
        <v>390</v>
      </c>
      <c r="F421" s="35">
        <v>114</v>
      </c>
      <c r="G421" s="35">
        <v>11</v>
      </c>
      <c r="H421" s="36">
        <f t="shared" si="54"/>
        <v>832</v>
      </c>
    </row>
    <row r="422" spans="1:8" ht="15" customHeight="1" x14ac:dyDescent="0.3">
      <c r="A422" s="151"/>
      <c r="B422" s="12" t="s">
        <v>9</v>
      </c>
      <c r="C422" s="35">
        <v>0</v>
      </c>
      <c r="D422" s="35">
        <v>645</v>
      </c>
      <c r="E422" s="35">
        <v>744</v>
      </c>
      <c r="F422" s="35">
        <v>196</v>
      </c>
      <c r="G422" s="35">
        <v>22</v>
      </c>
      <c r="H422" s="36">
        <f t="shared" si="54"/>
        <v>1607</v>
      </c>
    </row>
    <row r="423" spans="1:8" ht="15" customHeight="1" x14ac:dyDescent="0.3">
      <c r="A423" s="150" t="s">
        <v>1</v>
      </c>
      <c r="B423" s="109" t="s">
        <v>7</v>
      </c>
      <c r="C423" s="110">
        <f>C405+C408+C411+C414+C417+C420</f>
        <v>8</v>
      </c>
      <c r="D423" s="110">
        <f t="shared" ref="D423:H423" si="55">D405+D408+D411+D414+D417+D420</f>
        <v>25</v>
      </c>
      <c r="E423" s="110">
        <f t="shared" si="55"/>
        <v>89</v>
      </c>
      <c r="F423" s="110">
        <f t="shared" si="55"/>
        <v>185</v>
      </c>
      <c r="G423" s="110">
        <f t="shared" si="55"/>
        <v>78</v>
      </c>
      <c r="H423" s="110">
        <f t="shared" si="55"/>
        <v>385</v>
      </c>
    </row>
    <row r="424" spans="1:8" ht="15" customHeight="1" x14ac:dyDescent="0.3">
      <c r="A424" s="150"/>
      <c r="B424" s="109" t="s">
        <v>8</v>
      </c>
      <c r="C424" s="110">
        <f t="shared" ref="C424:H424" si="56">C406+C409+C412+C415+C418+C421</f>
        <v>751</v>
      </c>
      <c r="D424" s="110">
        <f t="shared" si="56"/>
        <v>1638</v>
      </c>
      <c r="E424" s="110">
        <f t="shared" si="56"/>
        <v>3040</v>
      </c>
      <c r="F424" s="110">
        <f t="shared" si="56"/>
        <v>4041</v>
      </c>
      <c r="G424" s="110">
        <f t="shared" si="56"/>
        <v>1220</v>
      </c>
      <c r="H424" s="110">
        <f t="shared" si="56"/>
        <v>10690</v>
      </c>
    </row>
    <row r="425" spans="1:8" ht="15" customHeight="1" x14ac:dyDescent="0.3">
      <c r="A425" s="150"/>
      <c r="B425" s="109" t="s">
        <v>9</v>
      </c>
      <c r="C425" s="110">
        <f t="shared" ref="C425:H425" si="57">C407+C410+C413+C416+C419+C422</f>
        <v>1536</v>
      </c>
      <c r="D425" s="110">
        <f t="shared" si="57"/>
        <v>3474</v>
      </c>
      <c r="E425" s="110">
        <f t="shared" si="57"/>
        <v>5902</v>
      </c>
      <c r="F425" s="110">
        <f t="shared" si="57"/>
        <v>7860</v>
      </c>
      <c r="G425" s="110">
        <f t="shared" si="57"/>
        <v>2374</v>
      </c>
      <c r="H425" s="110">
        <f t="shared" si="57"/>
        <v>21146</v>
      </c>
    </row>
    <row r="426" spans="1:8" ht="15" customHeight="1" x14ac:dyDescent="0.3">
      <c r="A426" s="81" t="s">
        <v>111</v>
      </c>
      <c r="B426" s="4"/>
      <c r="C426" s="4"/>
      <c r="D426" s="4"/>
    </row>
  </sheetData>
  <mergeCells count="141">
    <mergeCell ref="A30:H30"/>
    <mergeCell ref="A31:H31"/>
    <mergeCell ref="A33:A35"/>
    <mergeCell ref="A36:A38"/>
    <mergeCell ref="A39:A41"/>
    <mergeCell ref="A42:A44"/>
    <mergeCell ref="A45:A47"/>
    <mergeCell ref="A48:A50"/>
    <mergeCell ref="A51:A53"/>
    <mergeCell ref="A57:H57"/>
    <mergeCell ref="A58:H58"/>
    <mergeCell ref="A60:A62"/>
    <mergeCell ref="A63:A65"/>
    <mergeCell ref="A66:A68"/>
    <mergeCell ref="A69:A71"/>
    <mergeCell ref="A72:A74"/>
    <mergeCell ref="A75:A77"/>
    <mergeCell ref="A78:A80"/>
    <mergeCell ref="A84:H84"/>
    <mergeCell ref="A85:H85"/>
    <mergeCell ref="A87:A89"/>
    <mergeCell ref="A90:A92"/>
    <mergeCell ref="A93:A95"/>
    <mergeCell ref="A96:A98"/>
    <mergeCell ref="A99:A101"/>
    <mergeCell ref="A102:A104"/>
    <mergeCell ref="A105:A107"/>
    <mergeCell ref="A177:A179"/>
    <mergeCell ref="A180:A182"/>
    <mergeCell ref="A183:A185"/>
    <mergeCell ref="A186:A188"/>
    <mergeCell ref="A165:H165"/>
    <mergeCell ref="A166:H166"/>
    <mergeCell ref="A168:A170"/>
    <mergeCell ref="A171:A173"/>
    <mergeCell ref="A174:A176"/>
    <mergeCell ref="A204:A206"/>
    <mergeCell ref="A207:A209"/>
    <mergeCell ref="A210:A212"/>
    <mergeCell ref="A213:A215"/>
    <mergeCell ref="A192:H192"/>
    <mergeCell ref="A193:H193"/>
    <mergeCell ref="A195:A197"/>
    <mergeCell ref="A198:A200"/>
    <mergeCell ref="A201:A203"/>
    <mergeCell ref="A246:H246"/>
    <mergeCell ref="A247:H247"/>
    <mergeCell ref="A288:A290"/>
    <mergeCell ref="A291:A293"/>
    <mergeCell ref="A294:A296"/>
    <mergeCell ref="A252:A254"/>
    <mergeCell ref="A255:A257"/>
    <mergeCell ref="A258:A260"/>
    <mergeCell ref="A261:A263"/>
    <mergeCell ref="A273:H273"/>
    <mergeCell ref="A276:A278"/>
    <mergeCell ref="A279:A281"/>
    <mergeCell ref="A282:A284"/>
    <mergeCell ref="A285:A287"/>
    <mergeCell ref="A423:A425"/>
    <mergeCell ref="A264:A266"/>
    <mergeCell ref="A249:A251"/>
    <mergeCell ref="A327:H327"/>
    <mergeCell ref="A402:H402"/>
    <mergeCell ref="A381:A383"/>
    <mergeCell ref="A384:A386"/>
    <mergeCell ref="A318:A320"/>
    <mergeCell ref="A321:A323"/>
    <mergeCell ref="A306:A308"/>
    <mergeCell ref="A309:A311"/>
    <mergeCell ref="A378:H378"/>
    <mergeCell ref="A330:A332"/>
    <mergeCell ref="A267:A269"/>
    <mergeCell ref="A315:A317"/>
    <mergeCell ref="A274:H274"/>
    <mergeCell ref="A417:A419"/>
    <mergeCell ref="A420:A422"/>
    <mergeCell ref="A300:H300"/>
    <mergeCell ref="A301:H301"/>
    <mergeCell ref="A312:A314"/>
    <mergeCell ref="A328:H328"/>
    <mergeCell ref="A342:A344"/>
    <mergeCell ref="A345:A347"/>
    <mergeCell ref="A348:A350"/>
    <mergeCell ref="A403:H403"/>
    <mergeCell ref="A390:A392"/>
    <mergeCell ref="A393:A395"/>
    <mergeCell ref="A396:A398"/>
    <mergeCell ref="A333:A335"/>
    <mergeCell ref="A336:A338"/>
    <mergeCell ref="A339:A341"/>
    <mergeCell ref="A414:A416"/>
    <mergeCell ref="A387:A389"/>
    <mergeCell ref="A405:A407"/>
    <mergeCell ref="A408:A410"/>
    <mergeCell ref="A411:A413"/>
    <mergeCell ref="A379:H379"/>
    <mergeCell ref="A354:H354"/>
    <mergeCell ref="A355:H355"/>
    <mergeCell ref="A366:A368"/>
    <mergeCell ref="A369:A371"/>
    <mergeCell ref="A372:A374"/>
    <mergeCell ref="A363:A365"/>
    <mergeCell ref="A357:A359"/>
    <mergeCell ref="A360:A362"/>
    <mergeCell ref="A231:A233"/>
    <mergeCell ref="A234:A236"/>
    <mergeCell ref="A237:A239"/>
    <mergeCell ref="A240:A242"/>
    <mergeCell ref="A222:A224"/>
    <mergeCell ref="A225:A227"/>
    <mergeCell ref="A228:A230"/>
    <mergeCell ref="A219:H219"/>
    <mergeCell ref="A220:H220"/>
    <mergeCell ref="A150:A152"/>
    <mergeCell ref="A153:A155"/>
    <mergeCell ref="A156:A158"/>
    <mergeCell ref="A159:A161"/>
    <mergeCell ref="A138:H138"/>
    <mergeCell ref="A139:H139"/>
    <mergeCell ref="A141:A143"/>
    <mergeCell ref="A144:A146"/>
    <mergeCell ref="A147:A149"/>
    <mergeCell ref="A123:A125"/>
    <mergeCell ref="A126:A128"/>
    <mergeCell ref="A129:A131"/>
    <mergeCell ref="A132:A134"/>
    <mergeCell ref="A111:H111"/>
    <mergeCell ref="A112:H112"/>
    <mergeCell ref="A114:A116"/>
    <mergeCell ref="A117:A119"/>
    <mergeCell ref="A120:A122"/>
    <mergeCell ref="A3:H3"/>
    <mergeCell ref="A4:H4"/>
    <mergeCell ref="A6:A8"/>
    <mergeCell ref="A9:A11"/>
    <mergeCell ref="A12:A14"/>
    <mergeCell ref="A15:A17"/>
    <mergeCell ref="A18:A20"/>
    <mergeCell ref="A21:A23"/>
    <mergeCell ref="A24:A26"/>
  </mergeCells>
  <pageMargins left="0.70866141732283472" right="0.70866141732283472" top="0.74803149606299213" bottom="0.74803149606299213" header="0.31496062992125984" footer="0.31496062992125984"/>
  <pageSetup paperSize="9" fitToWidth="0" orientation="landscape" r:id="rId1"/>
  <headerFooter>
    <oddHeader>&amp;R&amp;G</oddHeader>
    <oddFooter>&amp;L&amp;F&amp;C&amp;P / &amp;N&amp;R&amp;A</oddFooter>
  </headerFooter>
  <rowBreaks count="9" manualBreakCount="9">
    <brk id="189" max="16383" man="1"/>
    <brk id="216" max="16383" man="1"/>
    <brk id="243" max="16383" man="1"/>
    <brk id="270" max="16383" man="1"/>
    <brk id="297" max="16383" man="1"/>
    <brk id="324" max="16383" man="1"/>
    <brk id="351" max="16383" man="1"/>
    <brk id="375" max="16383" man="1"/>
    <brk id="399"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9EB8-AFBF-49BF-A460-266AB76D6919}">
  <sheetPr>
    <tabColor theme="5" tint="0.39997558519241921"/>
  </sheetPr>
  <dimension ref="A2:AE77"/>
  <sheetViews>
    <sheetView showGridLines="0" workbookViewId="0">
      <selection activeCell="X76" sqref="X76"/>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4" max="24" width="22.77734375" customWidth="1"/>
    <col min="25" max="25" width="10.77734375" customWidth="1"/>
    <col min="26" max="31" width="9.77734375" customWidth="1"/>
  </cols>
  <sheetData>
    <row r="2" spans="1:31" x14ac:dyDescent="0.3">
      <c r="A2" s="166" t="s">
        <v>142</v>
      </c>
      <c r="B2" s="166"/>
      <c r="C2" s="166"/>
      <c r="D2" s="166"/>
      <c r="E2" s="166"/>
      <c r="F2" s="166"/>
      <c r="G2" s="166"/>
      <c r="H2" s="166"/>
      <c r="I2" s="139"/>
      <c r="J2" s="139"/>
      <c r="K2" s="139"/>
      <c r="L2" s="166" t="s">
        <v>141</v>
      </c>
      <c r="M2" s="166"/>
      <c r="N2" s="166"/>
      <c r="O2" s="166"/>
      <c r="P2" s="166"/>
      <c r="Q2" s="166"/>
      <c r="R2" s="166"/>
      <c r="S2" s="166"/>
      <c r="T2" s="139"/>
      <c r="U2" s="139"/>
      <c r="V2" s="139"/>
      <c r="W2" s="139"/>
      <c r="X2" s="166" t="s">
        <v>140</v>
      </c>
      <c r="Y2" s="166"/>
      <c r="Z2" s="166"/>
      <c r="AA2" s="166"/>
      <c r="AB2" s="166"/>
      <c r="AC2" s="166"/>
      <c r="AD2" s="166"/>
      <c r="AE2" s="166"/>
    </row>
    <row r="3" spans="1:31" x14ac:dyDescent="0.3">
      <c r="A3" s="140" t="s">
        <v>103</v>
      </c>
      <c r="B3" s="140" t="s">
        <v>137</v>
      </c>
      <c r="C3" s="140">
        <v>2019</v>
      </c>
      <c r="D3" s="140">
        <v>2020</v>
      </c>
      <c r="E3" s="140">
        <v>2021</v>
      </c>
      <c r="F3" s="140">
        <v>2022</v>
      </c>
      <c r="G3" s="140">
        <v>2023</v>
      </c>
      <c r="H3" s="140">
        <v>2024</v>
      </c>
      <c r="I3" s="139"/>
      <c r="J3" s="139"/>
      <c r="K3" s="139"/>
      <c r="L3" s="140" t="s">
        <v>103</v>
      </c>
      <c r="M3" s="140" t="s">
        <v>137</v>
      </c>
      <c r="N3" s="140">
        <v>2019</v>
      </c>
      <c r="O3" s="140">
        <v>2020</v>
      </c>
      <c r="P3" s="140">
        <v>2021</v>
      </c>
      <c r="Q3" s="140">
        <v>2022</v>
      </c>
      <c r="R3" s="140">
        <v>2023</v>
      </c>
      <c r="S3" s="140">
        <v>2024</v>
      </c>
      <c r="T3" s="139"/>
      <c r="U3" s="139"/>
      <c r="V3" s="139"/>
      <c r="W3" s="139"/>
      <c r="X3" s="140" t="s">
        <v>103</v>
      </c>
      <c r="Y3" s="140" t="s">
        <v>137</v>
      </c>
      <c r="Z3" s="140">
        <v>2019</v>
      </c>
      <c r="AA3" s="140">
        <v>2020</v>
      </c>
      <c r="AB3" s="140">
        <v>2021</v>
      </c>
      <c r="AC3" s="140">
        <v>2022</v>
      </c>
      <c r="AD3" s="140">
        <v>2023</v>
      </c>
      <c r="AE3" s="140">
        <v>2024</v>
      </c>
    </row>
    <row r="4" spans="1:31" x14ac:dyDescent="0.3">
      <c r="A4" s="165" t="s">
        <v>10</v>
      </c>
      <c r="B4" s="139" t="s">
        <v>125</v>
      </c>
      <c r="C4" s="141">
        <v>2068</v>
      </c>
      <c r="D4" s="141">
        <v>1909</v>
      </c>
      <c r="E4" s="141">
        <v>1887</v>
      </c>
      <c r="F4" s="141">
        <v>2122</v>
      </c>
      <c r="G4" s="141">
        <v>2382</v>
      </c>
      <c r="H4" s="141">
        <v>2273</v>
      </c>
      <c r="I4" s="139"/>
      <c r="J4" s="139"/>
      <c r="K4" s="139"/>
      <c r="L4" s="165" t="s">
        <v>10</v>
      </c>
      <c r="M4" s="139" t="s">
        <v>125</v>
      </c>
      <c r="N4" s="141">
        <v>2519</v>
      </c>
      <c r="O4" s="141">
        <v>2540</v>
      </c>
      <c r="P4" s="141">
        <v>2619</v>
      </c>
      <c r="Q4" s="141">
        <v>2929</v>
      </c>
      <c r="R4" s="141">
        <v>4061</v>
      </c>
      <c r="S4" s="141">
        <v>3946</v>
      </c>
      <c r="T4" s="139"/>
      <c r="U4" s="139"/>
      <c r="V4" s="139"/>
      <c r="W4" s="139"/>
      <c r="X4" s="165" t="s">
        <v>10</v>
      </c>
      <c r="Y4" s="139" t="s">
        <v>125</v>
      </c>
      <c r="Z4" s="141">
        <v>8122</v>
      </c>
      <c r="AA4" s="141">
        <v>7817</v>
      </c>
      <c r="AB4" s="141">
        <v>7975</v>
      </c>
      <c r="AC4" s="141">
        <v>8573</v>
      </c>
      <c r="AD4" s="141">
        <v>9796</v>
      </c>
      <c r="AE4" s="141">
        <v>9375</v>
      </c>
    </row>
    <row r="5" spans="1:31" x14ac:dyDescent="0.3">
      <c r="A5" s="165"/>
      <c r="B5" s="139" t="s">
        <v>126</v>
      </c>
      <c r="C5" s="141">
        <v>2073</v>
      </c>
      <c r="D5" s="141">
        <v>2142</v>
      </c>
      <c r="E5" s="141">
        <v>2035</v>
      </c>
      <c r="F5" s="141">
        <v>2262</v>
      </c>
      <c r="G5" s="141">
        <v>2607</v>
      </c>
      <c r="H5" s="141">
        <v>2595</v>
      </c>
      <c r="I5" s="139"/>
      <c r="J5" s="139"/>
      <c r="K5" s="139"/>
      <c r="L5" s="165"/>
      <c r="M5" s="139" t="s">
        <v>126</v>
      </c>
      <c r="N5" s="141">
        <v>2490</v>
      </c>
      <c r="O5" s="141">
        <v>2818</v>
      </c>
      <c r="P5" s="141">
        <v>2756</v>
      </c>
      <c r="Q5" s="141">
        <v>3089</v>
      </c>
      <c r="R5" s="141">
        <v>4433</v>
      </c>
      <c r="S5" s="141">
        <v>4526</v>
      </c>
      <c r="T5" s="139"/>
      <c r="U5" s="139"/>
      <c r="V5" s="139"/>
      <c r="W5" s="139"/>
      <c r="X5" s="165"/>
      <c r="Y5" s="139" t="s">
        <v>126</v>
      </c>
      <c r="Z5" s="141">
        <v>8011</v>
      </c>
      <c r="AA5" s="141">
        <v>8759</v>
      </c>
      <c r="AB5" s="141">
        <v>8491</v>
      </c>
      <c r="AC5" s="141">
        <v>9153</v>
      </c>
      <c r="AD5" s="141">
        <v>10556</v>
      </c>
      <c r="AE5" s="141">
        <v>10605</v>
      </c>
    </row>
    <row r="6" spans="1:31" x14ac:dyDescent="0.3">
      <c r="A6" s="165"/>
      <c r="B6" s="139" t="s">
        <v>127</v>
      </c>
      <c r="C6" s="141">
        <v>2240</v>
      </c>
      <c r="D6" s="141">
        <v>2210</v>
      </c>
      <c r="E6" s="141">
        <v>2239</v>
      </c>
      <c r="F6" s="141">
        <v>2563</v>
      </c>
      <c r="G6" s="141">
        <v>2812</v>
      </c>
      <c r="H6" s="141">
        <v>2883</v>
      </c>
      <c r="I6" s="139"/>
      <c r="J6" s="139"/>
      <c r="K6" s="139"/>
      <c r="L6" s="165"/>
      <c r="M6" s="139" t="s">
        <v>127</v>
      </c>
      <c r="N6" s="141">
        <v>2710</v>
      </c>
      <c r="O6" s="141">
        <v>2891</v>
      </c>
      <c r="P6" s="141">
        <v>2972</v>
      </c>
      <c r="Q6" s="141">
        <v>3418</v>
      </c>
      <c r="R6" s="141">
        <v>4762</v>
      </c>
      <c r="S6" s="141">
        <v>5016</v>
      </c>
      <c r="T6" s="139"/>
      <c r="U6" s="139"/>
      <c r="V6" s="139"/>
      <c r="W6" s="139"/>
      <c r="X6" s="165"/>
      <c r="Y6" s="139" t="s">
        <v>127</v>
      </c>
      <c r="Z6" s="141">
        <v>8656</v>
      </c>
      <c r="AA6" s="141">
        <v>9029</v>
      </c>
      <c r="AB6" s="141">
        <v>9204</v>
      </c>
      <c r="AC6" s="141">
        <v>10196</v>
      </c>
      <c r="AD6" s="141">
        <v>11268</v>
      </c>
      <c r="AE6" s="141">
        <v>11660</v>
      </c>
    </row>
    <row r="7" spans="1:31" x14ac:dyDescent="0.3">
      <c r="A7" s="165"/>
      <c r="B7" s="139" t="s">
        <v>128</v>
      </c>
      <c r="C7" s="141">
        <v>2130</v>
      </c>
      <c r="D7" s="141">
        <v>2210</v>
      </c>
      <c r="E7" s="141">
        <v>2447</v>
      </c>
      <c r="F7" s="141">
        <v>2776</v>
      </c>
      <c r="G7" s="141">
        <v>2987</v>
      </c>
      <c r="H7" s="141">
        <v>3164</v>
      </c>
      <c r="I7" s="139"/>
      <c r="J7" s="139"/>
      <c r="K7" s="139"/>
      <c r="L7" s="165"/>
      <c r="M7" s="139" t="s">
        <v>128</v>
      </c>
      <c r="N7" s="141">
        <v>2632</v>
      </c>
      <c r="O7" s="141">
        <v>2878</v>
      </c>
      <c r="P7" s="141">
        <v>3223</v>
      </c>
      <c r="Q7" s="141">
        <v>3649</v>
      </c>
      <c r="R7" s="141">
        <v>5036</v>
      </c>
      <c r="S7" s="141">
        <v>5492</v>
      </c>
      <c r="T7" s="139"/>
      <c r="U7" s="139"/>
      <c r="V7" s="139"/>
      <c r="W7" s="139"/>
      <c r="X7" s="165"/>
      <c r="Y7" s="139" t="s">
        <v>128</v>
      </c>
      <c r="Z7" s="141">
        <v>8466</v>
      </c>
      <c r="AA7" s="141">
        <v>8987</v>
      </c>
      <c r="AB7" s="141">
        <v>9858</v>
      </c>
      <c r="AC7" s="141">
        <v>10926</v>
      </c>
      <c r="AD7" s="141">
        <v>11913</v>
      </c>
      <c r="AE7" s="141">
        <v>12713</v>
      </c>
    </row>
    <row r="8" spans="1:31" x14ac:dyDescent="0.3">
      <c r="A8" s="165"/>
      <c r="B8" s="139" t="s">
        <v>129</v>
      </c>
      <c r="C8" s="141">
        <v>2268</v>
      </c>
      <c r="D8" s="141">
        <v>2253</v>
      </c>
      <c r="E8" s="141">
        <v>2557</v>
      </c>
      <c r="F8" s="141">
        <v>2871</v>
      </c>
      <c r="G8" s="141">
        <v>3173</v>
      </c>
      <c r="H8" s="141">
        <v>3292</v>
      </c>
      <c r="I8" s="139"/>
      <c r="J8" s="139"/>
      <c r="K8" s="139"/>
      <c r="L8" s="165"/>
      <c r="M8" s="139" t="s">
        <v>129</v>
      </c>
      <c r="N8" s="141">
        <v>2851</v>
      </c>
      <c r="O8" s="141">
        <v>2930</v>
      </c>
      <c r="P8" s="141">
        <v>3358</v>
      </c>
      <c r="Q8" s="141">
        <v>3818</v>
      </c>
      <c r="R8" s="141">
        <v>5335</v>
      </c>
      <c r="S8" s="141">
        <v>5693</v>
      </c>
      <c r="T8" s="139"/>
      <c r="U8" s="139"/>
      <c r="V8" s="139"/>
      <c r="W8" s="139"/>
      <c r="X8" s="165"/>
      <c r="Y8" s="139" t="s">
        <v>129</v>
      </c>
      <c r="Z8" s="141">
        <v>8947</v>
      </c>
      <c r="AA8" s="141">
        <v>9148</v>
      </c>
      <c r="AB8" s="141">
        <v>10212</v>
      </c>
      <c r="AC8" s="141">
        <v>11436</v>
      </c>
      <c r="AD8" s="141">
        <v>12623</v>
      </c>
      <c r="AE8" s="141">
        <v>13211</v>
      </c>
    </row>
    <row r="9" spans="1:31" x14ac:dyDescent="0.3">
      <c r="A9" s="165"/>
      <c r="B9" s="139" t="s">
        <v>130</v>
      </c>
      <c r="C9" s="141">
        <v>2460</v>
      </c>
      <c r="D9" s="141">
        <v>2345</v>
      </c>
      <c r="E9" s="141">
        <v>2778</v>
      </c>
      <c r="F9" s="141">
        <v>3200</v>
      </c>
      <c r="G9" s="141">
        <v>3334</v>
      </c>
      <c r="H9" s="141">
        <v>3525</v>
      </c>
      <c r="I9" s="139"/>
      <c r="J9" s="139"/>
      <c r="K9" s="139"/>
      <c r="L9" s="165"/>
      <c r="M9" s="139" t="s">
        <v>130</v>
      </c>
      <c r="N9" s="141">
        <v>3088</v>
      </c>
      <c r="O9" s="141">
        <v>3075</v>
      </c>
      <c r="P9" s="141">
        <v>3637</v>
      </c>
      <c r="Q9" s="141">
        <v>4239</v>
      </c>
      <c r="R9" s="141">
        <v>5637</v>
      </c>
      <c r="S9" s="141">
        <v>6074</v>
      </c>
      <c r="T9" s="139"/>
      <c r="U9" s="139"/>
      <c r="V9" s="139"/>
      <c r="W9" s="139"/>
      <c r="X9" s="165"/>
      <c r="Y9" s="139" t="s">
        <v>130</v>
      </c>
      <c r="Z9" s="141">
        <v>9733</v>
      </c>
      <c r="AA9" s="141">
        <v>9546</v>
      </c>
      <c r="AB9" s="141">
        <v>11035</v>
      </c>
      <c r="AC9" s="141">
        <v>12622</v>
      </c>
      <c r="AD9" s="141">
        <v>13210</v>
      </c>
      <c r="AE9" s="141">
        <v>14054</v>
      </c>
    </row>
    <row r="10" spans="1:31" x14ac:dyDescent="0.3">
      <c r="A10" s="165"/>
      <c r="B10" s="139" t="s">
        <v>131</v>
      </c>
      <c r="C10" s="141">
        <v>2529</v>
      </c>
      <c r="D10" s="141">
        <v>2565</v>
      </c>
      <c r="E10" s="141">
        <v>2885</v>
      </c>
      <c r="F10" s="141">
        <v>3333</v>
      </c>
      <c r="G10" s="141">
        <v>3403</v>
      </c>
      <c r="H10" s="141">
        <v>3679</v>
      </c>
      <c r="I10" s="139"/>
      <c r="J10" s="139"/>
      <c r="K10" s="139"/>
      <c r="L10" s="165"/>
      <c r="M10" s="139" t="s">
        <v>131</v>
      </c>
      <c r="N10" s="141">
        <v>3204</v>
      </c>
      <c r="O10" s="141">
        <v>3312</v>
      </c>
      <c r="P10" s="141">
        <v>3754</v>
      </c>
      <c r="Q10" s="141">
        <v>4989</v>
      </c>
      <c r="R10" s="141">
        <v>5789</v>
      </c>
      <c r="S10" s="141">
        <v>6392</v>
      </c>
      <c r="T10" s="139"/>
      <c r="U10" s="139"/>
      <c r="V10" s="139"/>
      <c r="W10" s="139"/>
      <c r="X10" s="165"/>
      <c r="Y10" s="139" t="s">
        <v>131</v>
      </c>
      <c r="Z10" s="141">
        <v>10058</v>
      </c>
      <c r="AA10" s="141">
        <v>10299</v>
      </c>
      <c r="AB10" s="141">
        <v>11353</v>
      </c>
      <c r="AC10" s="141">
        <v>13112</v>
      </c>
      <c r="AD10" s="141">
        <v>13516</v>
      </c>
      <c r="AE10" s="141">
        <v>14752</v>
      </c>
    </row>
    <row r="11" spans="1:31" x14ac:dyDescent="0.3">
      <c r="A11" s="165"/>
      <c r="B11" s="139" t="s">
        <v>132</v>
      </c>
      <c r="C11" s="141">
        <v>2469</v>
      </c>
      <c r="D11" s="141">
        <v>2723</v>
      </c>
      <c r="E11" s="141">
        <v>2870</v>
      </c>
      <c r="F11" s="141">
        <v>3242</v>
      </c>
      <c r="G11" s="141">
        <v>3408</v>
      </c>
      <c r="H11" s="141">
        <v>3677</v>
      </c>
      <c r="I11" s="139"/>
      <c r="J11" s="139"/>
      <c r="K11" s="139"/>
      <c r="L11" s="165"/>
      <c r="M11" s="139" t="s">
        <v>132</v>
      </c>
      <c r="N11" s="141">
        <v>3141</v>
      </c>
      <c r="O11" s="141">
        <v>3485</v>
      </c>
      <c r="P11" s="141">
        <v>3725</v>
      </c>
      <c r="Q11" s="141">
        <v>5328</v>
      </c>
      <c r="R11" s="141">
        <v>5788</v>
      </c>
      <c r="S11" s="141">
        <v>6383</v>
      </c>
      <c r="T11" s="139"/>
      <c r="U11" s="139"/>
      <c r="V11" s="139"/>
      <c r="W11" s="139"/>
      <c r="X11" s="165"/>
      <c r="Y11" s="139" t="s">
        <v>132</v>
      </c>
      <c r="Z11" s="141">
        <v>9871</v>
      </c>
      <c r="AA11" s="141">
        <v>10834</v>
      </c>
      <c r="AB11" s="141">
        <v>11211</v>
      </c>
      <c r="AC11" s="141">
        <v>12796</v>
      </c>
      <c r="AD11" s="141">
        <v>13417</v>
      </c>
      <c r="AE11" s="141">
        <v>14712</v>
      </c>
    </row>
    <row r="12" spans="1:31" x14ac:dyDescent="0.3">
      <c r="A12" s="165"/>
      <c r="B12" s="139" t="s">
        <v>133</v>
      </c>
      <c r="C12" s="141">
        <v>2478</v>
      </c>
      <c r="D12" s="141">
        <v>2708</v>
      </c>
      <c r="E12" s="141">
        <v>2850</v>
      </c>
      <c r="F12" s="141">
        <v>3224</v>
      </c>
      <c r="G12" s="141">
        <v>3378</v>
      </c>
      <c r="H12" s="141">
        <v>3652</v>
      </c>
      <c r="I12" s="139"/>
      <c r="J12" s="139"/>
      <c r="K12" s="139"/>
      <c r="L12" s="165"/>
      <c r="M12" s="139" t="s">
        <v>133</v>
      </c>
      <c r="N12" s="141">
        <v>3145</v>
      </c>
      <c r="O12" s="141">
        <v>3500</v>
      </c>
      <c r="P12" s="141">
        <v>3691</v>
      </c>
      <c r="Q12" s="141">
        <v>5313</v>
      </c>
      <c r="R12" s="141">
        <v>5739</v>
      </c>
      <c r="S12" s="141">
        <v>6307</v>
      </c>
      <c r="T12" s="139"/>
      <c r="U12" s="139"/>
      <c r="V12" s="139"/>
      <c r="W12" s="139"/>
      <c r="X12" s="165"/>
      <c r="Y12" s="139" t="s">
        <v>133</v>
      </c>
      <c r="Z12" s="141">
        <v>9903</v>
      </c>
      <c r="AA12" s="141">
        <v>10821</v>
      </c>
      <c r="AB12" s="141">
        <v>11090</v>
      </c>
      <c r="AC12" s="141">
        <v>12676</v>
      </c>
      <c r="AD12" s="141">
        <v>13280</v>
      </c>
      <c r="AE12" s="141">
        <v>14553</v>
      </c>
    </row>
    <row r="13" spans="1:31" x14ac:dyDescent="0.3">
      <c r="A13" s="165"/>
      <c r="B13" s="139" t="s">
        <v>134</v>
      </c>
      <c r="C13" s="141">
        <v>2190</v>
      </c>
      <c r="D13" s="141">
        <v>2275</v>
      </c>
      <c r="E13" s="141">
        <v>2499</v>
      </c>
      <c r="F13" s="141">
        <v>2693</v>
      </c>
      <c r="G13" s="141">
        <v>2762</v>
      </c>
      <c r="H13" s="141">
        <v>3102</v>
      </c>
      <c r="I13" s="139"/>
      <c r="J13" s="139"/>
      <c r="K13" s="139"/>
      <c r="L13" s="165"/>
      <c r="M13" s="139" t="s">
        <v>134</v>
      </c>
      <c r="N13" s="141">
        <v>2823</v>
      </c>
      <c r="O13" s="141">
        <v>3002</v>
      </c>
      <c r="P13" s="141">
        <v>3283</v>
      </c>
      <c r="Q13" s="141">
        <v>4477</v>
      </c>
      <c r="R13" s="141">
        <v>4676</v>
      </c>
      <c r="S13" s="141">
        <v>5384</v>
      </c>
      <c r="T13" s="139"/>
      <c r="U13" s="139"/>
      <c r="V13" s="139"/>
      <c r="W13" s="139"/>
      <c r="X13" s="165"/>
      <c r="Y13" s="139" t="s">
        <v>134</v>
      </c>
      <c r="Z13" s="141">
        <v>8835</v>
      </c>
      <c r="AA13" s="141">
        <v>9222</v>
      </c>
      <c r="AB13" s="141">
        <v>9882</v>
      </c>
      <c r="AC13" s="141">
        <v>10797</v>
      </c>
      <c r="AD13" s="141">
        <v>11029</v>
      </c>
      <c r="AE13" s="141">
        <v>12495</v>
      </c>
    </row>
    <row r="14" spans="1:31" x14ac:dyDescent="0.3">
      <c r="A14" s="165"/>
      <c r="B14" s="139" t="s">
        <v>135</v>
      </c>
      <c r="C14" s="141">
        <v>1683</v>
      </c>
      <c r="D14" s="141">
        <v>1624</v>
      </c>
      <c r="E14" s="141">
        <v>1696</v>
      </c>
      <c r="F14" s="141">
        <v>2023</v>
      </c>
      <c r="G14" s="141">
        <v>1843</v>
      </c>
      <c r="H14" s="141">
        <v>2050</v>
      </c>
      <c r="I14" s="139"/>
      <c r="J14" s="139"/>
      <c r="K14" s="139"/>
      <c r="L14" s="165"/>
      <c r="M14" s="139" t="s">
        <v>135</v>
      </c>
      <c r="N14" s="141">
        <v>2276</v>
      </c>
      <c r="O14" s="141">
        <v>2318</v>
      </c>
      <c r="P14" s="141">
        <v>2414</v>
      </c>
      <c r="Q14" s="141">
        <v>3444</v>
      </c>
      <c r="R14" s="141">
        <v>3216</v>
      </c>
      <c r="S14" s="141">
        <v>3653</v>
      </c>
      <c r="T14" s="139"/>
      <c r="U14" s="139"/>
      <c r="V14" s="139"/>
      <c r="W14" s="139"/>
      <c r="X14" s="165"/>
      <c r="Y14" s="139" t="s">
        <v>135</v>
      </c>
      <c r="Z14" s="141">
        <v>7041</v>
      </c>
      <c r="AA14" s="141">
        <v>6997</v>
      </c>
      <c r="AB14" s="141">
        <v>7172</v>
      </c>
      <c r="AC14" s="141">
        <v>8559</v>
      </c>
      <c r="AD14" s="141">
        <v>7816</v>
      </c>
      <c r="AE14" s="141">
        <v>8775</v>
      </c>
    </row>
    <row r="15" spans="1:31" x14ac:dyDescent="0.3">
      <c r="A15" s="165"/>
      <c r="B15" s="139" t="s">
        <v>136</v>
      </c>
      <c r="C15" s="141">
        <v>1742</v>
      </c>
      <c r="D15" s="141">
        <v>1574</v>
      </c>
      <c r="E15" s="141">
        <v>1724</v>
      </c>
      <c r="F15" s="141">
        <v>2148</v>
      </c>
      <c r="G15" s="141">
        <v>1959</v>
      </c>
      <c r="H15" s="141">
        <v>2180</v>
      </c>
      <c r="I15" s="139"/>
      <c r="J15" s="139"/>
      <c r="K15" s="139"/>
      <c r="L15" s="165"/>
      <c r="M15" s="139" t="s">
        <v>136</v>
      </c>
      <c r="N15" s="141">
        <v>2347</v>
      </c>
      <c r="O15" s="141">
        <v>2231</v>
      </c>
      <c r="P15" s="141">
        <v>2435</v>
      </c>
      <c r="Q15" s="141">
        <v>3648</v>
      </c>
      <c r="R15" s="141">
        <v>3384</v>
      </c>
      <c r="S15" s="141">
        <v>3849</v>
      </c>
      <c r="T15" s="139"/>
      <c r="U15" s="139"/>
      <c r="V15" s="139"/>
      <c r="W15" s="139"/>
      <c r="X15" s="165"/>
      <c r="Y15" s="139" t="s">
        <v>136</v>
      </c>
      <c r="Z15" s="141">
        <v>7241</v>
      </c>
      <c r="AA15" s="141">
        <v>6721</v>
      </c>
      <c r="AB15" s="141">
        <v>7204</v>
      </c>
      <c r="AC15" s="141">
        <v>8990</v>
      </c>
      <c r="AD15" s="141">
        <v>8210</v>
      </c>
      <c r="AE15" s="141">
        <v>9133</v>
      </c>
    </row>
    <row r="16" spans="1:31" x14ac:dyDescent="0.3">
      <c r="A16" s="164" t="s">
        <v>4</v>
      </c>
      <c r="B16" s="142" t="s">
        <v>125</v>
      </c>
      <c r="C16" s="143">
        <v>1818</v>
      </c>
      <c r="D16" s="143">
        <v>1996</v>
      </c>
      <c r="E16" s="143">
        <v>1895</v>
      </c>
      <c r="F16" s="143">
        <v>1880</v>
      </c>
      <c r="G16" s="143">
        <v>2107</v>
      </c>
      <c r="H16" s="143">
        <v>2301</v>
      </c>
      <c r="I16" s="139"/>
      <c r="J16" s="139"/>
      <c r="K16" s="139"/>
      <c r="L16" s="164" t="s">
        <v>4</v>
      </c>
      <c r="M16" s="142" t="s">
        <v>125</v>
      </c>
      <c r="N16" s="143">
        <v>2861</v>
      </c>
      <c r="O16" s="143">
        <v>3369</v>
      </c>
      <c r="P16" s="143">
        <v>3277</v>
      </c>
      <c r="Q16" s="143">
        <v>3246</v>
      </c>
      <c r="R16" s="143">
        <v>4242</v>
      </c>
      <c r="S16" s="143">
        <v>4638</v>
      </c>
      <c r="T16" s="139"/>
      <c r="U16" s="139"/>
      <c r="V16" s="139"/>
      <c r="W16" s="139"/>
      <c r="X16" s="164" t="s">
        <v>4</v>
      </c>
      <c r="Y16" s="142" t="s">
        <v>125</v>
      </c>
      <c r="Z16" s="143">
        <v>9173</v>
      </c>
      <c r="AA16" s="143">
        <v>10315</v>
      </c>
      <c r="AB16" s="143">
        <v>9804</v>
      </c>
      <c r="AC16" s="143">
        <v>9631</v>
      </c>
      <c r="AD16" s="143">
        <v>10345</v>
      </c>
      <c r="AE16" s="143">
        <v>11071</v>
      </c>
    </row>
    <row r="17" spans="1:31" x14ac:dyDescent="0.3">
      <c r="A17" s="164"/>
      <c r="B17" s="142" t="s">
        <v>126</v>
      </c>
      <c r="C17" s="143">
        <v>1736</v>
      </c>
      <c r="D17" s="143">
        <v>2139</v>
      </c>
      <c r="E17" s="143">
        <v>1937</v>
      </c>
      <c r="F17" s="143">
        <v>1958</v>
      </c>
      <c r="G17" s="143">
        <v>2164</v>
      </c>
      <c r="H17" s="143">
        <v>2391</v>
      </c>
      <c r="I17" s="139"/>
      <c r="J17" s="139"/>
      <c r="K17" s="139"/>
      <c r="L17" s="164"/>
      <c r="M17" s="142" t="s">
        <v>126</v>
      </c>
      <c r="N17" s="143">
        <v>2731</v>
      </c>
      <c r="O17" s="143">
        <v>3605</v>
      </c>
      <c r="P17" s="143">
        <v>3337</v>
      </c>
      <c r="Q17" s="143">
        <v>3360</v>
      </c>
      <c r="R17" s="143">
        <v>4353</v>
      </c>
      <c r="S17" s="143">
        <v>4848</v>
      </c>
      <c r="T17" s="139"/>
      <c r="U17" s="139"/>
      <c r="V17" s="139"/>
      <c r="W17" s="139"/>
      <c r="X17" s="164"/>
      <c r="Y17" s="142" t="s">
        <v>126</v>
      </c>
      <c r="Z17" s="143">
        <v>8746</v>
      </c>
      <c r="AA17" s="143">
        <v>11028</v>
      </c>
      <c r="AB17" s="143">
        <v>10013</v>
      </c>
      <c r="AC17" s="143">
        <v>9993</v>
      </c>
      <c r="AD17" s="143">
        <v>10514</v>
      </c>
      <c r="AE17" s="143">
        <v>11473</v>
      </c>
    </row>
    <row r="18" spans="1:31" x14ac:dyDescent="0.3">
      <c r="A18" s="164"/>
      <c r="B18" s="142" t="s">
        <v>127</v>
      </c>
      <c r="C18" s="143">
        <v>1807</v>
      </c>
      <c r="D18" s="143">
        <v>2213</v>
      </c>
      <c r="E18" s="143">
        <v>1990</v>
      </c>
      <c r="F18" s="143">
        <v>2062</v>
      </c>
      <c r="G18" s="143">
        <v>2295</v>
      </c>
      <c r="H18" s="143">
        <v>2596</v>
      </c>
      <c r="I18" s="139"/>
      <c r="J18" s="139"/>
      <c r="K18" s="139"/>
      <c r="L18" s="164"/>
      <c r="M18" s="142" t="s">
        <v>127</v>
      </c>
      <c r="N18" s="143">
        <v>2825</v>
      </c>
      <c r="O18" s="143">
        <v>3706</v>
      </c>
      <c r="P18" s="143">
        <v>3385</v>
      </c>
      <c r="Q18" s="143">
        <v>3477</v>
      </c>
      <c r="R18" s="143">
        <v>4596</v>
      </c>
      <c r="S18" s="143">
        <v>5280</v>
      </c>
      <c r="T18" s="139"/>
      <c r="U18" s="139"/>
      <c r="V18" s="139"/>
      <c r="W18" s="139"/>
      <c r="X18" s="164"/>
      <c r="Y18" s="142" t="s">
        <v>127</v>
      </c>
      <c r="Z18" s="143">
        <v>9146</v>
      </c>
      <c r="AA18" s="143">
        <v>11353</v>
      </c>
      <c r="AB18" s="143">
        <v>10286</v>
      </c>
      <c r="AC18" s="143">
        <v>10272</v>
      </c>
      <c r="AD18" s="143">
        <v>11098</v>
      </c>
      <c r="AE18" s="143">
        <v>12376</v>
      </c>
    </row>
    <row r="19" spans="1:31" x14ac:dyDescent="0.3">
      <c r="A19" s="164"/>
      <c r="B19" s="142" t="s">
        <v>128</v>
      </c>
      <c r="C19" s="143">
        <v>1885</v>
      </c>
      <c r="D19" s="143">
        <v>2186</v>
      </c>
      <c r="E19" s="143">
        <v>2113</v>
      </c>
      <c r="F19" s="143">
        <v>2222</v>
      </c>
      <c r="G19" s="143">
        <v>2473</v>
      </c>
      <c r="H19" s="143">
        <v>2916</v>
      </c>
      <c r="I19" s="139"/>
      <c r="J19" s="139"/>
      <c r="K19" s="139"/>
      <c r="L19" s="164"/>
      <c r="M19" s="142" t="s">
        <v>128</v>
      </c>
      <c r="N19" s="143">
        <v>3009</v>
      </c>
      <c r="O19" s="143">
        <v>3657</v>
      </c>
      <c r="P19" s="143">
        <v>3572</v>
      </c>
      <c r="Q19" s="143">
        <v>3702</v>
      </c>
      <c r="R19" s="143">
        <v>4972</v>
      </c>
      <c r="S19" s="143">
        <v>5915</v>
      </c>
      <c r="T19" s="139"/>
      <c r="U19" s="139"/>
      <c r="V19" s="139"/>
      <c r="W19" s="139"/>
      <c r="X19" s="164"/>
      <c r="Y19" s="142" t="s">
        <v>128</v>
      </c>
      <c r="Z19" s="143">
        <v>9618</v>
      </c>
      <c r="AA19" s="143">
        <v>11222</v>
      </c>
      <c r="AB19" s="143">
        <v>10909</v>
      </c>
      <c r="AC19" s="143">
        <v>11049</v>
      </c>
      <c r="AD19" s="143">
        <v>11904</v>
      </c>
      <c r="AE19" s="143">
        <v>13732</v>
      </c>
    </row>
    <row r="20" spans="1:31" x14ac:dyDescent="0.3">
      <c r="A20" s="164"/>
      <c r="B20" s="142" t="s">
        <v>129</v>
      </c>
      <c r="C20" s="143">
        <v>2003</v>
      </c>
      <c r="D20" s="143">
        <v>2229</v>
      </c>
      <c r="E20" s="143">
        <v>2244</v>
      </c>
      <c r="F20" s="143">
        <v>2324</v>
      </c>
      <c r="G20" s="143">
        <v>2701</v>
      </c>
      <c r="H20" s="143">
        <v>3039</v>
      </c>
      <c r="I20" s="139"/>
      <c r="J20" s="139"/>
      <c r="K20" s="139"/>
      <c r="L20" s="164"/>
      <c r="M20" s="142" t="s">
        <v>129</v>
      </c>
      <c r="N20" s="143">
        <v>3225</v>
      </c>
      <c r="O20" s="143">
        <v>3721</v>
      </c>
      <c r="P20" s="143">
        <v>3745</v>
      </c>
      <c r="Q20" s="143">
        <v>3924</v>
      </c>
      <c r="R20" s="143">
        <v>5460</v>
      </c>
      <c r="S20" s="143">
        <v>6177</v>
      </c>
      <c r="T20" s="139"/>
      <c r="U20" s="139"/>
      <c r="V20" s="139"/>
      <c r="W20" s="139"/>
      <c r="X20" s="164"/>
      <c r="Y20" s="142" t="s">
        <v>129</v>
      </c>
      <c r="Z20" s="143">
        <v>10199</v>
      </c>
      <c r="AA20" s="143">
        <v>11485</v>
      </c>
      <c r="AB20" s="143">
        <v>11447</v>
      </c>
      <c r="AC20" s="143">
        <v>11592</v>
      </c>
      <c r="AD20" s="143">
        <v>12992</v>
      </c>
      <c r="AE20" s="143">
        <v>14342</v>
      </c>
    </row>
    <row r="21" spans="1:31" x14ac:dyDescent="0.3">
      <c r="A21" s="164"/>
      <c r="B21" s="142" t="s">
        <v>130</v>
      </c>
      <c r="C21" s="143">
        <v>2326</v>
      </c>
      <c r="D21" s="143">
        <v>2358</v>
      </c>
      <c r="E21" s="143">
        <v>2370</v>
      </c>
      <c r="F21" s="143">
        <v>2562</v>
      </c>
      <c r="G21" s="143">
        <v>2908</v>
      </c>
      <c r="H21" s="143">
        <v>3294</v>
      </c>
      <c r="I21" s="139"/>
      <c r="J21" s="139"/>
      <c r="K21" s="139"/>
      <c r="L21" s="164"/>
      <c r="M21" s="142" t="s">
        <v>130</v>
      </c>
      <c r="N21" s="143">
        <v>3733</v>
      </c>
      <c r="O21" s="143">
        <v>3920</v>
      </c>
      <c r="P21" s="143">
        <v>3927</v>
      </c>
      <c r="Q21" s="143">
        <v>4251</v>
      </c>
      <c r="R21" s="143">
        <v>5902</v>
      </c>
      <c r="S21" s="143">
        <v>6726</v>
      </c>
      <c r="T21" s="139"/>
      <c r="U21" s="139"/>
      <c r="V21" s="139"/>
      <c r="W21" s="139"/>
      <c r="X21" s="164"/>
      <c r="Y21" s="142" t="s">
        <v>130</v>
      </c>
      <c r="Z21" s="143">
        <v>11821</v>
      </c>
      <c r="AA21" s="143">
        <v>12130</v>
      </c>
      <c r="AB21" s="143">
        <v>11954</v>
      </c>
      <c r="AC21" s="143">
        <v>12494</v>
      </c>
      <c r="AD21" s="143">
        <v>14001</v>
      </c>
      <c r="AE21" s="143">
        <v>15575</v>
      </c>
    </row>
    <row r="22" spans="1:31" x14ac:dyDescent="0.3">
      <c r="A22" s="164"/>
      <c r="B22" s="142" t="s">
        <v>131</v>
      </c>
      <c r="C22" s="143">
        <v>2499</v>
      </c>
      <c r="D22" s="143">
        <v>2426</v>
      </c>
      <c r="E22" s="143">
        <v>2391</v>
      </c>
      <c r="F22" s="143">
        <v>2675</v>
      </c>
      <c r="G22" s="143">
        <v>3004</v>
      </c>
      <c r="H22" s="143">
        <v>3632</v>
      </c>
      <c r="I22" s="139"/>
      <c r="J22" s="139"/>
      <c r="K22" s="139"/>
      <c r="L22" s="164"/>
      <c r="M22" s="142" t="s">
        <v>131</v>
      </c>
      <c r="N22" s="143">
        <v>4033</v>
      </c>
      <c r="O22" s="143">
        <v>4002</v>
      </c>
      <c r="P22" s="143">
        <v>3960</v>
      </c>
      <c r="Q22" s="143">
        <v>4952</v>
      </c>
      <c r="R22" s="143">
        <v>6142</v>
      </c>
      <c r="S22" s="143">
        <v>7475</v>
      </c>
      <c r="T22" s="139"/>
      <c r="U22" s="139"/>
      <c r="V22" s="139"/>
      <c r="W22" s="139"/>
      <c r="X22" s="164"/>
      <c r="Y22" s="142" t="s">
        <v>131</v>
      </c>
      <c r="Z22" s="143">
        <v>12713</v>
      </c>
      <c r="AA22" s="143">
        <v>12430</v>
      </c>
      <c r="AB22" s="143">
        <v>12037</v>
      </c>
      <c r="AC22" s="143">
        <v>13163</v>
      </c>
      <c r="AD22" s="143">
        <v>14408</v>
      </c>
      <c r="AE22" s="143">
        <v>17183</v>
      </c>
    </row>
    <row r="23" spans="1:31" x14ac:dyDescent="0.3">
      <c r="A23" s="164"/>
      <c r="B23" s="142" t="s">
        <v>132</v>
      </c>
      <c r="C23" s="143">
        <v>2502</v>
      </c>
      <c r="D23" s="143">
        <v>2501</v>
      </c>
      <c r="E23" s="143">
        <v>2360</v>
      </c>
      <c r="F23" s="143">
        <v>2686</v>
      </c>
      <c r="G23" s="143">
        <v>3004</v>
      </c>
      <c r="H23" s="143">
        <v>3623</v>
      </c>
      <c r="I23" s="139"/>
      <c r="J23" s="139"/>
      <c r="K23" s="139"/>
      <c r="L23" s="164"/>
      <c r="M23" s="142" t="s">
        <v>132</v>
      </c>
      <c r="N23" s="143">
        <v>4032</v>
      </c>
      <c r="O23" s="143">
        <v>4065</v>
      </c>
      <c r="P23" s="143">
        <v>3904</v>
      </c>
      <c r="Q23" s="143">
        <v>5443</v>
      </c>
      <c r="R23" s="143">
        <v>6177</v>
      </c>
      <c r="S23" s="143">
        <v>7461</v>
      </c>
      <c r="T23" s="139"/>
      <c r="U23" s="139"/>
      <c r="V23" s="139"/>
      <c r="W23" s="139"/>
      <c r="X23" s="164"/>
      <c r="Y23" s="142" t="s">
        <v>132</v>
      </c>
      <c r="Z23" s="143">
        <v>12714</v>
      </c>
      <c r="AA23" s="143">
        <v>12665</v>
      </c>
      <c r="AB23" s="143">
        <v>11833</v>
      </c>
      <c r="AC23" s="143">
        <v>13114</v>
      </c>
      <c r="AD23" s="143">
        <v>14390</v>
      </c>
      <c r="AE23" s="143">
        <v>17098</v>
      </c>
    </row>
    <row r="24" spans="1:31" x14ac:dyDescent="0.3">
      <c r="A24" s="164"/>
      <c r="B24" s="142" t="s">
        <v>133</v>
      </c>
      <c r="C24" s="143">
        <v>2451</v>
      </c>
      <c r="D24" s="143">
        <v>2459</v>
      </c>
      <c r="E24" s="143">
        <v>2382</v>
      </c>
      <c r="F24" s="143">
        <v>2594</v>
      </c>
      <c r="G24" s="143">
        <v>2968</v>
      </c>
      <c r="H24" s="143">
        <v>3596</v>
      </c>
      <c r="I24" s="139"/>
      <c r="J24" s="139"/>
      <c r="K24" s="139"/>
      <c r="L24" s="164"/>
      <c r="M24" s="142" t="s">
        <v>133</v>
      </c>
      <c r="N24" s="143">
        <v>3946</v>
      </c>
      <c r="O24" s="143">
        <v>4027</v>
      </c>
      <c r="P24" s="143">
        <v>3916</v>
      </c>
      <c r="Q24" s="143">
        <v>5240</v>
      </c>
      <c r="R24" s="143">
        <v>6109</v>
      </c>
      <c r="S24" s="143">
        <v>7383</v>
      </c>
      <c r="T24" s="139"/>
      <c r="U24" s="139"/>
      <c r="V24" s="139"/>
      <c r="W24" s="139"/>
      <c r="X24" s="164"/>
      <c r="Y24" s="142" t="s">
        <v>133</v>
      </c>
      <c r="Z24" s="143">
        <v>12470</v>
      </c>
      <c r="AA24" s="143">
        <v>12474</v>
      </c>
      <c r="AB24" s="143">
        <v>12014</v>
      </c>
      <c r="AC24" s="143">
        <v>12561</v>
      </c>
      <c r="AD24" s="143">
        <v>14229</v>
      </c>
      <c r="AE24" s="143">
        <v>16929</v>
      </c>
    </row>
    <row r="25" spans="1:31" x14ac:dyDescent="0.3">
      <c r="A25" s="164"/>
      <c r="B25" s="142" t="s">
        <v>134</v>
      </c>
      <c r="C25" s="143">
        <v>2233</v>
      </c>
      <c r="D25" s="143">
        <v>2234</v>
      </c>
      <c r="E25" s="143">
        <v>2194</v>
      </c>
      <c r="F25" s="143">
        <v>2391</v>
      </c>
      <c r="G25" s="143">
        <v>2729</v>
      </c>
      <c r="H25" s="143">
        <v>3292</v>
      </c>
      <c r="I25" s="139"/>
      <c r="J25" s="139"/>
      <c r="K25" s="139"/>
      <c r="L25" s="164"/>
      <c r="M25" s="142" t="s">
        <v>134</v>
      </c>
      <c r="N25" s="143">
        <v>3675</v>
      </c>
      <c r="O25" s="143">
        <v>3716</v>
      </c>
      <c r="P25" s="143">
        <v>3666</v>
      </c>
      <c r="Q25" s="143">
        <v>4812</v>
      </c>
      <c r="R25" s="143">
        <v>5560</v>
      </c>
      <c r="S25" s="143">
        <v>6749</v>
      </c>
      <c r="T25" s="139"/>
      <c r="U25" s="139"/>
      <c r="V25" s="139"/>
      <c r="W25" s="139"/>
      <c r="X25" s="164"/>
      <c r="Y25" s="142" t="s">
        <v>134</v>
      </c>
      <c r="Z25" s="143">
        <v>11447</v>
      </c>
      <c r="AA25" s="143">
        <v>11431</v>
      </c>
      <c r="AB25" s="143">
        <v>11167</v>
      </c>
      <c r="AC25" s="143">
        <v>11633</v>
      </c>
      <c r="AD25" s="143">
        <v>13072</v>
      </c>
      <c r="AE25" s="143">
        <v>15567</v>
      </c>
    </row>
    <row r="26" spans="1:31" x14ac:dyDescent="0.3">
      <c r="A26" s="164"/>
      <c r="B26" s="142" t="s">
        <v>135</v>
      </c>
      <c r="C26" s="143">
        <v>1951</v>
      </c>
      <c r="D26" s="143">
        <v>1943</v>
      </c>
      <c r="E26" s="143">
        <v>1894</v>
      </c>
      <c r="F26" s="143">
        <v>2003</v>
      </c>
      <c r="G26" s="143">
        <v>2187</v>
      </c>
      <c r="H26" s="143">
        <v>2741</v>
      </c>
      <c r="I26" s="139"/>
      <c r="J26" s="139"/>
      <c r="K26" s="139"/>
      <c r="L26" s="164"/>
      <c r="M26" s="142" t="s">
        <v>135</v>
      </c>
      <c r="N26" s="143">
        <v>3269</v>
      </c>
      <c r="O26" s="143">
        <v>3351</v>
      </c>
      <c r="P26" s="143">
        <v>3270</v>
      </c>
      <c r="Q26" s="143">
        <v>4023</v>
      </c>
      <c r="R26" s="143">
        <v>4382</v>
      </c>
      <c r="S26" s="143">
        <v>5511</v>
      </c>
      <c r="T26" s="139"/>
      <c r="U26" s="139"/>
      <c r="V26" s="139"/>
      <c r="W26" s="139"/>
      <c r="X26" s="164"/>
      <c r="Y26" s="142" t="s">
        <v>135</v>
      </c>
      <c r="Z26" s="143">
        <v>10070</v>
      </c>
      <c r="AA26" s="143">
        <v>10041</v>
      </c>
      <c r="AB26" s="143">
        <v>9716</v>
      </c>
      <c r="AC26" s="143">
        <v>9986</v>
      </c>
      <c r="AD26" s="143">
        <v>10522</v>
      </c>
      <c r="AE26" s="143">
        <v>13031</v>
      </c>
    </row>
    <row r="27" spans="1:31" x14ac:dyDescent="0.3">
      <c r="A27" s="164"/>
      <c r="B27" s="142" t="s">
        <v>136</v>
      </c>
      <c r="C27" s="143">
        <v>1916</v>
      </c>
      <c r="D27" s="143">
        <v>1832</v>
      </c>
      <c r="E27" s="143">
        <v>1789</v>
      </c>
      <c r="F27" s="143">
        <v>1944</v>
      </c>
      <c r="G27" s="143">
        <v>2172</v>
      </c>
      <c r="H27" s="143">
        <v>2651</v>
      </c>
      <c r="I27" s="139"/>
      <c r="J27" s="139"/>
      <c r="K27" s="139"/>
      <c r="L27" s="164"/>
      <c r="M27" s="142" t="s">
        <v>136</v>
      </c>
      <c r="N27" s="143">
        <v>3232</v>
      </c>
      <c r="O27" s="143">
        <v>3186</v>
      </c>
      <c r="P27" s="143">
        <v>3116</v>
      </c>
      <c r="Q27" s="143">
        <v>3868</v>
      </c>
      <c r="R27" s="143">
        <v>4355</v>
      </c>
      <c r="S27" s="143">
        <v>5344</v>
      </c>
      <c r="T27" s="139"/>
      <c r="U27" s="139"/>
      <c r="V27" s="139"/>
      <c r="W27" s="139"/>
      <c r="X27" s="164"/>
      <c r="Y27" s="142" t="s">
        <v>136</v>
      </c>
      <c r="Z27" s="143">
        <v>9884</v>
      </c>
      <c r="AA27" s="143">
        <v>9483</v>
      </c>
      <c r="AB27" s="143">
        <v>9240</v>
      </c>
      <c r="AC27" s="143">
        <v>9660</v>
      </c>
      <c r="AD27" s="143">
        <v>10488</v>
      </c>
      <c r="AE27" s="143">
        <v>12674</v>
      </c>
    </row>
    <row r="28" spans="1:31" x14ac:dyDescent="0.3">
      <c r="A28" s="165" t="s">
        <v>3</v>
      </c>
      <c r="B28" s="139" t="s">
        <v>125</v>
      </c>
      <c r="C28" s="141">
        <v>367</v>
      </c>
      <c r="D28" s="141">
        <v>421</v>
      </c>
      <c r="E28" s="141">
        <v>400</v>
      </c>
      <c r="F28" s="141">
        <v>451</v>
      </c>
      <c r="G28" s="141">
        <v>519</v>
      </c>
      <c r="H28" s="141">
        <v>710</v>
      </c>
      <c r="I28" s="139"/>
      <c r="J28" s="139"/>
      <c r="K28" s="139"/>
      <c r="L28" s="165" t="s">
        <v>3</v>
      </c>
      <c r="M28" s="139" t="s">
        <v>125</v>
      </c>
      <c r="N28" s="141">
        <v>476</v>
      </c>
      <c r="O28" s="141">
        <v>574</v>
      </c>
      <c r="P28" s="141">
        <v>557</v>
      </c>
      <c r="Q28" s="141">
        <v>640</v>
      </c>
      <c r="R28" s="141">
        <v>785</v>
      </c>
      <c r="S28" s="141">
        <v>1139</v>
      </c>
      <c r="T28" s="139"/>
      <c r="U28" s="139"/>
      <c r="V28" s="139"/>
      <c r="W28" s="139"/>
      <c r="X28" s="165" t="s">
        <v>3</v>
      </c>
      <c r="Y28" s="139" t="s">
        <v>125</v>
      </c>
      <c r="Z28" s="141">
        <v>1375</v>
      </c>
      <c r="AA28" s="141">
        <v>1712</v>
      </c>
      <c r="AB28" s="141">
        <v>1648</v>
      </c>
      <c r="AC28" s="141">
        <v>1824</v>
      </c>
      <c r="AD28" s="141">
        <v>2088</v>
      </c>
      <c r="AE28" s="141">
        <v>2888</v>
      </c>
    </row>
    <row r="29" spans="1:31" x14ac:dyDescent="0.3">
      <c r="A29" s="165"/>
      <c r="B29" s="139" t="s">
        <v>126</v>
      </c>
      <c r="C29" s="141">
        <v>399</v>
      </c>
      <c r="D29" s="141">
        <v>429</v>
      </c>
      <c r="E29" s="141">
        <v>402</v>
      </c>
      <c r="F29" s="141">
        <v>449</v>
      </c>
      <c r="G29" s="141">
        <v>500</v>
      </c>
      <c r="H29" s="141">
        <v>728</v>
      </c>
      <c r="I29" s="139"/>
      <c r="J29" s="139"/>
      <c r="K29" s="139"/>
      <c r="L29" s="165"/>
      <c r="M29" s="139" t="s">
        <v>126</v>
      </c>
      <c r="N29" s="141">
        <v>499</v>
      </c>
      <c r="O29" s="141">
        <v>585</v>
      </c>
      <c r="P29" s="141">
        <v>558</v>
      </c>
      <c r="Q29" s="141">
        <v>638</v>
      </c>
      <c r="R29" s="141">
        <v>775</v>
      </c>
      <c r="S29" s="141">
        <v>1161</v>
      </c>
      <c r="T29" s="139"/>
      <c r="U29" s="139"/>
      <c r="V29" s="139"/>
      <c r="W29" s="139"/>
      <c r="X29" s="165"/>
      <c r="Y29" s="139" t="s">
        <v>126</v>
      </c>
      <c r="Z29" s="141">
        <v>1442</v>
      </c>
      <c r="AA29" s="141">
        <v>1741</v>
      </c>
      <c r="AB29" s="141">
        <v>1646</v>
      </c>
      <c r="AC29" s="141">
        <v>1839</v>
      </c>
      <c r="AD29" s="141">
        <v>2036</v>
      </c>
      <c r="AE29" s="141">
        <v>2957</v>
      </c>
    </row>
    <row r="30" spans="1:31" x14ac:dyDescent="0.3">
      <c r="A30" s="165"/>
      <c r="B30" s="139" t="s">
        <v>127</v>
      </c>
      <c r="C30" s="141">
        <v>387</v>
      </c>
      <c r="D30" s="141">
        <v>454</v>
      </c>
      <c r="E30" s="141">
        <v>419</v>
      </c>
      <c r="F30" s="141">
        <v>460</v>
      </c>
      <c r="G30" s="141">
        <v>546</v>
      </c>
      <c r="H30" s="141">
        <v>782</v>
      </c>
      <c r="I30" s="139"/>
      <c r="J30" s="139"/>
      <c r="K30" s="139"/>
      <c r="L30" s="165"/>
      <c r="M30" s="139" t="s">
        <v>127</v>
      </c>
      <c r="N30" s="141">
        <v>481</v>
      </c>
      <c r="O30" s="141">
        <v>619</v>
      </c>
      <c r="P30" s="141">
        <v>581</v>
      </c>
      <c r="Q30" s="141">
        <v>651</v>
      </c>
      <c r="R30" s="141">
        <v>829</v>
      </c>
      <c r="S30" s="141">
        <v>1239</v>
      </c>
      <c r="T30" s="139"/>
      <c r="U30" s="139"/>
      <c r="V30" s="139"/>
      <c r="W30" s="139"/>
      <c r="X30" s="165"/>
      <c r="Y30" s="139" t="s">
        <v>127</v>
      </c>
      <c r="Z30" s="141">
        <v>1397</v>
      </c>
      <c r="AA30" s="141">
        <v>1814</v>
      </c>
      <c r="AB30" s="141">
        <v>1797</v>
      </c>
      <c r="AC30" s="141">
        <v>1880</v>
      </c>
      <c r="AD30" s="141">
        <v>2182</v>
      </c>
      <c r="AE30" s="141">
        <v>3155</v>
      </c>
    </row>
    <row r="31" spans="1:31" x14ac:dyDescent="0.3">
      <c r="A31" s="165"/>
      <c r="B31" s="139" t="s">
        <v>128</v>
      </c>
      <c r="C31" s="141">
        <v>380</v>
      </c>
      <c r="D31" s="141">
        <v>449</v>
      </c>
      <c r="E31" s="141">
        <v>438</v>
      </c>
      <c r="F31" s="141">
        <v>487</v>
      </c>
      <c r="G31" s="141">
        <v>576</v>
      </c>
      <c r="H31" s="141">
        <v>844</v>
      </c>
      <c r="I31" s="139"/>
      <c r="J31" s="139"/>
      <c r="K31" s="139"/>
      <c r="L31" s="165"/>
      <c r="M31" s="139" t="s">
        <v>128</v>
      </c>
      <c r="N31" s="141">
        <v>480</v>
      </c>
      <c r="O31" s="141">
        <v>613</v>
      </c>
      <c r="P31" s="141">
        <v>594</v>
      </c>
      <c r="Q31" s="141">
        <v>684</v>
      </c>
      <c r="R31" s="141">
        <v>890</v>
      </c>
      <c r="S31" s="141">
        <v>1341</v>
      </c>
      <c r="T31" s="139"/>
      <c r="U31" s="139"/>
      <c r="V31" s="139"/>
      <c r="W31" s="139"/>
      <c r="X31" s="165"/>
      <c r="Y31" s="139" t="s">
        <v>128</v>
      </c>
      <c r="Z31" s="141">
        <v>1433</v>
      </c>
      <c r="AA31" s="141">
        <v>1787</v>
      </c>
      <c r="AB31" s="141">
        <v>1771</v>
      </c>
      <c r="AC31" s="141">
        <v>1951</v>
      </c>
      <c r="AD31" s="141">
        <v>2306</v>
      </c>
      <c r="AE31" s="141">
        <v>3380</v>
      </c>
    </row>
    <row r="32" spans="1:31" x14ac:dyDescent="0.3">
      <c r="A32" s="165"/>
      <c r="B32" s="139" t="s">
        <v>129</v>
      </c>
      <c r="C32" s="141">
        <v>395</v>
      </c>
      <c r="D32" s="141">
        <v>478</v>
      </c>
      <c r="E32" s="141">
        <v>466</v>
      </c>
      <c r="F32" s="141">
        <v>504</v>
      </c>
      <c r="G32" s="141">
        <v>627</v>
      </c>
      <c r="H32" s="141">
        <v>928</v>
      </c>
      <c r="I32" s="139"/>
      <c r="J32" s="139"/>
      <c r="K32" s="139"/>
      <c r="L32" s="165"/>
      <c r="M32" s="139" t="s">
        <v>129</v>
      </c>
      <c r="N32" s="141">
        <v>522</v>
      </c>
      <c r="O32" s="141">
        <v>637</v>
      </c>
      <c r="P32" s="141">
        <v>637</v>
      </c>
      <c r="Q32" s="141">
        <v>717</v>
      </c>
      <c r="R32" s="141">
        <v>959</v>
      </c>
      <c r="S32" s="141">
        <v>1496</v>
      </c>
      <c r="T32" s="139"/>
      <c r="U32" s="139"/>
      <c r="V32" s="139"/>
      <c r="W32" s="139"/>
      <c r="X32" s="165"/>
      <c r="Y32" s="139" t="s">
        <v>129</v>
      </c>
      <c r="Z32" s="141">
        <v>1512</v>
      </c>
      <c r="AA32" s="141">
        <v>1867</v>
      </c>
      <c r="AB32" s="141">
        <v>1873</v>
      </c>
      <c r="AC32" s="141">
        <v>2044</v>
      </c>
      <c r="AD32" s="141">
        <v>2493</v>
      </c>
      <c r="AE32" s="141">
        <v>3745</v>
      </c>
    </row>
    <row r="33" spans="1:31" x14ac:dyDescent="0.3">
      <c r="A33" s="165"/>
      <c r="B33" s="139" t="s">
        <v>130</v>
      </c>
      <c r="C33" s="141">
        <v>439</v>
      </c>
      <c r="D33" s="141">
        <v>495</v>
      </c>
      <c r="E33" s="141">
        <v>528</v>
      </c>
      <c r="F33" s="141">
        <v>620</v>
      </c>
      <c r="G33" s="141">
        <v>729</v>
      </c>
      <c r="H33" s="141">
        <v>1062</v>
      </c>
      <c r="I33" s="139"/>
      <c r="J33" s="139"/>
      <c r="K33" s="139"/>
      <c r="L33" s="165"/>
      <c r="M33" s="139" t="s">
        <v>130</v>
      </c>
      <c r="N33" s="141">
        <v>581</v>
      </c>
      <c r="O33" s="141">
        <v>664</v>
      </c>
      <c r="P33" s="141">
        <v>706</v>
      </c>
      <c r="Q33" s="141">
        <v>885</v>
      </c>
      <c r="R33" s="141">
        <v>1160</v>
      </c>
      <c r="S33" s="141">
        <v>1728</v>
      </c>
      <c r="T33" s="139"/>
      <c r="U33" s="139"/>
      <c r="V33" s="139"/>
      <c r="W33" s="139"/>
      <c r="X33" s="165"/>
      <c r="Y33" s="139" t="s">
        <v>130</v>
      </c>
      <c r="Z33" s="141">
        <v>1687</v>
      </c>
      <c r="AA33" s="141">
        <v>1971</v>
      </c>
      <c r="AB33" s="141">
        <v>2068</v>
      </c>
      <c r="AC33" s="141">
        <v>2456</v>
      </c>
      <c r="AD33" s="141">
        <v>2888</v>
      </c>
      <c r="AE33" s="141">
        <v>4291</v>
      </c>
    </row>
    <row r="34" spans="1:31" x14ac:dyDescent="0.3">
      <c r="A34" s="165"/>
      <c r="B34" s="139" t="s">
        <v>131</v>
      </c>
      <c r="C34" s="141">
        <v>481</v>
      </c>
      <c r="D34" s="141">
        <v>521</v>
      </c>
      <c r="E34" s="141">
        <v>548</v>
      </c>
      <c r="F34" s="141">
        <v>630</v>
      </c>
      <c r="G34" s="141">
        <v>825</v>
      </c>
      <c r="H34" s="141">
        <v>1195</v>
      </c>
      <c r="I34" s="139"/>
      <c r="J34" s="139"/>
      <c r="K34" s="139"/>
      <c r="L34" s="165"/>
      <c r="M34" s="139" t="s">
        <v>131</v>
      </c>
      <c r="N34" s="141">
        <v>632</v>
      </c>
      <c r="O34" s="141">
        <v>692</v>
      </c>
      <c r="P34" s="141">
        <v>729</v>
      </c>
      <c r="Q34" s="141">
        <v>916</v>
      </c>
      <c r="R34" s="141">
        <v>1307</v>
      </c>
      <c r="S34" s="141">
        <v>1988</v>
      </c>
      <c r="T34" s="139"/>
      <c r="U34" s="139"/>
      <c r="V34" s="139"/>
      <c r="W34" s="139"/>
      <c r="X34" s="165"/>
      <c r="Y34" s="139" t="s">
        <v>131</v>
      </c>
      <c r="Z34" s="141">
        <v>1864</v>
      </c>
      <c r="AA34" s="141">
        <v>2039</v>
      </c>
      <c r="AB34" s="141">
        <v>2116</v>
      </c>
      <c r="AC34" s="141">
        <v>2473</v>
      </c>
      <c r="AD34" s="141">
        <v>3253</v>
      </c>
      <c r="AE34" s="141">
        <v>4806</v>
      </c>
    </row>
    <row r="35" spans="1:31" x14ac:dyDescent="0.3">
      <c r="A35" s="165"/>
      <c r="B35" s="139" t="s">
        <v>132</v>
      </c>
      <c r="C35" s="141">
        <v>492</v>
      </c>
      <c r="D35" s="141">
        <v>532</v>
      </c>
      <c r="E35" s="141">
        <v>563</v>
      </c>
      <c r="F35" s="141">
        <v>633</v>
      </c>
      <c r="G35" s="141">
        <v>864</v>
      </c>
      <c r="H35" s="141">
        <v>1233</v>
      </c>
      <c r="I35" s="139"/>
      <c r="J35" s="139"/>
      <c r="K35" s="139"/>
      <c r="L35" s="165"/>
      <c r="M35" s="139" t="s">
        <v>132</v>
      </c>
      <c r="N35" s="141">
        <v>653</v>
      </c>
      <c r="O35" s="141">
        <v>707</v>
      </c>
      <c r="P35" s="141">
        <v>751</v>
      </c>
      <c r="Q35" s="141">
        <v>945</v>
      </c>
      <c r="R35" s="141">
        <v>1374</v>
      </c>
      <c r="S35" s="141">
        <v>2059</v>
      </c>
      <c r="T35" s="139"/>
      <c r="U35" s="139"/>
      <c r="V35" s="139"/>
      <c r="W35" s="139"/>
      <c r="X35" s="165"/>
      <c r="Y35" s="139" t="s">
        <v>132</v>
      </c>
      <c r="Z35" s="141">
        <v>1925</v>
      </c>
      <c r="AA35" s="141">
        <v>2077</v>
      </c>
      <c r="AB35" s="141">
        <v>2169</v>
      </c>
      <c r="AC35" s="141">
        <v>2484</v>
      </c>
      <c r="AD35" s="141">
        <v>3401</v>
      </c>
      <c r="AE35" s="141">
        <v>4962</v>
      </c>
    </row>
    <row r="36" spans="1:31" x14ac:dyDescent="0.3">
      <c r="A36" s="165"/>
      <c r="B36" s="139" t="s">
        <v>133</v>
      </c>
      <c r="C36" s="141">
        <v>492</v>
      </c>
      <c r="D36" s="141">
        <v>527</v>
      </c>
      <c r="E36" s="141">
        <v>539</v>
      </c>
      <c r="F36" s="141">
        <v>622</v>
      </c>
      <c r="G36" s="141">
        <v>849</v>
      </c>
      <c r="H36" s="141">
        <v>1224</v>
      </c>
      <c r="I36" s="139"/>
      <c r="J36" s="139"/>
      <c r="K36" s="139"/>
      <c r="L36" s="165"/>
      <c r="M36" s="139" t="s">
        <v>133</v>
      </c>
      <c r="N36" s="141">
        <v>643</v>
      </c>
      <c r="O36" s="141">
        <v>713</v>
      </c>
      <c r="P36" s="141">
        <v>730</v>
      </c>
      <c r="Q36" s="141">
        <v>927</v>
      </c>
      <c r="R36" s="141">
        <v>1364</v>
      </c>
      <c r="S36" s="141">
        <v>2051</v>
      </c>
      <c r="T36" s="139"/>
      <c r="U36" s="139"/>
      <c r="V36" s="139"/>
      <c r="W36" s="139"/>
      <c r="X36" s="165"/>
      <c r="Y36" s="139" t="s">
        <v>133</v>
      </c>
      <c r="Z36" s="141">
        <v>1919</v>
      </c>
      <c r="AA36" s="141">
        <v>2082</v>
      </c>
      <c r="AB36" s="141">
        <v>2086</v>
      </c>
      <c r="AC36" s="141">
        <v>2427</v>
      </c>
      <c r="AD36" s="141">
        <v>3353</v>
      </c>
      <c r="AE36" s="141">
        <v>4925</v>
      </c>
    </row>
    <row r="37" spans="1:31" x14ac:dyDescent="0.3">
      <c r="A37" s="165"/>
      <c r="B37" s="139" t="s">
        <v>134</v>
      </c>
      <c r="C37" s="141">
        <v>432</v>
      </c>
      <c r="D37" s="141">
        <v>464</v>
      </c>
      <c r="E37" s="141">
        <v>496</v>
      </c>
      <c r="F37" s="141">
        <v>581</v>
      </c>
      <c r="G37" s="141">
        <v>781</v>
      </c>
      <c r="H37" s="141">
        <v>1146</v>
      </c>
      <c r="I37" s="139"/>
      <c r="J37" s="139"/>
      <c r="K37" s="139"/>
      <c r="L37" s="165"/>
      <c r="M37" s="139" t="s">
        <v>134</v>
      </c>
      <c r="N37" s="141">
        <v>579</v>
      </c>
      <c r="O37" s="141">
        <v>651</v>
      </c>
      <c r="P37" s="141">
        <v>688</v>
      </c>
      <c r="Q37" s="141">
        <v>864</v>
      </c>
      <c r="R37" s="141">
        <v>1237</v>
      </c>
      <c r="S37" s="141">
        <v>1949</v>
      </c>
      <c r="T37" s="139"/>
      <c r="U37" s="139"/>
      <c r="V37" s="139"/>
      <c r="W37" s="139"/>
      <c r="X37" s="165"/>
      <c r="Y37" s="139" t="s">
        <v>134</v>
      </c>
      <c r="Z37" s="141">
        <v>1744</v>
      </c>
      <c r="AA37" s="141">
        <v>1875</v>
      </c>
      <c r="AB37" s="141">
        <v>1945</v>
      </c>
      <c r="AC37" s="141">
        <v>2290</v>
      </c>
      <c r="AD37" s="141">
        <v>3111</v>
      </c>
      <c r="AE37" s="141">
        <v>4656</v>
      </c>
    </row>
    <row r="38" spans="1:31" x14ac:dyDescent="0.3">
      <c r="A38" s="165"/>
      <c r="B38" s="139" t="s">
        <v>135</v>
      </c>
      <c r="C38" s="141">
        <v>389</v>
      </c>
      <c r="D38" s="141">
        <v>420</v>
      </c>
      <c r="E38" s="141">
        <v>454</v>
      </c>
      <c r="F38" s="141">
        <v>514</v>
      </c>
      <c r="G38" s="141">
        <v>700</v>
      </c>
      <c r="H38" s="141">
        <v>1062</v>
      </c>
      <c r="I38" s="139"/>
      <c r="J38" s="139"/>
      <c r="K38" s="139"/>
      <c r="L38" s="165"/>
      <c r="M38" s="139" t="s">
        <v>135</v>
      </c>
      <c r="N38" s="141">
        <v>528</v>
      </c>
      <c r="O38" s="141">
        <v>589</v>
      </c>
      <c r="P38" s="141">
        <v>635</v>
      </c>
      <c r="Q38" s="141">
        <v>780</v>
      </c>
      <c r="R38" s="141">
        <v>1105</v>
      </c>
      <c r="S38" s="141">
        <v>1826</v>
      </c>
      <c r="T38" s="139"/>
      <c r="U38" s="139"/>
      <c r="V38" s="139"/>
      <c r="W38" s="139"/>
      <c r="X38" s="165"/>
      <c r="Y38" s="139" t="s">
        <v>135</v>
      </c>
      <c r="Z38" s="141">
        <v>1583</v>
      </c>
      <c r="AA38" s="141">
        <v>1722</v>
      </c>
      <c r="AB38" s="141">
        <v>1811</v>
      </c>
      <c r="AC38" s="141">
        <v>2100</v>
      </c>
      <c r="AD38" s="141">
        <v>2817</v>
      </c>
      <c r="AE38" s="141">
        <v>4393</v>
      </c>
    </row>
    <row r="39" spans="1:31" x14ac:dyDescent="0.3">
      <c r="A39" s="165"/>
      <c r="B39" s="139" t="s">
        <v>136</v>
      </c>
      <c r="C39" s="141">
        <v>381</v>
      </c>
      <c r="D39" s="141">
        <v>394</v>
      </c>
      <c r="E39" s="141">
        <v>439</v>
      </c>
      <c r="F39" s="141">
        <v>515</v>
      </c>
      <c r="G39" s="141">
        <v>716</v>
      </c>
      <c r="H39" s="141">
        <v>1102</v>
      </c>
      <c r="I39" s="139"/>
      <c r="J39" s="139"/>
      <c r="K39" s="139"/>
      <c r="L39" s="165"/>
      <c r="M39" s="139" t="s">
        <v>136</v>
      </c>
      <c r="N39" s="141">
        <v>525</v>
      </c>
      <c r="O39" s="141">
        <v>560</v>
      </c>
      <c r="P39" s="141">
        <v>626</v>
      </c>
      <c r="Q39" s="141">
        <v>793</v>
      </c>
      <c r="R39" s="141">
        <v>1146</v>
      </c>
      <c r="S39" s="141">
        <v>1887</v>
      </c>
      <c r="T39" s="139"/>
      <c r="U39" s="139"/>
      <c r="V39" s="139"/>
      <c r="W39" s="139"/>
      <c r="X39" s="165"/>
      <c r="Y39" s="139" t="s">
        <v>136</v>
      </c>
      <c r="Z39" s="141">
        <v>1562</v>
      </c>
      <c r="AA39" s="141">
        <v>1632</v>
      </c>
      <c r="AB39" s="141">
        <v>1781</v>
      </c>
      <c r="AC39" s="141">
        <v>2114</v>
      </c>
      <c r="AD39" s="141">
        <v>2894</v>
      </c>
      <c r="AE39" s="141">
        <v>4559</v>
      </c>
    </row>
    <row r="40" spans="1:31" x14ac:dyDescent="0.3">
      <c r="A40" s="164" t="s">
        <v>5</v>
      </c>
      <c r="B40" s="142" t="s">
        <v>125</v>
      </c>
      <c r="C40" s="143">
        <v>88</v>
      </c>
      <c r="D40" s="143">
        <v>142</v>
      </c>
      <c r="E40" s="143">
        <v>130</v>
      </c>
      <c r="F40" s="143">
        <v>134</v>
      </c>
      <c r="G40" s="143">
        <v>174</v>
      </c>
      <c r="H40" s="143">
        <v>215</v>
      </c>
      <c r="I40" s="139"/>
      <c r="J40" s="139"/>
      <c r="K40" s="139"/>
      <c r="L40" s="164" t="s">
        <v>5</v>
      </c>
      <c r="M40" s="142" t="s">
        <v>125</v>
      </c>
      <c r="N40" s="143">
        <v>142</v>
      </c>
      <c r="O40" s="143">
        <v>240</v>
      </c>
      <c r="P40" s="143">
        <v>220</v>
      </c>
      <c r="Q40" s="143">
        <v>222</v>
      </c>
      <c r="R40" s="143">
        <v>280</v>
      </c>
      <c r="S40" s="143">
        <v>351</v>
      </c>
      <c r="T40" s="139"/>
      <c r="U40" s="139"/>
      <c r="V40" s="139"/>
      <c r="W40" s="139"/>
      <c r="X40" s="164" t="s">
        <v>5</v>
      </c>
      <c r="Y40" s="142" t="s">
        <v>125</v>
      </c>
      <c r="Z40" s="143">
        <v>380</v>
      </c>
      <c r="AA40" s="143">
        <v>645</v>
      </c>
      <c r="AB40" s="143">
        <v>577</v>
      </c>
      <c r="AC40" s="143">
        <v>609</v>
      </c>
      <c r="AD40" s="143">
        <v>748</v>
      </c>
      <c r="AE40" s="143">
        <v>905</v>
      </c>
    </row>
    <row r="41" spans="1:31" x14ac:dyDescent="0.3">
      <c r="A41" s="164"/>
      <c r="B41" s="142" t="s">
        <v>126</v>
      </c>
      <c r="C41" s="143">
        <v>91</v>
      </c>
      <c r="D41" s="143">
        <v>154</v>
      </c>
      <c r="E41" s="143">
        <v>127</v>
      </c>
      <c r="F41" s="143">
        <v>135</v>
      </c>
      <c r="G41" s="143">
        <v>193</v>
      </c>
      <c r="H41" s="143">
        <v>230</v>
      </c>
      <c r="I41" s="139"/>
      <c r="J41" s="139"/>
      <c r="K41" s="139"/>
      <c r="L41" s="164"/>
      <c r="M41" s="142" t="s">
        <v>126</v>
      </c>
      <c r="N41" s="143">
        <v>147</v>
      </c>
      <c r="O41" s="143">
        <v>254</v>
      </c>
      <c r="P41" s="143">
        <v>214</v>
      </c>
      <c r="Q41" s="143">
        <v>220</v>
      </c>
      <c r="R41" s="143">
        <v>320</v>
      </c>
      <c r="S41" s="143">
        <v>388</v>
      </c>
      <c r="T41" s="139"/>
      <c r="U41" s="139"/>
      <c r="V41" s="139"/>
      <c r="W41" s="139"/>
      <c r="X41" s="164"/>
      <c r="Y41" s="142" t="s">
        <v>126</v>
      </c>
      <c r="Z41" s="143">
        <v>407</v>
      </c>
      <c r="AA41" s="143">
        <v>688</v>
      </c>
      <c r="AB41" s="143">
        <v>577</v>
      </c>
      <c r="AC41" s="143">
        <v>613</v>
      </c>
      <c r="AD41" s="143">
        <v>844</v>
      </c>
      <c r="AE41" s="143">
        <v>988</v>
      </c>
    </row>
    <row r="42" spans="1:31" x14ac:dyDescent="0.3">
      <c r="A42" s="164"/>
      <c r="B42" s="142" t="s">
        <v>127</v>
      </c>
      <c r="C42" s="143">
        <v>96</v>
      </c>
      <c r="D42" s="143">
        <v>156</v>
      </c>
      <c r="E42" s="143">
        <v>131</v>
      </c>
      <c r="F42" s="143">
        <v>140</v>
      </c>
      <c r="G42" s="143">
        <v>190</v>
      </c>
      <c r="H42" s="143">
        <v>254</v>
      </c>
      <c r="I42" s="139"/>
      <c r="J42" s="139"/>
      <c r="K42" s="139"/>
      <c r="L42" s="164"/>
      <c r="M42" s="142" t="s">
        <v>127</v>
      </c>
      <c r="N42" s="143">
        <v>158</v>
      </c>
      <c r="O42" s="143">
        <v>259</v>
      </c>
      <c r="P42" s="143">
        <v>221</v>
      </c>
      <c r="Q42" s="143">
        <v>232</v>
      </c>
      <c r="R42" s="143">
        <v>318</v>
      </c>
      <c r="S42" s="143">
        <v>429</v>
      </c>
      <c r="T42" s="139"/>
      <c r="U42" s="139"/>
      <c r="V42" s="139"/>
      <c r="W42" s="139"/>
      <c r="X42" s="164"/>
      <c r="Y42" s="142" t="s">
        <v>127</v>
      </c>
      <c r="Z42" s="143">
        <v>434</v>
      </c>
      <c r="AA42" s="143">
        <v>695</v>
      </c>
      <c r="AB42" s="143">
        <v>591</v>
      </c>
      <c r="AC42" s="143">
        <v>650</v>
      </c>
      <c r="AD42" s="143">
        <v>829</v>
      </c>
      <c r="AE42" s="143">
        <v>1088</v>
      </c>
    </row>
    <row r="43" spans="1:31" x14ac:dyDescent="0.3">
      <c r="A43" s="164"/>
      <c r="B43" s="142" t="s">
        <v>128</v>
      </c>
      <c r="C43" s="143">
        <v>101</v>
      </c>
      <c r="D43" s="143">
        <v>149</v>
      </c>
      <c r="E43" s="143">
        <v>138</v>
      </c>
      <c r="F43" s="143">
        <v>144</v>
      </c>
      <c r="G43" s="143">
        <v>190</v>
      </c>
      <c r="H43" s="143">
        <v>261</v>
      </c>
      <c r="I43" s="139"/>
      <c r="J43" s="139"/>
      <c r="K43" s="139"/>
      <c r="L43" s="164"/>
      <c r="M43" s="142" t="s">
        <v>128</v>
      </c>
      <c r="N43" s="143">
        <v>166</v>
      </c>
      <c r="O43" s="143">
        <v>240</v>
      </c>
      <c r="P43" s="143">
        <v>230</v>
      </c>
      <c r="Q43" s="143">
        <v>232</v>
      </c>
      <c r="R43" s="143">
        <v>320</v>
      </c>
      <c r="S43" s="143">
        <v>444</v>
      </c>
      <c r="T43" s="139"/>
      <c r="U43" s="139"/>
      <c r="V43" s="139"/>
      <c r="W43" s="139"/>
      <c r="X43" s="164"/>
      <c r="Y43" s="142" t="s">
        <v>128</v>
      </c>
      <c r="Z43" s="143">
        <v>461</v>
      </c>
      <c r="AA43" s="143">
        <v>658</v>
      </c>
      <c r="AB43" s="143">
        <v>629</v>
      </c>
      <c r="AC43" s="143">
        <v>665</v>
      </c>
      <c r="AD43" s="143">
        <v>843</v>
      </c>
      <c r="AE43" s="143">
        <v>1135</v>
      </c>
    </row>
    <row r="44" spans="1:31" x14ac:dyDescent="0.3">
      <c r="A44" s="164"/>
      <c r="B44" s="142" t="s">
        <v>129</v>
      </c>
      <c r="C44" s="143">
        <v>104</v>
      </c>
      <c r="D44" s="143">
        <v>154</v>
      </c>
      <c r="E44" s="143">
        <v>139</v>
      </c>
      <c r="F44" s="143">
        <v>153</v>
      </c>
      <c r="G44" s="143">
        <v>198</v>
      </c>
      <c r="H44" s="143">
        <v>268</v>
      </c>
      <c r="I44" s="139"/>
      <c r="J44" s="139"/>
      <c r="K44" s="139"/>
      <c r="L44" s="164"/>
      <c r="M44" s="142" t="s">
        <v>129</v>
      </c>
      <c r="N44" s="143">
        <v>175</v>
      </c>
      <c r="O44" s="143">
        <v>253</v>
      </c>
      <c r="P44" s="143">
        <v>233</v>
      </c>
      <c r="Q44" s="143">
        <v>245</v>
      </c>
      <c r="R44" s="143">
        <v>340</v>
      </c>
      <c r="S44" s="143">
        <v>453</v>
      </c>
      <c r="T44" s="139"/>
      <c r="U44" s="139"/>
      <c r="V44" s="139"/>
      <c r="W44" s="139"/>
      <c r="X44" s="164"/>
      <c r="Y44" s="142" t="s">
        <v>129</v>
      </c>
      <c r="Z44" s="143">
        <v>490</v>
      </c>
      <c r="AA44" s="143">
        <v>682</v>
      </c>
      <c r="AB44" s="143">
        <v>638</v>
      </c>
      <c r="AC44" s="143">
        <v>691</v>
      </c>
      <c r="AD44" s="143">
        <v>871</v>
      </c>
      <c r="AE44" s="143">
        <v>1161</v>
      </c>
    </row>
    <row r="45" spans="1:31" x14ac:dyDescent="0.3">
      <c r="A45" s="164"/>
      <c r="B45" s="142" t="s">
        <v>130</v>
      </c>
      <c r="C45" s="143">
        <v>118</v>
      </c>
      <c r="D45" s="143">
        <v>145</v>
      </c>
      <c r="E45" s="143">
        <v>151</v>
      </c>
      <c r="F45" s="143">
        <v>174</v>
      </c>
      <c r="G45" s="143">
        <v>218</v>
      </c>
      <c r="H45" s="143">
        <v>278</v>
      </c>
      <c r="I45" s="139"/>
      <c r="J45" s="139"/>
      <c r="K45" s="139"/>
      <c r="L45" s="164"/>
      <c r="M45" s="142" t="s">
        <v>130</v>
      </c>
      <c r="N45" s="143">
        <v>202</v>
      </c>
      <c r="O45" s="143">
        <v>247</v>
      </c>
      <c r="P45" s="143">
        <v>249</v>
      </c>
      <c r="Q45" s="143">
        <v>295</v>
      </c>
      <c r="R45" s="143">
        <v>371</v>
      </c>
      <c r="S45" s="143">
        <v>491</v>
      </c>
      <c r="T45" s="139"/>
      <c r="U45" s="139"/>
      <c r="V45" s="139"/>
      <c r="W45" s="139"/>
      <c r="X45" s="164"/>
      <c r="Y45" s="142" t="s">
        <v>130</v>
      </c>
      <c r="Z45" s="143">
        <v>572</v>
      </c>
      <c r="AA45" s="143">
        <v>664</v>
      </c>
      <c r="AB45" s="143">
        <v>677</v>
      </c>
      <c r="AC45" s="143">
        <v>808</v>
      </c>
      <c r="AD45" s="143">
        <v>943</v>
      </c>
      <c r="AE45" s="143">
        <v>1233</v>
      </c>
    </row>
    <row r="46" spans="1:31" x14ac:dyDescent="0.3">
      <c r="A46" s="164"/>
      <c r="B46" s="142" t="s">
        <v>131</v>
      </c>
      <c r="C46" s="143">
        <v>126</v>
      </c>
      <c r="D46" s="143">
        <v>148</v>
      </c>
      <c r="E46" s="143">
        <v>146</v>
      </c>
      <c r="F46" s="143">
        <v>172</v>
      </c>
      <c r="G46" s="143">
        <v>220</v>
      </c>
      <c r="H46" s="143">
        <v>320</v>
      </c>
      <c r="I46" s="139"/>
      <c r="J46" s="139"/>
      <c r="K46" s="139"/>
      <c r="L46" s="164"/>
      <c r="M46" s="142" t="s">
        <v>131</v>
      </c>
      <c r="N46" s="143">
        <v>215</v>
      </c>
      <c r="O46" s="143">
        <v>243</v>
      </c>
      <c r="P46" s="143">
        <v>237</v>
      </c>
      <c r="Q46" s="143">
        <v>295</v>
      </c>
      <c r="R46" s="143">
        <v>366</v>
      </c>
      <c r="S46" s="143">
        <v>578</v>
      </c>
      <c r="T46" s="139"/>
      <c r="U46" s="139"/>
      <c r="V46" s="139"/>
      <c r="W46" s="139"/>
      <c r="X46" s="164"/>
      <c r="Y46" s="142" t="s">
        <v>131</v>
      </c>
      <c r="Z46" s="143">
        <v>589</v>
      </c>
      <c r="AA46" s="143">
        <v>672</v>
      </c>
      <c r="AB46" s="143">
        <v>656</v>
      </c>
      <c r="AC46" s="143">
        <v>788</v>
      </c>
      <c r="AD46" s="143">
        <v>956</v>
      </c>
      <c r="AE46" s="143">
        <v>1444</v>
      </c>
    </row>
    <row r="47" spans="1:31" x14ac:dyDescent="0.3">
      <c r="A47" s="164"/>
      <c r="B47" s="142" t="s">
        <v>132</v>
      </c>
      <c r="C47" s="143">
        <v>138</v>
      </c>
      <c r="D47" s="143">
        <v>151</v>
      </c>
      <c r="E47" s="143">
        <v>146</v>
      </c>
      <c r="F47" s="143">
        <v>174</v>
      </c>
      <c r="G47" s="143">
        <v>223</v>
      </c>
      <c r="H47" s="143">
        <v>331</v>
      </c>
      <c r="I47" s="139"/>
      <c r="J47" s="139"/>
      <c r="K47" s="139"/>
      <c r="L47" s="164"/>
      <c r="M47" s="142" t="s">
        <v>132</v>
      </c>
      <c r="N47" s="143">
        <v>243</v>
      </c>
      <c r="O47" s="143">
        <v>251</v>
      </c>
      <c r="P47" s="143">
        <v>239</v>
      </c>
      <c r="Q47" s="143">
        <v>311</v>
      </c>
      <c r="R47" s="143">
        <v>375</v>
      </c>
      <c r="S47" s="143">
        <v>582</v>
      </c>
      <c r="T47" s="139"/>
      <c r="U47" s="139"/>
      <c r="V47" s="139"/>
      <c r="W47" s="139"/>
      <c r="X47" s="164"/>
      <c r="Y47" s="142" t="s">
        <v>132</v>
      </c>
      <c r="Z47" s="143">
        <v>645</v>
      </c>
      <c r="AA47" s="143">
        <v>687</v>
      </c>
      <c r="AB47" s="143">
        <v>653</v>
      </c>
      <c r="AC47" s="143">
        <v>793</v>
      </c>
      <c r="AD47" s="143">
        <v>958</v>
      </c>
      <c r="AE47" s="143">
        <v>1476</v>
      </c>
    </row>
    <row r="48" spans="1:31" x14ac:dyDescent="0.3">
      <c r="A48" s="164"/>
      <c r="B48" s="142" t="s">
        <v>133</v>
      </c>
      <c r="C48" s="143">
        <v>141</v>
      </c>
      <c r="D48" s="143">
        <v>156</v>
      </c>
      <c r="E48" s="143">
        <v>138</v>
      </c>
      <c r="F48" s="143">
        <v>176</v>
      </c>
      <c r="G48" s="143">
        <v>223</v>
      </c>
      <c r="H48" s="143">
        <v>331</v>
      </c>
      <c r="I48" s="139"/>
      <c r="J48" s="139"/>
      <c r="K48" s="139"/>
      <c r="L48" s="164"/>
      <c r="M48" s="142" t="s">
        <v>133</v>
      </c>
      <c r="N48" s="143">
        <v>253</v>
      </c>
      <c r="O48" s="143">
        <v>257</v>
      </c>
      <c r="P48" s="143">
        <v>225</v>
      </c>
      <c r="Q48" s="143">
        <v>308</v>
      </c>
      <c r="R48" s="143">
        <v>370</v>
      </c>
      <c r="S48" s="143">
        <v>593</v>
      </c>
      <c r="T48" s="139"/>
      <c r="U48" s="139"/>
      <c r="V48" s="139"/>
      <c r="W48" s="139"/>
      <c r="X48" s="164"/>
      <c r="Y48" s="142" t="s">
        <v>133</v>
      </c>
      <c r="Z48" s="143">
        <v>656</v>
      </c>
      <c r="AA48" s="143">
        <v>705</v>
      </c>
      <c r="AB48" s="143">
        <v>627</v>
      </c>
      <c r="AC48" s="143">
        <v>787</v>
      </c>
      <c r="AD48" s="143">
        <v>955</v>
      </c>
      <c r="AE48" s="143">
        <v>1493</v>
      </c>
    </row>
    <row r="49" spans="1:31" x14ac:dyDescent="0.3">
      <c r="A49" s="164"/>
      <c r="B49" s="142" t="s">
        <v>134</v>
      </c>
      <c r="C49" s="143">
        <v>144</v>
      </c>
      <c r="D49" s="143">
        <v>147</v>
      </c>
      <c r="E49" s="143">
        <v>132</v>
      </c>
      <c r="F49" s="143">
        <v>175</v>
      </c>
      <c r="G49" s="143">
        <v>210</v>
      </c>
      <c r="H49" s="143">
        <v>333</v>
      </c>
      <c r="I49" s="139"/>
      <c r="J49" s="139"/>
      <c r="K49" s="139"/>
      <c r="L49" s="164"/>
      <c r="M49" s="142" t="s">
        <v>134</v>
      </c>
      <c r="N49" s="143">
        <v>252</v>
      </c>
      <c r="O49" s="143">
        <v>244</v>
      </c>
      <c r="P49" s="143">
        <v>220</v>
      </c>
      <c r="Q49" s="143">
        <v>288</v>
      </c>
      <c r="R49" s="143">
        <v>353</v>
      </c>
      <c r="S49" s="143">
        <v>588</v>
      </c>
      <c r="T49" s="139"/>
      <c r="U49" s="139"/>
      <c r="V49" s="139"/>
      <c r="W49" s="139"/>
      <c r="X49" s="164"/>
      <c r="Y49" s="142" t="s">
        <v>134</v>
      </c>
      <c r="Z49" s="143">
        <v>663</v>
      </c>
      <c r="AA49" s="143">
        <v>664</v>
      </c>
      <c r="AB49" s="143">
        <v>606</v>
      </c>
      <c r="AC49" s="143">
        <v>757</v>
      </c>
      <c r="AD49" s="143">
        <v>922</v>
      </c>
      <c r="AE49" s="143">
        <v>1480</v>
      </c>
    </row>
    <row r="50" spans="1:31" x14ac:dyDescent="0.3">
      <c r="A50" s="164"/>
      <c r="B50" s="142" t="s">
        <v>135</v>
      </c>
      <c r="C50" s="143">
        <v>137</v>
      </c>
      <c r="D50" s="143">
        <v>131</v>
      </c>
      <c r="E50" s="143">
        <v>126</v>
      </c>
      <c r="F50" s="143">
        <v>166</v>
      </c>
      <c r="G50" s="143">
        <v>199</v>
      </c>
      <c r="H50" s="143">
        <v>331</v>
      </c>
      <c r="I50" s="139"/>
      <c r="J50" s="139"/>
      <c r="K50" s="139"/>
      <c r="L50" s="164"/>
      <c r="M50" s="142" t="s">
        <v>135</v>
      </c>
      <c r="N50" s="143">
        <v>238</v>
      </c>
      <c r="O50" s="143">
        <v>222</v>
      </c>
      <c r="P50" s="143">
        <v>209</v>
      </c>
      <c r="Q50" s="143">
        <v>268</v>
      </c>
      <c r="R50" s="143">
        <v>325</v>
      </c>
      <c r="S50" s="143">
        <v>572</v>
      </c>
      <c r="T50" s="139"/>
      <c r="U50" s="139"/>
      <c r="V50" s="139"/>
      <c r="W50" s="139"/>
      <c r="X50" s="164"/>
      <c r="Y50" s="142" t="s">
        <v>135</v>
      </c>
      <c r="Z50" s="143">
        <v>633</v>
      </c>
      <c r="AA50" s="143">
        <v>591</v>
      </c>
      <c r="AB50" s="143">
        <v>588</v>
      </c>
      <c r="AC50" s="143">
        <v>722</v>
      </c>
      <c r="AD50" s="143">
        <v>856</v>
      </c>
      <c r="AE50" s="143">
        <v>1448</v>
      </c>
    </row>
    <row r="51" spans="1:31" x14ac:dyDescent="0.3">
      <c r="A51" s="164"/>
      <c r="B51" s="142" t="s">
        <v>136</v>
      </c>
      <c r="C51" s="143">
        <v>141</v>
      </c>
      <c r="D51" s="143">
        <v>126</v>
      </c>
      <c r="E51" s="143">
        <v>129</v>
      </c>
      <c r="F51" s="143">
        <v>173</v>
      </c>
      <c r="G51" s="143">
        <v>202</v>
      </c>
      <c r="H51" s="143">
        <v>323</v>
      </c>
      <c r="I51" s="139"/>
      <c r="J51" s="139"/>
      <c r="K51" s="139"/>
      <c r="L51" s="164"/>
      <c r="M51" s="142" t="s">
        <v>136</v>
      </c>
      <c r="N51" s="143">
        <v>240</v>
      </c>
      <c r="O51" s="143">
        <v>215</v>
      </c>
      <c r="P51" s="143">
        <v>216</v>
      </c>
      <c r="Q51" s="143">
        <v>269</v>
      </c>
      <c r="R51" s="143">
        <v>332</v>
      </c>
      <c r="S51" s="143">
        <v>556</v>
      </c>
      <c r="T51" s="139"/>
      <c r="U51" s="139"/>
      <c r="V51" s="139"/>
      <c r="W51" s="139"/>
      <c r="X51" s="164"/>
      <c r="Y51" s="142" t="s">
        <v>136</v>
      </c>
      <c r="Z51" s="143">
        <v>635</v>
      </c>
      <c r="AA51" s="143">
        <v>561</v>
      </c>
      <c r="AB51" s="143">
        <v>587</v>
      </c>
      <c r="AC51" s="143">
        <v>739</v>
      </c>
      <c r="AD51" s="143">
        <v>866</v>
      </c>
      <c r="AE51" s="143">
        <v>1407</v>
      </c>
    </row>
    <row r="52" spans="1:31" x14ac:dyDescent="0.3">
      <c r="A52" s="165" t="s">
        <v>6</v>
      </c>
      <c r="B52" s="139" t="s">
        <v>125</v>
      </c>
      <c r="C52" s="141">
        <v>103</v>
      </c>
      <c r="D52" s="141">
        <v>128</v>
      </c>
      <c r="E52" s="141">
        <v>133</v>
      </c>
      <c r="F52" s="141">
        <v>135</v>
      </c>
      <c r="G52" s="141">
        <v>153</v>
      </c>
      <c r="H52" s="141">
        <v>173</v>
      </c>
      <c r="I52" s="139"/>
      <c r="J52" s="139"/>
      <c r="K52" s="139"/>
      <c r="L52" s="165" t="s">
        <v>6</v>
      </c>
      <c r="M52" s="139" t="s">
        <v>125</v>
      </c>
      <c r="N52" s="141">
        <v>171</v>
      </c>
      <c r="O52" s="141">
        <v>200</v>
      </c>
      <c r="P52" s="141">
        <v>199</v>
      </c>
      <c r="Q52" s="141">
        <v>204</v>
      </c>
      <c r="R52" s="141">
        <v>252</v>
      </c>
      <c r="S52" s="141">
        <v>291</v>
      </c>
      <c r="T52" s="139"/>
      <c r="U52" s="139"/>
      <c r="V52" s="139"/>
      <c r="W52" s="139"/>
      <c r="X52" s="165" t="s">
        <v>6</v>
      </c>
      <c r="Y52" s="139" t="s">
        <v>125</v>
      </c>
      <c r="Z52" s="141">
        <v>449</v>
      </c>
      <c r="AA52" s="141">
        <v>560</v>
      </c>
      <c r="AB52" s="141">
        <v>530</v>
      </c>
      <c r="AC52" s="141">
        <v>562</v>
      </c>
      <c r="AD52" s="141">
        <v>650</v>
      </c>
      <c r="AE52" s="141">
        <v>710</v>
      </c>
    </row>
    <row r="53" spans="1:31" x14ac:dyDescent="0.3">
      <c r="A53" s="165"/>
      <c r="B53" s="139" t="s">
        <v>126</v>
      </c>
      <c r="C53" s="141">
        <v>104</v>
      </c>
      <c r="D53" s="141">
        <v>125</v>
      </c>
      <c r="E53" s="141">
        <v>131</v>
      </c>
      <c r="F53" s="141">
        <v>133</v>
      </c>
      <c r="G53" s="141">
        <v>158</v>
      </c>
      <c r="H53" s="141">
        <v>182</v>
      </c>
      <c r="I53" s="139"/>
      <c r="J53" s="139"/>
      <c r="K53" s="139"/>
      <c r="L53" s="165"/>
      <c r="M53" s="139" t="s">
        <v>126</v>
      </c>
      <c r="N53" s="141">
        <v>163</v>
      </c>
      <c r="O53" s="141">
        <v>195</v>
      </c>
      <c r="P53" s="141">
        <v>194</v>
      </c>
      <c r="Q53" s="141">
        <v>202</v>
      </c>
      <c r="R53" s="141">
        <v>263</v>
      </c>
      <c r="S53" s="141">
        <v>310</v>
      </c>
      <c r="T53" s="139"/>
      <c r="U53" s="139"/>
      <c r="V53" s="139"/>
      <c r="W53" s="139"/>
      <c r="X53" s="165"/>
      <c r="Y53" s="139" t="s">
        <v>126</v>
      </c>
      <c r="Z53" s="141">
        <v>458</v>
      </c>
      <c r="AA53" s="141">
        <v>557</v>
      </c>
      <c r="AB53" s="141">
        <v>523</v>
      </c>
      <c r="AC53" s="141">
        <v>558</v>
      </c>
      <c r="AD53" s="141">
        <v>669</v>
      </c>
      <c r="AE53" s="141">
        <v>736</v>
      </c>
    </row>
    <row r="54" spans="1:31" x14ac:dyDescent="0.3">
      <c r="A54" s="165"/>
      <c r="B54" s="139" t="s">
        <v>127</v>
      </c>
      <c r="C54" s="141">
        <v>95</v>
      </c>
      <c r="D54" s="141">
        <v>128</v>
      </c>
      <c r="E54" s="141">
        <v>130</v>
      </c>
      <c r="F54" s="141">
        <v>143</v>
      </c>
      <c r="G54" s="141">
        <v>162</v>
      </c>
      <c r="H54" s="141">
        <v>186</v>
      </c>
      <c r="I54" s="139"/>
      <c r="J54" s="139"/>
      <c r="K54" s="139"/>
      <c r="L54" s="165"/>
      <c r="M54" s="139" t="s">
        <v>127</v>
      </c>
      <c r="N54" s="141">
        <v>148</v>
      </c>
      <c r="O54" s="141">
        <v>198</v>
      </c>
      <c r="P54" s="141">
        <v>192</v>
      </c>
      <c r="Q54" s="141">
        <v>218</v>
      </c>
      <c r="R54" s="141">
        <v>271</v>
      </c>
      <c r="S54" s="141">
        <v>319</v>
      </c>
      <c r="T54" s="139"/>
      <c r="U54" s="139"/>
      <c r="V54" s="139"/>
      <c r="W54" s="139"/>
      <c r="X54" s="165"/>
      <c r="Y54" s="139" t="s">
        <v>127</v>
      </c>
      <c r="Z54" s="141">
        <v>414</v>
      </c>
      <c r="AA54" s="141">
        <v>562</v>
      </c>
      <c r="AB54" s="141">
        <v>520</v>
      </c>
      <c r="AC54" s="141">
        <v>600</v>
      </c>
      <c r="AD54" s="141">
        <v>692</v>
      </c>
      <c r="AE54" s="141">
        <v>753</v>
      </c>
    </row>
    <row r="55" spans="1:31" x14ac:dyDescent="0.3">
      <c r="A55" s="165"/>
      <c r="B55" s="139" t="s">
        <v>128</v>
      </c>
      <c r="C55" s="141">
        <v>92</v>
      </c>
      <c r="D55" s="141">
        <v>120</v>
      </c>
      <c r="E55" s="141">
        <v>136</v>
      </c>
      <c r="F55" s="141">
        <v>149</v>
      </c>
      <c r="G55" s="141">
        <v>165</v>
      </c>
      <c r="H55" s="141">
        <v>194</v>
      </c>
      <c r="I55" s="139"/>
      <c r="J55" s="139"/>
      <c r="K55" s="139"/>
      <c r="L55" s="165"/>
      <c r="M55" s="139" t="s">
        <v>128</v>
      </c>
      <c r="N55" s="141">
        <v>150</v>
      </c>
      <c r="O55" s="141">
        <v>193</v>
      </c>
      <c r="P55" s="141">
        <v>198</v>
      </c>
      <c r="Q55" s="141">
        <v>236</v>
      </c>
      <c r="R55" s="141">
        <v>272</v>
      </c>
      <c r="S55" s="141">
        <v>330</v>
      </c>
      <c r="T55" s="139"/>
      <c r="U55" s="139"/>
      <c r="V55" s="139"/>
      <c r="W55" s="139"/>
      <c r="X55" s="165"/>
      <c r="Y55" s="139" t="s">
        <v>128</v>
      </c>
      <c r="Z55" s="141">
        <v>402</v>
      </c>
      <c r="AA55" s="141">
        <v>529</v>
      </c>
      <c r="AB55" s="141">
        <v>546</v>
      </c>
      <c r="AC55" s="141">
        <v>635</v>
      </c>
      <c r="AD55" s="141">
        <v>689</v>
      </c>
      <c r="AE55" s="141">
        <v>790</v>
      </c>
    </row>
    <row r="56" spans="1:31" x14ac:dyDescent="0.3">
      <c r="A56" s="165"/>
      <c r="B56" s="139" t="s">
        <v>129</v>
      </c>
      <c r="C56" s="141">
        <v>102</v>
      </c>
      <c r="D56" s="141">
        <v>119</v>
      </c>
      <c r="E56" s="141">
        <v>148</v>
      </c>
      <c r="F56" s="141">
        <v>152</v>
      </c>
      <c r="G56" s="141">
        <v>171</v>
      </c>
      <c r="H56" s="141">
        <v>201</v>
      </c>
      <c r="I56" s="139"/>
      <c r="J56" s="139"/>
      <c r="K56" s="139"/>
      <c r="L56" s="165"/>
      <c r="M56" s="139" t="s">
        <v>129</v>
      </c>
      <c r="N56" s="141">
        <v>162</v>
      </c>
      <c r="O56" s="141">
        <v>191</v>
      </c>
      <c r="P56" s="141">
        <v>213</v>
      </c>
      <c r="Q56" s="141">
        <v>243</v>
      </c>
      <c r="R56" s="141">
        <v>287</v>
      </c>
      <c r="S56" s="141">
        <v>341</v>
      </c>
      <c r="T56" s="139"/>
      <c r="U56" s="139"/>
      <c r="V56" s="139"/>
      <c r="W56" s="139"/>
      <c r="X56" s="165"/>
      <c r="Y56" s="139" t="s">
        <v>129</v>
      </c>
      <c r="Z56" s="141">
        <v>439</v>
      </c>
      <c r="AA56" s="141">
        <v>530</v>
      </c>
      <c r="AB56" s="141">
        <v>586</v>
      </c>
      <c r="AC56" s="141">
        <v>652</v>
      </c>
      <c r="AD56" s="141">
        <v>721</v>
      </c>
      <c r="AE56" s="141">
        <v>820</v>
      </c>
    </row>
    <row r="57" spans="1:31" x14ac:dyDescent="0.3">
      <c r="A57" s="165"/>
      <c r="B57" s="139" t="s">
        <v>130</v>
      </c>
      <c r="C57" s="141">
        <v>108</v>
      </c>
      <c r="D57" s="141">
        <v>133</v>
      </c>
      <c r="E57" s="141">
        <v>155</v>
      </c>
      <c r="F57" s="141">
        <v>162</v>
      </c>
      <c r="G57" s="141">
        <v>182</v>
      </c>
      <c r="H57" s="141">
        <v>210</v>
      </c>
      <c r="I57" s="139"/>
      <c r="J57" s="139"/>
      <c r="K57" s="139"/>
      <c r="L57" s="165"/>
      <c r="M57" s="139" t="s">
        <v>130</v>
      </c>
      <c r="N57" s="141">
        <v>174</v>
      </c>
      <c r="O57" s="141">
        <v>207</v>
      </c>
      <c r="P57" s="141">
        <v>226</v>
      </c>
      <c r="Q57" s="141">
        <v>250</v>
      </c>
      <c r="R57" s="141">
        <v>312</v>
      </c>
      <c r="S57" s="141">
        <v>350</v>
      </c>
      <c r="T57" s="139"/>
      <c r="U57" s="139"/>
      <c r="V57" s="139"/>
      <c r="W57" s="139"/>
      <c r="X57" s="165"/>
      <c r="Y57" s="139" t="s">
        <v>130</v>
      </c>
      <c r="Z57" s="141">
        <v>486</v>
      </c>
      <c r="AA57" s="141">
        <v>567</v>
      </c>
      <c r="AB57" s="141">
        <v>623</v>
      </c>
      <c r="AC57" s="141">
        <v>679</v>
      </c>
      <c r="AD57" s="141">
        <v>778</v>
      </c>
      <c r="AE57" s="141">
        <v>848</v>
      </c>
    </row>
    <row r="58" spans="1:31" x14ac:dyDescent="0.3">
      <c r="A58" s="165"/>
      <c r="B58" s="139" t="s">
        <v>131</v>
      </c>
      <c r="C58" s="141">
        <v>117</v>
      </c>
      <c r="D58" s="141">
        <v>139</v>
      </c>
      <c r="E58" s="141">
        <v>153</v>
      </c>
      <c r="F58" s="141">
        <v>171</v>
      </c>
      <c r="G58" s="141">
        <v>184</v>
      </c>
      <c r="H58" s="141">
        <v>231</v>
      </c>
      <c r="I58" s="139"/>
      <c r="J58" s="139"/>
      <c r="K58" s="139"/>
      <c r="L58" s="165"/>
      <c r="M58" s="139" t="s">
        <v>131</v>
      </c>
      <c r="N58" s="141">
        <v>176</v>
      </c>
      <c r="O58" s="141">
        <v>214</v>
      </c>
      <c r="P58" s="141">
        <v>226</v>
      </c>
      <c r="Q58" s="141">
        <v>267</v>
      </c>
      <c r="R58" s="141">
        <v>312</v>
      </c>
      <c r="S58" s="141">
        <v>388</v>
      </c>
      <c r="T58" s="139"/>
      <c r="U58" s="139"/>
      <c r="V58" s="139"/>
      <c r="W58" s="139"/>
      <c r="X58" s="165"/>
      <c r="Y58" s="139" t="s">
        <v>131</v>
      </c>
      <c r="Z58" s="141">
        <v>510</v>
      </c>
      <c r="AA58" s="141">
        <v>573</v>
      </c>
      <c r="AB58" s="141">
        <v>624</v>
      </c>
      <c r="AC58" s="141">
        <v>704</v>
      </c>
      <c r="AD58" s="141">
        <v>783</v>
      </c>
      <c r="AE58" s="141">
        <v>935</v>
      </c>
    </row>
    <row r="59" spans="1:31" x14ac:dyDescent="0.3">
      <c r="A59" s="165"/>
      <c r="B59" s="139" t="s">
        <v>132</v>
      </c>
      <c r="C59" s="141">
        <v>122</v>
      </c>
      <c r="D59" s="141">
        <v>146</v>
      </c>
      <c r="E59" s="141">
        <v>149</v>
      </c>
      <c r="F59" s="141">
        <v>170</v>
      </c>
      <c r="G59" s="141">
        <v>179</v>
      </c>
      <c r="H59" s="141">
        <v>242</v>
      </c>
      <c r="I59" s="139"/>
      <c r="J59" s="139"/>
      <c r="K59" s="139"/>
      <c r="L59" s="165"/>
      <c r="M59" s="139" t="s">
        <v>132</v>
      </c>
      <c r="N59" s="141">
        <v>185</v>
      </c>
      <c r="O59" s="141">
        <v>222</v>
      </c>
      <c r="P59" s="141">
        <v>220</v>
      </c>
      <c r="Q59" s="141">
        <v>273</v>
      </c>
      <c r="R59" s="141">
        <v>316</v>
      </c>
      <c r="S59" s="141">
        <v>406</v>
      </c>
      <c r="T59" s="139"/>
      <c r="U59" s="139"/>
      <c r="V59" s="139"/>
      <c r="W59" s="139"/>
      <c r="X59" s="165"/>
      <c r="Y59" s="139" t="s">
        <v>132</v>
      </c>
      <c r="Z59" s="141">
        <v>531</v>
      </c>
      <c r="AA59" s="141">
        <v>597</v>
      </c>
      <c r="AB59" s="141">
        <v>616</v>
      </c>
      <c r="AC59" s="141">
        <v>708</v>
      </c>
      <c r="AD59" s="141">
        <v>776</v>
      </c>
      <c r="AE59" s="141">
        <v>975</v>
      </c>
    </row>
    <row r="60" spans="1:31" x14ac:dyDescent="0.3">
      <c r="A60" s="165"/>
      <c r="B60" s="139" t="s">
        <v>133</v>
      </c>
      <c r="C60" s="141">
        <v>128</v>
      </c>
      <c r="D60" s="141">
        <v>153</v>
      </c>
      <c r="E60" s="141">
        <v>151</v>
      </c>
      <c r="F60" s="141">
        <v>169</v>
      </c>
      <c r="G60" s="141">
        <v>182</v>
      </c>
      <c r="H60" s="141">
        <v>235</v>
      </c>
      <c r="I60" s="139"/>
      <c r="J60" s="139"/>
      <c r="K60" s="139"/>
      <c r="L60" s="165"/>
      <c r="M60" s="139" t="s">
        <v>133</v>
      </c>
      <c r="N60" s="141">
        <v>196</v>
      </c>
      <c r="O60" s="141">
        <v>229</v>
      </c>
      <c r="P60" s="141">
        <v>218</v>
      </c>
      <c r="Q60" s="141">
        <v>276</v>
      </c>
      <c r="R60" s="141">
        <v>321</v>
      </c>
      <c r="S60" s="141">
        <v>391</v>
      </c>
      <c r="T60" s="139"/>
      <c r="U60" s="139"/>
      <c r="V60" s="139"/>
      <c r="W60" s="139"/>
      <c r="X60" s="165"/>
      <c r="Y60" s="139" t="s">
        <v>133</v>
      </c>
      <c r="Z60" s="141">
        <v>551</v>
      </c>
      <c r="AA60" s="141">
        <v>619</v>
      </c>
      <c r="AB60" s="141">
        <v>617</v>
      </c>
      <c r="AC60" s="141">
        <v>714</v>
      </c>
      <c r="AD60" s="141">
        <v>789</v>
      </c>
      <c r="AE60" s="141">
        <v>949</v>
      </c>
    </row>
    <row r="61" spans="1:31" x14ac:dyDescent="0.3">
      <c r="A61" s="165"/>
      <c r="B61" s="139" t="s">
        <v>134</v>
      </c>
      <c r="C61" s="141">
        <v>127</v>
      </c>
      <c r="D61" s="141">
        <v>140</v>
      </c>
      <c r="E61" s="141">
        <v>147</v>
      </c>
      <c r="F61" s="141">
        <v>156</v>
      </c>
      <c r="G61" s="141">
        <v>181</v>
      </c>
      <c r="H61" s="141">
        <v>227</v>
      </c>
      <c r="I61" s="139"/>
      <c r="J61" s="139"/>
      <c r="K61" s="139"/>
      <c r="L61" s="165"/>
      <c r="M61" s="139" t="s">
        <v>134</v>
      </c>
      <c r="N61" s="141">
        <v>196</v>
      </c>
      <c r="O61" s="141">
        <v>216</v>
      </c>
      <c r="P61" s="141">
        <v>213</v>
      </c>
      <c r="Q61" s="141">
        <v>254</v>
      </c>
      <c r="R61" s="141">
        <v>312</v>
      </c>
      <c r="S61" s="141">
        <v>377</v>
      </c>
      <c r="T61" s="139"/>
      <c r="U61" s="139"/>
      <c r="V61" s="139"/>
      <c r="W61" s="139"/>
      <c r="X61" s="165"/>
      <c r="Y61" s="139" t="s">
        <v>134</v>
      </c>
      <c r="Z61" s="141">
        <v>550</v>
      </c>
      <c r="AA61" s="141">
        <v>580</v>
      </c>
      <c r="AB61" s="141">
        <v>604</v>
      </c>
      <c r="AC61" s="141">
        <v>657</v>
      </c>
      <c r="AD61" s="141">
        <v>776</v>
      </c>
      <c r="AE61" s="141">
        <v>916</v>
      </c>
    </row>
    <row r="62" spans="1:31" x14ac:dyDescent="0.3">
      <c r="A62" s="165"/>
      <c r="B62" s="139" t="s">
        <v>135</v>
      </c>
      <c r="C62" s="141">
        <v>127</v>
      </c>
      <c r="D62" s="141">
        <v>129</v>
      </c>
      <c r="E62" s="141">
        <v>133</v>
      </c>
      <c r="F62" s="141">
        <v>152</v>
      </c>
      <c r="G62" s="141">
        <v>172</v>
      </c>
      <c r="H62" s="141">
        <v>221</v>
      </c>
      <c r="I62" s="139"/>
      <c r="J62" s="139"/>
      <c r="K62" s="139"/>
      <c r="L62" s="165"/>
      <c r="M62" s="139" t="s">
        <v>135</v>
      </c>
      <c r="N62" s="141">
        <v>197</v>
      </c>
      <c r="O62" s="141">
        <v>197</v>
      </c>
      <c r="P62" s="141">
        <v>199</v>
      </c>
      <c r="Q62" s="141">
        <v>242</v>
      </c>
      <c r="R62" s="141">
        <v>298</v>
      </c>
      <c r="S62" s="141">
        <v>373</v>
      </c>
      <c r="T62" s="139"/>
      <c r="U62" s="139"/>
      <c r="V62" s="139"/>
      <c r="W62" s="139"/>
      <c r="X62" s="165"/>
      <c r="Y62" s="139" t="s">
        <v>135</v>
      </c>
      <c r="Z62" s="141">
        <v>554</v>
      </c>
      <c r="AA62" s="141">
        <v>522</v>
      </c>
      <c r="AB62" s="141">
        <v>552</v>
      </c>
      <c r="AC62" s="141">
        <v>635</v>
      </c>
      <c r="AD62" s="141">
        <v>734</v>
      </c>
      <c r="AE62" s="141">
        <v>891</v>
      </c>
    </row>
    <row r="63" spans="1:31" x14ac:dyDescent="0.3">
      <c r="A63" s="165"/>
      <c r="B63" s="139" t="s">
        <v>136</v>
      </c>
      <c r="C63" s="141">
        <v>125</v>
      </c>
      <c r="D63" s="141">
        <v>131</v>
      </c>
      <c r="E63" s="141">
        <v>134</v>
      </c>
      <c r="F63" s="141">
        <v>148</v>
      </c>
      <c r="G63" s="141">
        <v>175</v>
      </c>
      <c r="H63" s="141">
        <v>218</v>
      </c>
      <c r="I63" s="139"/>
      <c r="J63" s="139"/>
      <c r="K63" s="139"/>
      <c r="L63" s="165"/>
      <c r="M63" s="139" t="s">
        <v>136</v>
      </c>
      <c r="N63" s="141">
        <v>194</v>
      </c>
      <c r="O63" s="141">
        <v>196</v>
      </c>
      <c r="P63" s="141">
        <v>203</v>
      </c>
      <c r="Q63" s="141">
        <v>237</v>
      </c>
      <c r="R63" s="141">
        <v>294</v>
      </c>
      <c r="S63" s="141">
        <v>364</v>
      </c>
      <c r="T63" s="139"/>
      <c r="U63" s="139"/>
      <c r="V63" s="139"/>
      <c r="W63" s="139"/>
      <c r="X63" s="165"/>
      <c r="Y63" s="139" t="s">
        <v>136</v>
      </c>
      <c r="Z63" s="141">
        <v>550</v>
      </c>
      <c r="AA63" s="141">
        <v>519</v>
      </c>
      <c r="AB63" s="141">
        <v>563</v>
      </c>
      <c r="AC63" s="141">
        <v>624</v>
      </c>
      <c r="AD63" s="141">
        <v>724</v>
      </c>
      <c r="AE63" s="141">
        <v>870</v>
      </c>
    </row>
    <row r="64" spans="1:31" x14ac:dyDescent="0.3">
      <c r="A64" s="164" t="s">
        <v>2</v>
      </c>
      <c r="B64" s="142" t="s">
        <v>125</v>
      </c>
      <c r="C64" s="143">
        <v>58</v>
      </c>
      <c r="D64" s="143">
        <v>60</v>
      </c>
      <c r="E64" s="143">
        <v>58</v>
      </c>
      <c r="F64" s="143">
        <v>61</v>
      </c>
      <c r="G64" s="143">
        <v>80</v>
      </c>
      <c r="H64" s="143">
        <v>103</v>
      </c>
      <c r="I64" s="139"/>
      <c r="J64" s="139"/>
      <c r="K64" s="139"/>
      <c r="L64" s="164" t="s">
        <v>2</v>
      </c>
      <c r="M64" s="142" t="s">
        <v>125</v>
      </c>
      <c r="N64" s="143">
        <v>91</v>
      </c>
      <c r="O64" s="143">
        <v>103</v>
      </c>
      <c r="P64" s="143">
        <v>96</v>
      </c>
      <c r="Q64" s="143">
        <v>88</v>
      </c>
      <c r="R64" s="143">
        <v>121</v>
      </c>
      <c r="S64" s="143">
        <v>143</v>
      </c>
      <c r="T64" s="139"/>
      <c r="U64" s="139"/>
      <c r="V64" s="139"/>
      <c r="W64" s="139"/>
      <c r="X64" s="164" t="s">
        <v>2</v>
      </c>
      <c r="Y64" s="142" t="s">
        <v>125</v>
      </c>
      <c r="Z64" s="143">
        <v>229</v>
      </c>
      <c r="AA64" s="143">
        <v>277</v>
      </c>
      <c r="AB64" s="143">
        <v>262</v>
      </c>
      <c r="AC64" s="143">
        <v>245</v>
      </c>
      <c r="AD64" s="143">
        <v>324</v>
      </c>
      <c r="AE64" s="143">
        <v>424</v>
      </c>
    </row>
    <row r="65" spans="1:31" x14ac:dyDescent="0.3">
      <c r="A65" s="164"/>
      <c r="B65" s="142" t="s">
        <v>126</v>
      </c>
      <c r="C65" s="143">
        <v>59</v>
      </c>
      <c r="D65" s="143">
        <v>62</v>
      </c>
      <c r="E65" s="143">
        <v>53</v>
      </c>
      <c r="F65" s="143">
        <v>61</v>
      </c>
      <c r="G65" s="143">
        <v>82</v>
      </c>
      <c r="H65" s="143">
        <v>102</v>
      </c>
      <c r="I65" s="139"/>
      <c r="J65" s="139"/>
      <c r="K65" s="139"/>
      <c r="L65" s="164"/>
      <c r="M65" s="142" t="s">
        <v>126</v>
      </c>
      <c r="N65" s="143">
        <v>93</v>
      </c>
      <c r="O65" s="143">
        <v>107</v>
      </c>
      <c r="P65" s="143">
        <v>88</v>
      </c>
      <c r="Q65" s="143">
        <v>88</v>
      </c>
      <c r="R65" s="143">
        <v>123</v>
      </c>
      <c r="S65" s="143">
        <v>149</v>
      </c>
      <c r="T65" s="139"/>
      <c r="U65" s="139"/>
      <c r="V65" s="139"/>
      <c r="W65" s="139"/>
      <c r="X65" s="164"/>
      <c r="Y65" s="142" t="s">
        <v>126</v>
      </c>
      <c r="Z65" s="143">
        <v>238</v>
      </c>
      <c r="AA65" s="143">
        <v>286</v>
      </c>
      <c r="AB65" s="143">
        <v>239</v>
      </c>
      <c r="AC65" s="143">
        <v>247</v>
      </c>
      <c r="AD65" s="143">
        <v>323</v>
      </c>
      <c r="AE65" s="143">
        <v>429</v>
      </c>
    </row>
    <row r="66" spans="1:31" x14ac:dyDescent="0.3">
      <c r="A66" s="164"/>
      <c r="B66" s="142" t="s">
        <v>127</v>
      </c>
      <c r="C66" s="143">
        <v>46</v>
      </c>
      <c r="D66" s="143">
        <v>66</v>
      </c>
      <c r="E66" s="143">
        <v>55</v>
      </c>
      <c r="F66" s="143">
        <v>63</v>
      </c>
      <c r="G66" s="143">
        <v>81</v>
      </c>
      <c r="H66" s="143">
        <v>104</v>
      </c>
      <c r="I66" s="139"/>
      <c r="J66" s="139"/>
      <c r="K66" s="139"/>
      <c r="L66" s="164"/>
      <c r="M66" s="142" t="s">
        <v>127</v>
      </c>
      <c r="N66" s="143">
        <v>79</v>
      </c>
      <c r="O66" s="143">
        <v>112</v>
      </c>
      <c r="P66" s="143">
        <v>90</v>
      </c>
      <c r="Q66" s="143">
        <v>90</v>
      </c>
      <c r="R66" s="143">
        <v>121</v>
      </c>
      <c r="S66" s="143">
        <v>148</v>
      </c>
      <c r="T66" s="139"/>
      <c r="U66" s="139"/>
      <c r="V66" s="139"/>
      <c r="W66" s="139"/>
      <c r="X66" s="164"/>
      <c r="Y66" s="142" t="s">
        <v>127</v>
      </c>
      <c r="Z66" s="143">
        <v>211</v>
      </c>
      <c r="AA66" s="143">
        <v>300</v>
      </c>
      <c r="AB66" s="143">
        <v>245</v>
      </c>
      <c r="AC66" s="143">
        <v>249</v>
      </c>
      <c r="AD66" s="143">
        <v>320</v>
      </c>
      <c r="AE66" s="143">
        <v>431</v>
      </c>
    </row>
    <row r="67" spans="1:31" x14ac:dyDescent="0.3">
      <c r="A67" s="164"/>
      <c r="B67" s="142" t="s">
        <v>128</v>
      </c>
      <c r="C67" s="143">
        <v>51</v>
      </c>
      <c r="D67" s="143">
        <v>65</v>
      </c>
      <c r="E67" s="143">
        <v>59</v>
      </c>
      <c r="F67" s="143">
        <v>65</v>
      </c>
      <c r="G67" s="143">
        <v>81</v>
      </c>
      <c r="H67" s="143">
        <v>114</v>
      </c>
      <c r="I67" s="139"/>
      <c r="J67" s="139"/>
      <c r="K67" s="139"/>
      <c r="L67" s="164"/>
      <c r="M67" s="142" t="s">
        <v>128</v>
      </c>
      <c r="N67" s="143">
        <v>84</v>
      </c>
      <c r="O67" s="143">
        <v>108</v>
      </c>
      <c r="P67" s="143">
        <v>93</v>
      </c>
      <c r="Q67" s="143">
        <v>92</v>
      </c>
      <c r="R67" s="143">
        <v>120</v>
      </c>
      <c r="S67" s="143">
        <v>163</v>
      </c>
      <c r="T67" s="139"/>
      <c r="U67" s="139"/>
      <c r="V67" s="139"/>
      <c r="W67" s="139"/>
      <c r="X67" s="164"/>
      <c r="Y67" s="142" t="s">
        <v>128</v>
      </c>
      <c r="Z67" s="143">
        <v>224</v>
      </c>
      <c r="AA67" s="143">
        <v>294</v>
      </c>
      <c r="AB67" s="143">
        <v>258</v>
      </c>
      <c r="AC67" s="143">
        <v>255</v>
      </c>
      <c r="AD67" s="143">
        <v>320</v>
      </c>
      <c r="AE67" s="143">
        <v>466</v>
      </c>
    </row>
    <row r="68" spans="1:31" x14ac:dyDescent="0.3">
      <c r="A68" s="164"/>
      <c r="B68" s="142" t="s">
        <v>129</v>
      </c>
      <c r="C68" s="143">
        <v>56</v>
      </c>
      <c r="D68" s="143">
        <v>66</v>
      </c>
      <c r="E68" s="143">
        <v>59</v>
      </c>
      <c r="F68" s="143">
        <v>65</v>
      </c>
      <c r="G68" s="143">
        <v>84</v>
      </c>
      <c r="H68" s="143">
        <v>116</v>
      </c>
      <c r="I68" s="139"/>
      <c r="J68" s="139"/>
      <c r="K68" s="139"/>
      <c r="L68" s="164"/>
      <c r="M68" s="142" t="s">
        <v>129</v>
      </c>
      <c r="N68" s="143">
        <v>88</v>
      </c>
      <c r="O68" s="143">
        <v>109</v>
      </c>
      <c r="P68" s="143">
        <v>88</v>
      </c>
      <c r="Q68" s="143">
        <v>92</v>
      </c>
      <c r="R68" s="143">
        <v>124</v>
      </c>
      <c r="S68" s="143">
        <v>167</v>
      </c>
      <c r="T68" s="139"/>
      <c r="U68" s="139"/>
      <c r="V68" s="139"/>
      <c r="W68" s="139"/>
      <c r="X68" s="164"/>
      <c r="Y68" s="142" t="s">
        <v>129</v>
      </c>
      <c r="Z68" s="143">
        <v>236</v>
      </c>
      <c r="AA68" s="143">
        <v>297</v>
      </c>
      <c r="AB68" s="143">
        <v>249</v>
      </c>
      <c r="AC68" s="143">
        <v>257</v>
      </c>
      <c r="AD68" s="143">
        <v>331</v>
      </c>
      <c r="AE68" s="143">
        <v>475</v>
      </c>
    </row>
    <row r="69" spans="1:31" x14ac:dyDescent="0.3">
      <c r="A69" s="164"/>
      <c r="B69" s="142" t="s">
        <v>130</v>
      </c>
      <c r="C69" s="143">
        <v>58</v>
      </c>
      <c r="D69" s="143">
        <v>63</v>
      </c>
      <c r="E69" s="143">
        <v>60</v>
      </c>
      <c r="F69" s="143">
        <v>69</v>
      </c>
      <c r="G69" s="143">
        <v>85</v>
      </c>
      <c r="H69" s="143">
        <v>120</v>
      </c>
      <c r="I69" s="139"/>
      <c r="J69" s="139"/>
      <c r="K69" s="139"/>
      <c r="L69" s="164"/>
      <c r="M69" s="142" t="s">
        <v>130</v>
      </c>
      <c r="N69" s="143">
        <v>88</v>
      </c>
      <c r="O69" s="143">
        <v>107</v>
      </c>
      <c r="P69" s="143">
        <v>90</v>
      </c>
      <c r="Q69" s="143">
        <v>96</v>
      </c>
      <c r="R69" s="143">
        <v>128</v>
      </c>
      <c r="S69" s="143">
        <v>172</v>
      </c>
      <c r="T69" s="139"/>
      <c r="U69" s="139"/>
      <c r="V69" s="139"/>
      <c r="W69" s="139"/>
      <c r="X69" s="164"/>
      <c r="Y69" s="142" t="s">
        <v>130</v>
      </c>
      <c r="Z69" s="143">
        <v>237</v>
      </c>
      <c r="AA69" s="143">
        <v>287</v>
      </c>
      <c r="AB69" s="143">
        <v>253</v>
      </c>
      <c r="AC69" s="143">
        <v>267</v>
      </c>
      <c r="AD69" s="143">
        <v>340</v>
      </c>
      <c r="AE69" s="143">
        <v>487</v>
      </c>
    </row>
    <row r="70" spans="1:31" x14ac:dyDescent="0.3">
      <c r="A70" s="164"/>
      <c r="B70" s="142" t="s">
        <v>131</v>
      </c>
      <c r="C70" s="143">
        <v>57</v>
      </c>
      <c r="D70" s="143">
        <v>63</v>
      </c>
      <c r="E70" s="143">
        <v>60</v>
      </c>
      <c r="F70" s="143">
        <v>72</v>
      </c>
      <c r="G70" s="143">
        <v>89</v>
      </c>
      <c r="H70" s="143">
        <v>123</v>
      </c>
      <c r="I70" s="139"/>
      <c r="J70" s="139"/>
      <c r="K70" s="139"/>
      <c r="L70" s="164"/>
      <c r="M70" s="142" t="s">
        <v>131</v>
      </c>
      <c r="N70" s="143">
        <v>90</v>
      </c>
      <c r="O70" s="143">
        <v>102</v>
      </c>
      <c r="P70" s="143">
        <v>91</v>
      </c>
      <c r="Q70" s="143">
        <v>106</v>
      </c>
      <c r="R70" s="143">
        <v>131</v>
      </c>
      <c r="S70" s="143">
        <v>184</v>
      </c>
      <c r="T70" s="139"/>
      <c r="U70" s="139"/>
      <c r="V70" s="139"/>
      <c r="W70" s="139"/>
      <c r="X70" s="164"/>
      <c r="Y70" s="142" t="s">
        <v>131</v>
      </c>
      <c r="Z70" s="143">
        <v>243</v>
      </c>
      <c r="AA70" s="143">
        <v>277</v>
      </c>
      <c r="AB70" s="143">
        <v>253</v>
      </c>
      <c r="AC70" s="143">
        <v>290</v>
      </c>
      <c r="AD70" s="143">
        <v>358</v>
      </c>
      <c r="AE70" s="143">
        <v>515</v>
      </c>
    </row>
    <row r="71" spans="1:31" x14ac:dyDescent="0.3">
      <c r="A71" s="164"/>
      <c r="B71" s="142" t="s">
        <v>132</v>
      </c>
      <c r="C71" s="143">
        <v>57</v>
      </c>
      <c r="D71" s="143">
        <v>64</v>
      </c>
      <c r="E71" s="143">
        <v>60</v>
      </c>
      <c r="F71" s="143">
        <v>71</v>
      </c>
      <c r="G71" s="143">
        <v>88</v>
      </c>
      <c r="H71" s="143">
        <v>132</v>
      </c>
      <c r="I71" s="139"/>
      <c r="J71" s="139"/>
      <c r="K71" s="139"/>
      <c r="L71" s="164"/>
      <c r="M71" s="142" t="s">
        <v>132</v>
      </c>
      <c r="N71" s="143">
        <v>97</v>
      </c>
      <c r="O71" s="143">
        <v>103</v>
      </c>
      <c r="P71" s="143">
        <v>91</v>
      </c>
      <c r="Q71" s="143">
        <v>104</v>
      </c>
      <c r="R71" s="143">
        <v>131</v>
      </c>
      <c r="S71" s="143">
        <v>198</v>
      </c>
      <c r="T71" s="139"/>
      <c r="U71" s="139"/>
      <c r="V71" s="139"/>
      <c r="W71" s="139"/>
      <c r="X71" s="164"/>
      <c r="Y71" s="142" t="s">
        <v>132</v>
      </c>
      <c r="Z71" s="143">
        <v>255</v>
      </c>
      <c r="AA71" s="143">
        <v>281</v>
      </c>
      <c r="AB71" s="143">
        <v>249</v>
      </c>
      <c r="AC71" s="143">
        <v>283</v>
      </c>
      <c r="AD71" s="143">
        <v>360</v>
      </c>
      <c r="AE71" s="143">
        <v>549</v>
      </c>
    </row>
    <row r="72" spans="1:31" x14ac:dyDescent="0.3">
      <c r="A72" s="164"/>
      <c r="B72" s="142" t="s">
        <v>133</v>
      </c>
      <c r="C72" s="143">
        <v>55</v>
      </c>
      <c r="D72" s="143">
        <v>65</v>
      </c>
      <c r="E72" s="143">
        <v>58</v>
      </c>
      <c r="F72" s="143">
        <v>71</v>
      </c>
      <c r="G72" s="143">
        <v>81</v>
      </c>
      <c r="H72" s="143">
        <v>135</v>
      </c>
      <c r="I72" s="139"/>
      <c r="J72" s="139"/>
      <c r="K72" s="139"/>
      <c r="L72" s="164"/>
      <c r="M72" s="142" t="s">
        <v>133</v>
      </c>
      <c r="N72" s="143">
        <v>96</v>
      </c>
      <c r="O72" s="143">
        <v>103</v>
      </c>
      <c r="P72" s="143">
        <v>84</v>
      </c>
      <c r="Q72" s="143">
        <v>107</v>
      </c>
      <c r="R72" s="143">
        <v>121</v>
      </c>
      <c r="S72" s="143">
        <v>199</v>
      </c>
      <c r="T72" s="139"/>
      <c r="U72" s="139"/>
      <c r="V72" s="139"/>
      <c r="W72" s="139"/>
      <c r="X72" s="164"/>
      <c r="Y72" s="142" t="s">
        <v>133</v>
      </c>
      <c r="Z72" s="143">
        <v>254</v>
      </c>
      <c r="AA72" s="143">
        <v>287</v>
      </c>
      <c r="AB72" s="143">
        <v>232</v>
      </c>
      <c r="AC72" s="143">
        <v>287</v>
      </c>
      <c r="AD72" s="143">
        <v>335</v>
      </c>
      <c r="AE72" s="143">
        <v>560</v>
      </c>
    </row>
    <row r="73" spans="1:31" x14ac:dyDescent="0.3">
      <c r="A73" s="164"/>
      <c r="B73" s="142" t="s">
        <v>134</v>
      </c>
      <c r="C73" s="143">
        <v>60</v>
      </c>
      <c r="D73" s="143">
        <v>69</v>
      </c>
      <c r="E73" s="143">
        <v>55</v>
      </c>
      <c r="F73" s="143">
        <v>70</v>
      </c>
      <c r="G73" s="143">
        <v>82</v>
      </c>
      <c r="H73" s="143">
        <v>137</v>
      </c>
      <c r="I73" s="139"/>
      <c r="J73" s="139"/>
      <c r="K73" s="139"/>
      <c r="L73" s="164"/>
      <c r="M73" s="142" t="s">
        <v>134</v>
      </c>
      <c r="N73" s="143">
        <v>106</v>
      </c>
      <c r="O73" s="143">
        <v>109</v>
      </c>
      <c r="P73" s="143">
        <v>80</v>
      </c>
      <c r="Q73" s="143">
        <v>102</v>
      </c>
      <c r="R73" s="143">
        <v>124</v>
      </c>
      <c r="S73" s="143">
        <v>202</v>
      </c>
      <c r="T73" s="139"/>
      <c r="U73" s="139"/>
      <c r="V73" s="139"/>
      <c r="W73" s="139"/>
      <c r="X73" s="164"/>
      <c r="Y73" s="142" t="s">
        <v>134</v>
      </c>
      <c r="Z73" s="143">
        <v>276</v>
      </c>
      <c r="AA73" s="143">
        <v>299</v>
      </c>
      <c r="AB73" s="143">
        <v>223</v>
      </c>
      <c r="AC73" s="143">
        <v>276</v>
      </c>
      <c r="AD73" s="143">
        <v>348</v>
      </c>
      <c r="AE73" s="143">
        <v>562</v>
      </c>
    </row>
    <row r="74" spans="1:31" x14ac:dyDescent="0.3">
      <c r="A74" s="164"/>
      <c r="B74" s="142" t="s">
        <v>135</v>
      </c>
      <c r="C74" s="143">
        <v>58</v>
      </c>
      <c r="D74" s="143">
        <v>63</v>
      </c>
      <c r="E74" s="143">
        <v>60</v>
      </c>
      <c r="F74" s="143">
        <v>70</v>
      </c>
      <c r="G74" s="143">
        <v>89</v>
      </c>
      <c r="H74" s="143">
        <v>160</v>
      </c>
      <c r="I74" s="139"/>
      <c r="J74" s="139"/>
      <c r="K74" s="139"/>
      <c r="L74" s="164"/>
      <c r="M74" s="142" t="s">
        <v>135</v>
      </c>
      <c r="N74" s="143">
        <v>106</v>
      </c>
      <c r="O74" s="143">
        <v>101</v>
      </c>
      <c r="P74" s="143">
        <v>87</v>
      </c>
      <c r="Q74" s="143">
        <v>105</v>
      </c>
      <c r="R74" s="143">
        <v>128</v>
      </c>
      <c r="S74" s="143">
        <v>240</v>
      </c>
      <c r="T74" s="139"/>
      <c r="U74" s="139"/>
      <c r="V74" s="139"/>
      <c r="W74" s="139"/>
      <c r="X74" s="164"/>
      <c r="Y74" s="142" t="s">
        <v>135</v>
      </c>
      <c r="Z74" s="143">
        <v>273</v>
      </c>
      <c r="AA74" s="143">
        <v>280</v>
      </c>
      <c r="AB74" s="143">
        <v>242</v>
      </c>
      <c r="AC74" s="143">
        <v>278</v>
      </c>
      <c r="AD74" s="143">
        <v>372</v>
      </c>
      <c r="AE74" s="143">
        <v>649</v>
      </c>
    </row>
    <row r="75" spans="1:31" x14ac:dyDescent="0.3">
      <c r="A75" s="164"/>
      <c r="B75" s="142" t="s">
        <v>136</v>
      </c>
      <c r="C75" s="143">
        <v>61</v>
      </c>
      <c r="D75" s="143">
        <v>58</v>
      </c>
      <c r="E75" s="143">
        <v>62</v>
      </c>
      <c r="F75" s="143">
        <v>78</v>
      </c>
      <c r="G75" s="143">
        <v>102</v>
      </c>
      <c r="H75" s="143">
        <v>165</v>
      </c>
      <c r="I75" s="139"/>
      <c r="J75" s="139"/>
      <c r="K75" s="139"/>
      <c r="L75" s="164"/>
      <c r="M75" s="142" t="s">
        <v>136</v>
      </c>
      <c r="N75" s="143">
        <v>109</v>
      </c>
      <c r="O75" s="143">
        <v>96</v>
      </c>
      <c r="P75" s="143">
        <v>89</v>
      </c>
      <c r="Q75" s="143">
        <v>116</v>
      </c>
      <c r="R75" s="143">
        <v>150</v>
      </c>
      <c r="S75" s="143">
        <v>257</v>
      </c>
      <c r="T75" s="139"/>
      <c r="U75" s="139"/>
      <c r="V75" s="139"/>
      <c r="W75" s="139"/>
      <c r="X75" s="164"/>
      <c r="Y75" s="142" t="s">
        <v>136</v>
      </c>
      <c r="Z75" s="143">
        <v>285</v>
      </c>
      <c r="AA75" s="143">
        <v>261</v>
      </c>
      <c r="AB75" s="143">
        <v>248</v>
      </c>
      <c r="AC75" s="143">
        <v>314</v>
      </c>
      <c r="AD75" s="143">
        <v>437</v>
      </c>
      <c r="AE75" s="143">
        <v>686</v>
      </c>
    </row>
    <row r="76" spans="1:31" x14ac:dyDescent="0.3">
      <c r="A76" s="144" t="s">
        <v>143</v>
      </c>
      <c r="B76" s="139"/>
      <c r="C76" s="139"/>
      <c r="D76" s="139"/>
      <c r="E76" s="139"/>
      <c r="F76" s="139"/>
      <c r="G76" s="139"/>
      <c r="H76" s="139"/>
      <c r="I76" s="139"/>
      <c r="J76" s="139"/>
      <c r="K76" s="139"/>
      <c r="L76" s="144" t="s">
        <v>143</v>
      </c>
      <c r="M76" s="139"/>
      <c r="N76" s="139"/>
      <c r="O76" s="139"/>
      <c r="P76" s="139"/>
      <c r="Q76" s="139"/>
      <c r="R76" s="139"/>
      <c r="S76" s="139"/>
      <c r="T76" s="139"/>
      <c r="U76" s="139"/>
      <c r="V76" s="139"/>
      <c r="W76" s="139"/>
      <c r="X76" s="144" t="s">
        <v>143</v>
      </c>
      <c r="Y76" s="139"/>
      <c r="Z76" s="139"/>
      <c r="AA76" s="139"/>
      <c r="AB76" s="139"/>
      <c r="AC76" s="139"/>
      <c r="AD76" s="139"/>
      <c r="AE76" s="139"/>
    </row>
    <row r="77" spans="1:31" x14ac:dyDescent="0.3">
      <c r="A77" s="145" t="s">
        <v>138</v>
      </c>
      <c r="L77" s="145" t="s">
        <v>138</v>
      </c>
      <c r="X77" s="145" t="s">
        <v>138</v>
      </c>
    </row>
  </sheetData>
  <mergeCells count="21">
    <mergeCell ref="X2:AE2"/>
    <mergeCell ref="L2:S2"/>
    <mergeCell ref="A2:H2"/>
    <mergeCell ref="A4:A15"/>
    <mergeCell ref="X4:X15"/>
    <mergeCell ref="A16:A27"/>
    <mergeCell ref="X16:X27"/>
    <mergeCell ref="L4:L15"/>
    <mergeCell ref="L16:L27"/>
    <mergeCell ref="A64:A75"/>
    <mergeCell ref="X64:X75"/>
    <mergeCell ref="A28:A39"/>
    <mergeCell ref="X28:X39"/>
    <mergeCell ref="A40:A51"/>
    <mergeCell ref="X40:X51"/>
    <mergeCell ref="A52:A63"/>
    <mergeCell ref="X52:X63"/>
    <mergeCell ref="L28:L39"/>
    <mergeCell ref="L40:L51"/>
    <mergeCell ref="L52:L63"/>
    <mergeCell ref="L64:L75"/>
  </mergeCells>
  <pageMargins left="0.7" right="0.7" top="0.75" bottom="0.75" header="0.3" footer="0.3"/>
  <ignoredErrors>
    <ignoredError sqref="B4:B75 M4:M75 Y4:Y7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3:H81"/>
  <sheetViews>
    <sheetView showGridLines="0" zoomScaleNormal="100" workbookViewId="0">
      <selection activeCell="A81" sqref="A81"/>
    </sheetView>
  </sheetViews>
  <sheetFormatPr defaultRowHeight="15" customHeight="1" x14ac:dyDescent="0.3"/>
  <cols>
    <col min="1" max="1" width="13.6640625" style="12" customWidth="1"/>
    <col min="2" max="2" width="10.44140625" style="12" customWidth="1"/>
    <col min="3" max="3" width="9.88671875" style="12" customWidth="1"/>
    <col min="4" max="16384" width="8.88671875" style="12"/>
  </cols>
  <sheetData>
    <row r="3" spans="1:7" ht="15" customHeight="1" x14ac:dyDescent="0.3">
      <c r="A3" s="146" t="s">
        <v>78</v>
      </c>
      <c r="B3" s="146"/>
      <c r="C3" s="146"/>
      <c r="D3" s="146"/>
      <c r="E3" s="146"/>
      <c r="F3" s="146"/>
      <c r="G3" s="146"/>
    </row>
    <row r="4" spans="1:7" ht="15" customHeight="1" x14ac:dyDescent="0.3">
      <c r="A4" s="146" t="s">
        <v>92</v>
      </c>
      <c r="B4" s="146"/>
      <c r="C4" s="146"/>
      <c r="D4" s="146"/>
      <c r="E4" s="146"/>
      <c r="F4" s="146"/>
      <c r="G4" s="146"/>
    </row>
    <row r="5" spans="1:7" ht="15" customHeight="1" x14ac:dyDescent="0.3">
      <c r="A5" s="91" t="s">
        <v>103</v>
      </c>
      <c r="B5" s="92"/>
      <c r="C5" s="92" t="s">
        <v>56</v>
      </c>
      <c r="D5" s="92" t="s">
        <v>57</v>
      </c>
      <c r="E5" s="92" t="s">
        <v>58</v>
      </c>
      <c r="F5" s="92" t="s">
        <v>59</v>
      </c>
      <c r="G5" s="92" t="s">
        <v>1</v>
      </c>
    </row>
    <row r="6" spans="1:7" ht="15" customHeight="1" x14ac:dyDescent="0.3">
      <c r="A6" s="148" t="s">
        <v>10</v>
      </c>
      <c r="B6" s="12" t="s">
        <v>7</v>
      </c>
      <c r="C6" s="18">
        <v>16</v>
      </c>
      <c r="D6" s="18">
        <v>154</v>
      </c>
      <c r="E6" s="18">
        <v>576</v>
      </c>
      <c r="F6" s="18">
        <v>176</v>
      </c>
      <c r="G6" s="32">
        <f t="shared" ref="G6:G14" si="0">SUM(C6:F6)</f>
        <v>922</v>
      </c>
    </row>
    <row r="7" spans="1:7" ht="15" customHeight="1" x14ac:dyDescent="0.3">
      <c r="A7" s="148"/>
      <c r="B7" s="12" t="s">
        <v>8</v>
      </c>
      <c r="C7" s="18">
        <v>181</v>
      </c>
      <c r="D7" s="18">
        <v>1143</v>
      </c>
      <c r="E7" s="18">
        <v>3623</v>
      </c>
      <c r="F7" s="18">
        <v>948</v>
      </c>
      <c r="G7" s="32">
        <f t="shared" si="0"/>
        <v>5895</v>
      </c>
    </row>
    <row r="8" spans="1:7" ht="15" customHeight="1" x14ac:dyDescent="0.3">
      <c r="A8" s="148"/>
      <c r="B8" s="12" t="s">
        <v>9</v>
      </c>
      <c r="C8" s="18">
        <v>404</v>
      </c>
      <c r="D8" s="18">
        <v>2884</v>
      </c>
      <c r="E8" s="18">
        <v>8330</v>
      </c>
      <c r="F8" s="18">
        <v>2020</v>
      </c>
      <c r="G8" s="32">
        <f t="shared" si="0"/>
        <v>13638</v>
      </c>
    </row>
    <row r="9" spans="1:7" ht="15" customHeight="1" x14ac:dyDescent="0.3">
      <c r="A9" s="147" t="s">
        <v>4</v>
      </c>
      <c r="B9" s="10" t="s">
        <v>7</v>
      </c>
      <c r="C9" s="33">
        <v>4</v>
      </c>
      <c r="D9" s="33">
        <v>31</v>
      </c>
      <c r="E9" s="33">
        <v>54</v>
      </c>
      <c r="F9" s="33">
        <v>18</v>
      </c>
      <c r="G9" s="34">
        <f t="shared" si="0"/>
        <v>107</v>
      </c>
    </row>
    <row r="10" spans="1:7" ht="15" customHeight="1" x14ac:dyDescent="0.3">
      <c r="A10" s="147"/>
      <c r="B10" s="10" t="s">
        <v>8</v>
      </c>
      <c r="C10" s="33">
        <v>27</v>
      </c>
      <c r="D10" s="33">
        <v>225</v>
      </c>
      <c r="E10" s="33">
        <v>310</v>
      </c>
      <c r="F10" s="33">
        <v>83</v>
      </c>
      <c r="G10" s="34">
        <f t="shared" si="0"/>
        <v>645</v>
      </c>
    </row>
    <row r="11" spans="1:7" ht="15" customHeight="1" x14ac:dyDescent="0.3">
      <c r="A11" s="147"/>
      <c r="B11" s="10" t="s">
        <v>9</v>
      </c>
      <c r="C11" s="33">
        <v>68</v>
      </c>
      <c r="D11" s="33">
        <v>631</v>
      </c>
      <c r="E11" s="33">
        <v>852</v>
      </c>
      <c r="F11" s="33">
        <v>227</v>
      </c>
      <c r="G11" s="34">
        <f t="shared" si="0"/>
        <v>1778</v>
      </c>
    </row>
    <row r="12" spans="1:7" ht="15" customHeight="1" x14ac:dyDescent="0.3">
      <c r="A12" s="148" t="s">
        <v>3</v>
      </c>
      <c r="B12" s="12" t="s">
        <v>7</v>
      </c>
      <c r="C12" s="18">
        <v>2</v>
      </c>
      <c r="D12" s="18">
        <v>18</v>
      </c>
      <c r="E12" s="18">
        <v>27</v>
      </c>
      <c r="F12" s="18">
        <v>44</v>
      </c>
      <c r="G12" s="32">
        <f t="shared" si="0"/>
        <v>91</v>
      </c>
    </row>
    <row r="13" spans="1:7" ht="15" customHeight="1" x14ac:dyDescent="0.3">
      <c r="A13" s="148"/>
      <c r="B13" s="12" t="s">
        <v>8</v>
      </c>
      <c r="C13" s="18">
        <v>11</v>
      </c>
      <c r="D13" s="18">
        <v>120</v>
      </c>
      <c r="E13" s="18">
        <v>193</v>
      </c>
      <c r="F13" s="18">
        <v>263</v>
      </c>
      <c r="G13" s="32">
        <f t="shared" si="0"/>
        <v>587</v>
      </c>
    </row>
    <row r="14" spans="1:7" ht="15" customHeight="1" x14ac:dyDescent="0.3">
      <c r="A14" s="148"/>
      <c r="B14" s="12" t="s">
        <v>9</v>
      </c>
      <c r="C14" s="18">
        <v>27</v>
      </c>
      <c r="D14" s="18">
        <v>281</v>
      </c>
      <c r="E14" s="18">
        <v>402</v>
      </c>
      <c r="F14" s="18">
        <v>545</v>
      </c>
      <c r="G14" s="32">
        <f t="shared" si="0"/>
        <v>1255</v>
      </c>
    </row>
    <row r="15" spans="1:7" ht="15" customHeight="1" x14ac:dyDescent="0.3">
      <c r="A15" s="147" t="s">
        <v>2</v>
      </c>
      <c r="B15" s="10" t="s">
        <v>7</v>
      </c>
      <c r="C15" s="33">
        <v>2</v>
      </c>
      <c r="D15" s="33">
        <v>3</v>
      </c>
      <c r="E15" s="33">
        <v>7</v>
      </c>
      <c r="F15" s="33">
        <v>0</v>
      </c>
      <c r="G15" s="34">
        <f t="shared" ref="G15:G17" si="1">SUM(C15:F15)</f>
        <v>12</v>
      </c>
    </row>
    <row r="16" spans="1:7" ht="15" customHeight="1" x14ac:dyDescent="0.3">
      <c r="A16" s="147"/>
      <c r="B16" s="10" t="s">
        <v>8</v>
      </c>
      <c r="C16" s="33">
        <v>15</v>
      </c>
      <c r="D16" s="33">
        <v>20</v>
      </c>
      <c r="E16" s="33">
        <v>47</v>
      </c>
      <c r="F16" s="33">
        <v>0</v>
      </c>
      <c r="G16" s="34">
        <f t="shared" si="1"/>
        <v>82</v>
      </c>
    </row>
    <row r="17" spans="1:7" ht="15" customHeight="1" x14ac:dyDescent="0.3">
      <c r="A17" s="147"/>
      <c r="B17" s="10" t="s">
        <v>9</v>
      </c>
      <c r="C17" s="33">
        <v>38</v>
      </c>
      <c r="D17" s="33">
        <v>43</v>
      </c>
      <c r="E17" s="33">
        <v>110</v>
      </c>
      <c r="F17" s="33">
        <v>0</v>
      </c>
      <c r="G17" s="34">
        <f t="shared" si="1"/>
        <v>191</v>
      </c>
    </row>
    <row r="18" spans="1:7" ht="15" customHeight="1" x14ac:dyDescent="0.3">
      <c r="A18" s="148" t="s">
        <v>6</v>
      </c>
      <c r="B18" s="12" t="s">
        <v>7</v>
      </c>
      <c r="C18" s="18">
        <v>0</v>
      </c>
      <c r="D18" s="18">
        <v>4</v>
      </c>
      <c r="E18" s="18">
        <v>8</v>
      </c>
      <c r="F18" s="18">
        <v>1</v>
      </c>
      <c r="G18" s="32">
        <f>SUM(C18:F18)</f>
        <v>13</v>
      </c>
    </row>
    <row r="19" spans="1:7" ht="15" customHeight="1" x14ac:dyDescent="0.3">
      <c r="A19" s="148"/>
      <c r="B19" s="12" t="s">
        <v>8</v>
      </c>
      <c r="C19" s="18">
        <v>0</v>
      </c>
      <c r="D19" s="18">
        <v>38</v>
      </c>
      <c r="E19" s="18">
        <v>32</v>
      </c>
      <c r="F19" s="18">
        <v>5</v>
      </c>
      <c r="G19" s="32">
        <f>SUM(C19:F19)</f>
        <v>75</v>
      </c>
    </row>
    <row r="20" spans="1:7" ht="15" customHeight="1" x14ac:dyDescent="0.3">
      <c r="A20" s="148"/>
      <c r="B20" s="12" t="s">
        <v>9</v>
      </c>
      <c r="C20" s="18">
        <v>0</v>
      </c>
      <c r="D20" s="18">
        <v>82</v>
      </c>
      <c r="E20" s="18">
        <v>128</v>
      </c>
      <c r="F20" s="18">
        <v>11</v>
      </c>
      <c r="G20" s="32">
        <f>SUM(C20:F20)</f>
        <v>221</v>
      </c>
    </row>
    <row r="21" spans="1:7" ht="15" customHeight="1" x14ac:dyDescent="0.3">
      <c r="A21" s="147" t="s">
        <v>5</v>
      </c>
      <c r="B21" s="10" t="s">
        <v>7</v>
      </c>
      <c r="C21" s="33">
        <v>1</v>
      </c>
      <c r="D21" s="33">
        <v>0</v>
      </c>
      <c r="E21" s="33">
        <v>4</v>
      </c>
      <c r="F21" s="33">
        <v>2</v>
      </c>
      <c r="G21" s="34">
        <f>SUM(C21:F21)</f>
        <v>7</v>
      </c>
    </row>
    <row r="22" spans="1:7" ht="15" customHeight="1" x14ac:dyDescent="0.3">
      <c r="A22" s="147"/>
      <c r="B22" s="10" t="s">
        <v>8</v>
      </c>
      <c r="C22" s="33">
        <v>6</v>
      </c>
      <c r="D22" s="33">
        <v>0</v>
      </c>
      <c r="E22" s="33">
        <v>16</v>
      </c>
      <c r="F22" s="33">
        <v>16</v>
      </c>
      <c r="G22" s="34">
        <f t="shared" ref="G22:G23" si="2">SUM(C22:F22)</f>
        <v>38</v>
      </c>
    </row>
    <row r="23" spans="1:7" ht="15" customHeight="1" x14ac:dyDescent="0.3">
      <c r="A23" s="147"/>
      <c r="B23" s="10" t="s">
        <v>9</v>
      </c>
      <c r="C23" s="33">
        <v>12</v>
      </c>
      <c r="D23" s="33">
        <v>0</v>
      </c>
      <c r="E23" s="33">
        <v>36</v>
      </c>
      <c r="F23" s="33">
        <v>29</v>
      </c>
      <c r="G23" s="34">
        <f t="shared" si="2"/>
        <v>77</v>
      </c>
    </row>
    <row r="24" spans="1:7" ht="15" customHeight="1" x14ac:dyDescent="0.3">
      <c r="A24" s="167" t="s">
        <v>1</v>
      </c>
      <c r="B24" s="111" t="s">
        <v>7</v>
      </c>
      <c r="C24" s="112">
        <f t="shared" ref="C24:G26" si="3">C15+C12+C6+C9+C21+C18</f>
        <v>25</v>
      </c>
      <c r="D24" s="112">
        <f t="shared" si="3"/>
        <v>210</v>
      </c>
      <c r="E24" s="112">
        <f t="shared" si="3"/>
        <v>676</v>
      </c>
      <c r="F24" s="112">
        <f t="shared" si="3"/>
        <v>241</v>
      </c>
      <c r="G24" s="112">
        <f t="shared" si="3"/>
        <v>1152</v>
      </c>
    </row>
    <row r="25" spans="1:7" ht="15" customHeight="1" x14ac:dyDescent="0.3">
      <c r="A25" s="167"/>
      <c r="B25" s="111" t="s">
        <v>8</v>
      </c>
      <c r="C25" s="112">
        <f t="shared" si="3"/>
        <v>240</v>
      </c>
      <c r="D25" s="112">
        <f t="shared" si="3"/>
        <v>1546</v>
      </c>
      <c r="E25" s="112">
        <f t="shared" si="3"/>
        <v>4221</v>
      </c>
      <c r="F25" s="112">
        <f t="shared" si="3"/>
        <v>1315</v>
      </c>
      <c r="G25" s="112">
        <f t="shared" si="3"/>
        <v>7322</v>
      </c>
    </row>
    <row r="26" spans="1:7" ht="15" customHeight="1" x14ac:dyDescent="0.3">
      <c r="A26" s="167"/>
      <c r="B26" s="111" t="s">
        <v>9</v>
      </c>
      <c r="C26" s="112">
        <f t="shared" si="3"/>
        <v>549</v>
      </c>
      <c r="D26" s="112">
        <f t="shared" si="3"/>
        <v>3921</v>
      </c>
      <c r="E26" s="112">
        <f t="shared" si="3"/>
        <v>9858</v>
      </c>
      <c r="F26" s="112">
        <f t="shared" si="3"/>
        <v>2832</v>
      </c>
      <c r="G26" s="112">
        <f t="shared" si="3"/>
        <v>17160</v>
      </c>
    </row>
    <row r="27" spans="1:7" ht="15" customHeight="1" x14ac:dyDescent="0.3">
      <c r="A27" s="81" t="s">
        <v>112</v>
      </c>
      <c r="B27" s="82"/>
      <c r="C27" s="82"/>
      <c r="D27" s="82"/>
      <c r="E27" s="82"/>
      <c r="F27" s="83"/>
      <c r="G27" s="83"/>
    </row>
    <row r="30" spans="1:7" ht="15" customHeight="1" x14ac:dyDescent="0.3">
      <c r="A30" s="146" t="s">
        <v>78</v>
      </c>
      <c r="B30" s="146"/>
      <c r="C30" s="146"/>
      <c r="D30" s="146"/>
      <c r="E30" s="146"/>
      <c r="F30" s="146"/>
      <c r="G30" s="146"/>
    </row>
    <row r="31" spans="1:7" ht="15" customHeight="1" x14ac:dyDescent="0.3">
      <c r="A31" s="146" t="s">
        <v>89</v>
      </c>
      <c r="B31" s="146"/>
      <c r="C31" s="146"/>
      <c r="D31" s="146"/>
      <c r="E31" s="146"/>
      <c r="F31" s="146"/>
      <c r="G31" s="146"/>
    </row>
    <row r="32" spans="1:7" ht="15" customHeight="1" x14ac:dyDescent="0.3">
      <c r="A32" s="91" t="s">
        <v>103</v>
      </c>
      <c r="B32" s="92"/>
      <c r="C32" s="92" t="s">
        <v>56</v>
      </c>
      <c r="D32" s="92" t="s">
        <v>57</v>
      </c>
      <c r="E32" s="92" t="s">
        <v>58</v>
      </c>
      <c r="F32" s="92" t="s">
        <v>59</v>
      </c>
      <c r="G32" s="92" t="s">
        <v>1</v>
      </c>
    </row>
    <row r="33" spans="1:7" ht="15" customHeight="1" x14ac:dyDescent="0.3">
      <c r="A33" s="148" t="s">
        <v>10</v>
      </c>
      <c r="B33" s="12" t="s">
        <v>7</v>
      </c>
      <c r="C33" s="18">
        <v>16</v>
      </c>
      <c r="D33" s="18">
        <v>154</v>
      </c>
      <c r="E33" s="18">
        <v>578</v>
      </c>
      <c r="F33" s="18">
        <v>176</v>
      </c>
      <c r="G33" s="32">
        <f t="shared" ref="G33:G41" si="4">SUM(C33:F33)</f>
        <v>924</v>
      </c>
    </row>
    <row r="34" spans="1:7" ht="15" customHeight="1" x14ac:dyDescent="0.3">
      <c r="A34" s="148"/>
      <c r="B34" s="12" t="s">
        <v>8</v>
      </c>
      <c r="C34" s="18">
        <v>181</v>
      </c>
      <c r="D34" s="18">
        <v>1143</v>
      </c>
      <c r="E34" s="18">
        <v>3632</v>
      </c>
      <c r="F34" s="18">
        <v>948</v>
      </c>
      <c r="G34" s="32">
        <f t="shared" si="4"/>
        <v>5904</v>
      </c>
    </row>
    <row r="35" spans="1:7" ht="15" customHeight="1" x14ac:dyDescent="0.3">
      <c r="A35" s="148"/>
      <c r="B35" s="12" t="s">
        <v>9</v>
      </c>
      <c r="C35" s="18">
        <v>404</v>
      </c>
      <c r="D35" s="18">
        <v>2884</v>
      </c>
      <c r="E35" s="18">
        <v>8348</v>
      </c>
      <c r="F35" s="18">
        <v>2020</v>
      </c>
      <c r="G35" s="32">
        <f t="shared" si="4"/>
        <v>13656</v>
      </c>
    </row>
    <row r="36" spans="1:7" ht="15" customHeight="1" x14ac:dyDescent="0.3">
      <c r="A36" s="147" t="s">
        <v>4</v>
      </c>
      <c r="B36" s="10" t="s">
        <v>7</v>
      </c>
      <c r="C36" s="33">
        <v>4</v>
      </c>
      <c r="D36" s="33">
        <v>32</v>
      </c>
      <c r="E36" s="33">
        <v>54</v>
      </c>
      <c r="F36" s="33">
        <v>19</v>
      </c>
      <c r="G36" s="34">
        <f t="shared" si="4"/>
        <v>109</v>
      </c>
    </row>
    <row r="37" spans="1:7" ht="15" customHeight="1" x14ac:dyDescent="0.3">
      <c r="A37" s="147"/>
      <c r="B37" s="10" t="s">
        <v>8</v>
      </c>
      <c r="C37" s="33">
        <v>27</v>
      </c>
      <c r="D37" s="33">
        <v>227</v>
      </c>
      <c r="E37" s="33">
        <v>314</v>
      </c>
      <c r="F37" s="33">
        <v>92</v>
      </c>
      <c r="G37" s="34">
        <f t="shared" si="4"/>
        <v>660</v>
      </c>
    </row>
    <row r="38" spans="1:7" ht="15" customHeight="1" x14ac:dyDescent="0.3">
      <c r="A38" s="147"/>
      <c r="B38" s="10" t="s">
        <v>9</v>
      </c>
      <c r="C38" s="33">
        <v>68</v>
      </c>
      <c r="D38" s="33">
        <v>647</v>
      </c>
      <c r="E38" s="33">
        <v>852</v>
      </c>
      <c r="F38" s="33">
        <v>246</v>
      </c>
      <c r="G38" s="34">
        <f t="shared" si="4"/>
        <v>1813</v>
      </c>
    </row>
    <row r="39" spans="1:7" ht="15" customHeight="1" x14ac:dyDescent="0.3">
      <c r="A39" s="148" t="s">
        <v>3</v>
      </c>
      <c r="B39" s="12" t="s">
        <v>7</v>
      </c>
      <c r="C39" s="18">
        <v>2</v>
      </c>
      <c r="D39" s="18">
        <v>18</v>
      </c>
      <c r="E39" s="18">
        <v>27</v>
      </c>
      <c r="F39" s="18">
        <v>44</v>
      </c>
      <c r="G39" s="32">
        <f t="shared" si="4"/>
        <v>91</v>
      </c>
    </row>
    <row r="40" spans="1:7" ht="15" customHeight="1" x14ac:dyDescent="0.3">
      <c r="A40" s="148"/>
      <c r="B40" s="12" t="s">
        <v>8</v>
      </c>
      <c r="C40" s="18">
        <v>11</v>
      </c>
      <c r="D40" s="18">
        <v>120</v>
      </c>
      <c r="E40" s="18">
        <v>193</v>
      </c>
      <c r="F40" s="18">
        <v>263</v>
      </c>
      <c r="G40" s="32">
        <f t="shared" si="4"/>
        <v>587</v>
      </c>
    </row>
    <row r="41" spans="1:7" ht="15" customHeight="1" x14ac:dyDescent="0.3">
      <c r="A41" s="148"/>
      <c r="B41" s="12" t="s">
        <v>9</v>
      </c>
      <c r="C41" s="18">
        <v>27</v>
      </c>
      <c r="D41" s="18">
        <v>281</v>
      </c>
      <c r="E41" s="18">
        <v>402</v>
      </c>
      <c r="F41" s="18">
        <v>545</v>
      </c>
      <c r="G41" s="32">
        <f t="shared" si="4"/>
        <v>1255</v>
      </c>
    </row>
    <row r="42" spans="1:7" ht="15" customHeight="1" x14ac:dyDescent="0.3">
      <c r="A42" s="147" t="s">
        <v>2</v>
      </c>
      <c r="B42" s="10" t="s">
        <v>7</v>
      </c>
      <c r="C42" s="33">
        <v>2</v>
      </c>
      <c r="D42" s="33">
        <v>3</v>
      </c>
      <c r="E42" s="33">
        <v>7</v>
      </c>
      <c r="F42" s="33">
        <v>0</v>
      </c>
      <c r="G42" s="34">
        <f t="shared" ref="G42:G44" si="5">SUM(C42:F42)</f>
        <v>12</v>
      </c>
    </row>
    <row r="43" spans="1:7" ht="15" customHeight="1" x14ac:dyDescent="0.3">
      <c r="A43" s="147"/>
      <c r="B43" s="10" t="s">
        <v>8</v>
      </c>
      <c r="C43" s="33">
        <v>15</v>
      </c>
      <c r="D43" s="33">
        <v>20</v>
      </c>
      <c r="E43" s="33">
        <v>47</v>
      </c>
      <c r="F43" s="33">
        <v>0</v>
      </c>
      <c r="G43" s="34">
        <f t="shared" si="5"/>
        <v>82</v>
      </c>
    </row>
    <row r="44" spans="1:7" ht="15" customHeight="1" x14ac:dyDescent="0.3">
      <c r="A44" s="147"/>
      <c r="B44" s="10" t="s">
        <v>9</v>
      </c>
      <c r="C44" s="33">
        <v>38</v>
      </c>
      <c r="D44" s="33">
        <v>43</v>
      </c>
      <c r="E44" s="33">
        <v>110</v>
      </c>
      <c r="F44" s="33">
        <v>0</v>
      </c>
      <c r="G44" s="34">
        <f t="shared" si="5"/>
        <v>191</v>
      </c>
    </row>
    <row r="45" spans="1:7" ht="15" customHeight="1" x14ac:dyDescent="0.3">
      <c r="A45" s="148" t="s">
        <v>6</v>
      </c>
      <c r="B45" s="12" t="s">
        <v>7</v>
      </c>
      <c r="C45" s="18">
        <v>0</v>
      </c>
      <c r="D45" s="18">
        <v>4</v>
      </c>
      <c r="E45" s="18">
        <v>8</v>
      </c>
      <c r="F45" s="18">
        <v>1</v>
      </c>
      <c r="G45" s="32">
        <f>SUM(C45:F45)</f>
        <v>13</v>
      </c>
    </row>
    <row r="46" spans="1:7" ht="15" customHeight="1" x14ac:dyDescent="0.3">
      <c r="A46" s="148"/>
      <c r="B46" s="12" t="s">
        <v>8</v>
      </c>
      <c r="C46" s="18">
        <v>0</v>
      </c>
      <c r="D46" s="18">
        <v>38</v>
      </c>
      <c r="E46" s="18">
        <v>32</v>
      </c>
      <c r="F46" s="18">
        <v>5</v>
      </c>
      <c r="G46" s="32">
        <f>SUM(C46:F46)</f>
        <v>75</v>
      </c>
    </row>
    <row r="47" spans="1:7" ht="15" customHeight="1" x14ac:dyDescent="0.3">
      <c r="A47" s="148"/>
      <c r="B47" s="12" t="s">
        <v>9</v>
      </c>
      <c r="C47" s="18">
        <v>0</v>
      </c>
      <c r="D47" s="18">
        <v>82</v>
      </c>
      <c r="E47" s="18">
        <v>128</v>
      </c>
      <c r="F47" s="18">
        <v>11</v>
      </c>
      <c r="G47" s="32">
        <f>SUM(C47:F47)</f>
        <v>221</v>
      </c>
    </row>
    <row r="48" spans="1:7" ht="15" customHeight="1" x14ac:dyDescent="0.3">
      <c r="A48" s="147" t="s">
        <v>5</v>
      </c>
      <c r="B48" s="10" t="s">
        <v>7</v>
      </c>
      <c r="C48" s="33">
        <v>1</v>
      </c>
      <c r="D48" s="33">
        <v>1</v>
      </c>
      <c r="E48" s="33">
        <v>4</v>
      </c>
      <c r="F48" s="33">
        <v>2</v>
      </c>
      <c r="G48" s="34">
        <f>SUM(C48:F48)</f>
        <v>8</v>
      </c>
    </row>
    <row r="49" spans="1:7" ht="15" customHeight="1" x14ac:dyDescent="0.3">
      <c r="A49" s="147"/>
      <c r="B49" s="10" t="s">
        <v>8</v>
      </c>
      <c r="C49" s="33">
        <v>6</v>
      </c>
      <c r="D49" s="33">
        <v>5</v>
      </c>
      <c r="E49" s="33">
        <v>16</v>
      </c>
      <c r="F49" s="33">
        <v>16</v>
      </c>
      <c r="G49" s="34">
        <f t="shared" ref="G49:G50" si="6">SUM(C49:F49)</f>
        <v>43</v>
      </c>
    </row>
    <row r="50" spans="1:7" ht="15" customHeight="1" x14ac:dyDescent="0.3">
      <c r="A50" s="147"/>
      <c r="B50" s="10" t="s">
        <v>9</v>
      </c>
      <c r="C50" s="33">
        <v>12</v>
      </c>
      <c r="D50" s="33">
        <v>11</v>
      </c>
      <c r="E50" s="33">
        <v>36</v>
      </c>
      <c r="F50" s="33">
        <v>29</v>
      </c>
      <c r="G50" s="34">
        <f t="shared" si="6"/>
        <v>88</v>
      </c>
    </row>
    <row r="51" spans="1:7" ht="15" customHeight="1" x14ac:dyDescent="0.3">
      <c r="A51" s="167" t="s">
        <v>1</v>
      </c>
      <c r="B51" s="111" t="s">
        <v>7</v>
      </c>
      <c r="C51" s="112">
        <f t="shared" ref="C51:G53" si="7">C42+C39+C33+C36+C48+C45</f>
        <v>25</v>
      </c>
      <c r="D51" s="112">
        <f t="shared" si="7"/>
        <v>212</v>
      </c>
      <c r="E51" s="112">
        <f t="shared" si="7"/>
        <v>678</v>
      </c>
      <c r="F51" s="112">
        <f t="shared" si="7"/>
        <v>242</v>
      </c>
      <c r="G51" s="112">
        <f t="shared" si="7"/>
        <v>1157</v>
      </c>
    </row>
    <row r="52" spans="1:7" ht="15" customHeight="1" x14ac:dyDescent="0.3">
      <c r="A52" s="167"/>
      <c r="B52" s="111" t="s">
        <v>8</v>
      </c>
      <c r="C52" s="112">
        <f t="shared" si="7"/>
        <v>240</v>
      </c>
      <c r="D52" s="112">
        <f t="shared" si="7"/>
        <v>1553</v>
      </c>
      <c r="E52" s="112">
        <f t="shared" si="7"/>
        <v>4234</v>
      </c>
      <c r="F52" s="112">
        <f t="shared" si="7"/>
        <v>1324</v>
      </c>
      <c r="G52" s="112">
        <f t="shared" si="7"/>
        <v>7351</v>
      </c>
    </row>
    <row r="53" spans="1:7" ht="15" customHeight="1" x14ac:dyDescent="0.3">
      <c r="A53" s="167"/>
      <c r="B53" s="111" t="s">
        <v>9</v>
      </c>
      <c r="C53" s="112">
        <f t="shared" si="7"/>
        <v>549</v>
      </c>
      <c r="D53" s="112">
        <f t="shared" si="7"/>
        <v>3948</v>
      </c>
      <c r="E53" s="112">
        <f t="shared" si="7"/>
        <v>9876</v>
      </c>
      <c r="F53" s="112">
        <f t="shared" si="7"/>
        <v>2851</v>
      </c>
      <c r="G53" s="112">
        <f t="shared" si="7"/>
        <v>17224</v>
      </c>
    </row>
    <row r="54" spans="1:7" ht="15" customHeight="1" x14ac:dyDescent="0.3">
      <c r="A54" s="81" t="s">
        <v>112</v>
      </c>
      <c r="B54" s="82"/>
      <c r="C54" s="82"/>
      <c r="D54" s="82"/>
      <c r="E54" s="82"/>
      <c r="F54" s="83"/>
      <c r="G54" s="83"/>
    </row>
    <row r="57" spans="1:7" ht="15" customHeight="1" x14ac:dyDescent="0.3">
      <c r="A57" s="146" t="s">
        <v>78</v>
      </c>
      <c r="B57" s="146"/>
      <c r="C57" s="146"/>
      <c r="D57" s="146"/>
      <c r="E57" s="146"/>
      <c r="F57" s="146"/>
      <c r="G57" s="146"/>
    </row>
    <row r="58" spans="1:7" ht="15" customHeight="1" x14ac:dyDescent="0.3">
      <c r="A58" s="146" t="s">
        <v>79</v>
      </c>
      <c r="B58" s="146"/>
      <c r="C58" s="146"/>
      <c r="D58" s="146"/>
      <c r="E58" s="146"/>
      <c r="F58" s="146"/>
      <c r="G58" s="146"/>
    </row>
    <row r="59" spans="1:7" ht="15" customHeight="1" x14ac:dyDescent="0.3">
      <c r="A59" s="91" t="s">
        <v>103</v>
      </c>
      <c r="B59" s="92"/>
      <c r="C59" s="92" t="s">
        <v>56</v>
      </c>
      <c r="D59" s="92" t="s">
        <v>57</v>
      </c>
      <c r="E59" s="92" t="s">
        <v>58</v>
      </c>
      <c r="F59" s="92" t="s">
        <v>59</v>
      </c>
      <c r="G59" s="92" t="s">
        <v>1</v>
      </c>
    </row>
    <row r="60" spans="1:7" ht="15" customHeight="1" x14ac:dyDescent="0.3">
      <c r="A60" s="148" t="s">
        <v>10</v>
      </c>
      <c r="B60" s="12" t="s">
        <v>7</v>
      </c>
      <c r="C60" s="35">
        <v>16</v>
      </c>
      <c r="D60" s="35">
        <v>154</v>
      </c>
      <c r="E60" s="35">
        <v>567</v>
      </c>
      <c r="F60" s="35">
        <v>171</v>
      </c>
      <c r="G60" s="36">
        <f>SUM(C60:F60)</f>
        <v>908</v>
      </c>
    </row>
    <row r="61" spans="1:7" ht="15" customHeight="1" x14ac:dyDescent="0.3">
      <c r="A61" s="148"/>
      <c r="B61" s="12" t="s">
        <v>8</v>
      </c>
      <c r="C61" s="35">
        <v>181</v>
      </c>
      <c r="D61" s="35">
        <v>1143</v>
      </c>
      <c r="E61" s="35">
        <v>3597</v>
      </c>
      <c r="F61" s="35">
        <v>962</v>
      </c>
      <c r="G61" s="36">
        <f>SUM(C61:F61)</f>
        <v>5883</v>
      </c>
    </row>
    <row r="62" spans="1:7" ht="15" customHeight="1" x14ac:dyDescent="0.3">
      <c r="A62" s="148"/>
      <c r="B62" s="12" t="s">
        <v>9</v>
      </c>
      <c r="C62" s="35">
        <v>404</v>
      </c>
      <c r="D62" s="35">
        <v>2877</v>
      </c>
      <c r="E62" s="35">
        <v>8268</v>
      </c>
      <c r="F62" s="35">
        <v>2048</v>
      </c>
      <c r="G62" s="36">
        <f>SUM(C62:F62)</f>
        <v>13597</v>
      </c>
    </row>
    <row r="63" spans="1:7" ht="15" customHeight="1" x14ac:dyDescent="0.3">
      <c r="A63" s="147" t="s">
        <v>4</v>
      </c>
      <c r="B63" s="10" t="s">
        <v>7</v>
      </c>
      <c r="C63" s="37">
        <v>4</v>
      </c>
      <c r="D63" s="37">
        <v>33</v>
      </c>
      <c r="E63" s="37">
        <v>55</v>
      </c>
      <c r="F63" s="37">
        <v>19</v>
      </c>
      <c r="G63" s="38">
        <f>SUM(C63:F63)</f>
        <v>111</v>
      </c>
    </row>
    <row r="64" spans="1:7" ht="15" customHeight="1" x14ac:dyDescent="0.3">
      <c r="A64" s="147"/>
      <c r="B64" s="10" t="s">
        <v>8</v>
      </c>
      <c r="C64" s="37">
        <v>27</v>
      </c>
      <c r="D64" s="37">
        <v>235</v>
      </c>
      <c r="E64" s="37">
        <v>321</v>
      </c>
      <c r="F64" s="37">
        <v>102</v>
      </c>
      <c r="G64" s="38">
        <f t="shared" ref="G64:G65" si="8">SUM(C64:F64)</f>
        <v>685</v>
      </c>
    </row>
    <row r="65" spans="1:7" ht="15" customHeight="1" x14ac:dyDescent="0.3">
      <c r="A65" s="147"/>
      <c r="B65" s="10" t="s">
        <v>9</v>
      </c>
      <c r="C65" s="37">
        <v>68</v>
      </c>
      <c r="D65" s="37">
        <v>666</v>
      </c>
      <c r="E65" s="37">
        <v>866</v>
      </c>
      <c r="F65" s="37">
        <v>270</v>
      </c>
      <c r="G65" s="38">
        <f t="shared" si="8"/>
        <v>1870</v>
      </c>
    </row>
    <row r="66" spans="1:7" ht="15" customHeight="1" x14ac:dyDescent="0.3">
      <c r="A66" s="148" t="s">
        <v>3</v>
      </c>
      <c r="B66" s="12" t="s">
        <v>7</v>
      </c>
      <c r="C66" s="35">
        <v>2</v>
      </c>
      <c r="D66" s="35">
        <v>18</v>
      </c>
      <c r="E66" s="35">
        <v>25</v>
      </c>
      <c r="F66" s="35">
        <v>45</v>
      </c>
      <c r="G66" s="36">
        <f>SUM(C66:F66)</f>
        <v>90</v>
      </c>
    </row>
    <row r="67" spans="1:7" ht="15" customHeight="1" x14ac:dyDescent="0.3">
      <c r="A67" s="148"/>
      <c r="B67" s="12" t="s">
        <v>8</v>
      </c>
      <c r="C67" s="35">
        <v>11</v>
      </c>
      <c r="D67" s="35">
        <v>120</v>
      </c>
      <c r="E67" s="35">
        <v>186</v>
      </c>
      <c r="F67" s="35">
        <v>270</v>
      </c>
      <c r="G67" s="36">
        <f>SUM(C67:F67)</f>
        <v>587</v>
      </c>
    </row>
    <row r="68" spans="1:7" ht="15" customHeight="1" x14ac:dyDescent="0.3">
      <c r="A68" s="148"/>
      <c r="B68" s="12" t="s">
        <v>9</v>
      </c>
      <c r="C68" s="35">
        <v>27</v>
      </c>
      <c r="D68" s="35">
        <v>281</v>
      </c>
      <c r="E68" s="35">
        <v>388</v>
      </c>
      <c r="F68" s="35">
        <v>559</v>
      </c>
      <c r="G68" s="36">
        <f>SUM(C68:F68)</f>
        <v>1255</v>
      </c>
    </row>
    <row r="69" spans="1:7" ht="15" customHeight="1" x14ac:dyDescent="0.3">
      <c r="A69" s="147" t="s">
        <v>2</v>
      </c>
      <c r="B69" s="10" t="s">
        <v>7</v>
      </c>
      <c r="C69" s="37">
        <v>2</v>
      </c>
      <c r="D69" s="37">
        <v>3</v>
      </c>
      <c r="E69" s="37">
        <v>7</v>
      </c>
      <c r="F69" s="37">
        <v>0</v>
      </c>
      <c r="G69" s="38">
        <f t="shared" ref="G69:G71" si="9">SUM(C69:F69)</f>
        <v>12</v>
      </c>
    </row>
    <row r="70" spans="1:7" ht="15" customHeight="1" x14ac:dyDescent="0.3">
      <c r="A70" s="147"/>
      <c r="B70" s="10" t="s">
        <v>8</v>
      </c>
      <c r="C70" s="37">
        <v>15</v>
      </c>
      <c r="D70" s="37">
        <v>20</v>
      </c>
      <c r="E70" s="37">
        <v>47</v>
      </c>
      <c r="F70" s="37">
        <v>0</v>
      </c>
      <c r="G70" s="38">
        <f t="shared" si="9"/>
        <v>82</v>
      </c>
    </row>
    <row r="71" spans="1:7" ht="15" customHeight="1" x14ac:dyDescent="0.3">
      <c r="A71" s="147"/>
      <c r="B71" s="10" t="s">
        <v>9</v>
      </c>
      <c r="C71" s="37">
        <v>38</v>
      </c>
      <c r="D71" s="37">
        <v>43</v>
      </c>
      <c r="E71" s="37">
        <v>110</v>
      </c>
      <c r="F71" s="37">
        <v>0</v>
      </c>
      <c r="G71" s="38">
        <f t="shared" si="9"/>
        <v>191</v>
      </c>
    </row>
    <row r="72" spans="1:7" ht="15" customHeight="1" x14ac:dyDescent="0.3">
      <c r="A72" s="148" t="s">
        <v>6</v>
      </c>
      <c r="B72" s="12" t="s">
        <v>7</v>
      </c>
      <c r="C72" s="35">
        <v>0</v>
      </c>
      <c r="D72" s="35">
        <v>4</v>
      </c>
      <c r="E72" s="35">
        <v>6</v>
      </c>
      <c r="F72" s="35">
        <v>1</v>
      </c>
      <c r="G72" s="36">
        <f>SUM(C72:F72)</f>
        <v>11</v>
      </c>
    </row>
    <row r="73" spans="1:7" ht="15" customHeight="1" x14ac:dyDescent="0.3">
      <c r="A73" s="148"/>
      <c r="B73" s="12" t="s">
        <v>8</v>
      </c>
      <c r="C73" s="35">
        <v>0</v>
      </c>
      <c r="D73" s="35">
        <v>38</v>
      </c>
      <c r="E73" s="35">
        <v>23</v>
      </c>
      <c r="F73" s="35">
        <v>5</v>
      </c>
      <c r="G73" s="36">
        <f>SUM(C73:F73)</f>
        <v>66</v>
      </c>
    </row>
    <row r="74" spans="1:7" ht="15" customHeight="1" x14ac:dyDescent="0.3">
      <c r="A74" s="148"/>
      <c r="B74" s="12" t="s">
        <v>9</v>
      </c>
      <c r="C74" s="35">
        <v>0</v>
      </c>
      <c r="D74" s="35">
        <v>82</v>
      </c>
      <c r="E74" s="35">
        <v>94</v>
      </c>
      <c r="F74" s="35">
        <v>11</v>
      </c>
      <c r="G74" s="36">
        <f>SUM(C74:F74)</f>
        <v>187</v>
      </c>
    </row>
    <row r="75" spans="1:7" ht="15" customHeight="1" x14ac:dyDescent="0.3">
      <c r="A75" s="147" t="s">
        <v>5</v>
      </c>
      <c r="B75" s="10" t="s">
        <v>7</v>
      </c>
      <c r="C75" s="37">
        <v>1</v>
      </c>
      <c r="D75" s="37">
        <v>1</v>
      </c>
      <c r="E75" s="37">
        <v>3</v>
      </c>
      <c r="F75" s="37">
        <v>2</v>
      </c>
      <c r="G75" s="38">
        <f>SUM(C75:F75)</f>
        <v>7</v>
      </c>
    </row>
    <row r="76" spans="1:7" ht="15" customHeight="1" x14ac:dyDescent="0.3">
      <c r="A76" s="147"/>
      <c r="B76" s="10" t="s">
        <v>8</v>
      </c>
      <c r="C76" s="37">
        <v>6</v>
      </c>
      <c r="D76" s="37">
        <v>5</v>
      </c>
      <c r="E76" s="37">
        <v>16</v>
      </c>
      <c r="F76" s="37">
        <v>16</v>
      </c>
      <c r="G76" s="38">
        <f t="shared" ref="G76:G77" si="10">SUM(C76:F76)</f>
        <v>43</v>
      </c>
    </row>
    <row r="77" spans="1:7" ht="15" customHeight="1" x14ac:dyDescent="0.3">
      <c r="A77" s="147"/>
      <c r="B77" s="10" t="s">
        <v>9</v>
      </c>
      <c r="C77" s="37">
        <v>12</v>
      </c>
      <c r="D77" s="37">
        <v>11</v>
      </c>
      <c r="E77" s="37">
        <v>36</v>
      </c>
      <c r="F77" s="37">
        <v>29</v>
      </c>
      <c r="G77" s="38">
        <f t="shared" si="10"/>
        <v>88</v>
      </c>
    </row>
    <row r="78" spans="1:7" ht="15" customHeight="1" x14ac:dyDescent="0.3">
      <c r="A78" s="167" t="s">
        <v>1</v>
      </c>
      <c r="B78" s="109" t="s">
        <v>7</v>
      </c>
      <c r="C78" s="110">
        <f t="shared" ref="C78:G80" si="11">C69+C66+C60+C63+C75+C72</f>
        <v>25</v>
      </c>
      <c r="D78" s="110">
        <f t="shared" si="11"/>
        <v>213</v>
      </c>
      <c r="E78" s="110">
        <f t="shared" si="11"/>
        <v>663</v>
      </c>
      <c r="F78" s="110">
        <f t="shared" si="11"/>
        <v>238</v>
      </c>
      <c r="G78" s="110">
        <f t="shared" si="11"/>
        <v>1139</v>
      </c>
    </row>
    <row r="79" spans="1:7" ht="15" customHeight="1" x14ac:dyDescent="0.3">
      <c r="A79" s="167"/>
      <c r="B79" s="109" t="s">
        <v>8</v>
      </c>
      <c r="C79" s="110">
        <f t="shared" si="11"/>
        <v>240</v>
      </c>
      <c r="D79" s="110">
        <f t="shared" si="11"/>
        <v>1561</v>
      </c>
      <c r="E79" s="110">
        <f t="shared" si="11"/>
        <v>4190</v>
      </c>
      <c r="F79" s="110">
        <f t="shared" si="11"/>
        <v>1355</v>
      </c>
      <c r="G79" s="110">
        <f t="shared" si="11"/>
        <v>7346</v>
      </c>
    </row>
    <row r="80" spans="1:7" ht="15" customHeight="1" x14ac:dyDescent="0.3">
      <c r="A80" s="167"/>
      <c r="B80" s="109" t="s">
        <v>9</v>
      </c>
      <c r="C80" s="110">
        <f t="shared" si="11"/>
        <v>549</v>
      </c>
      <c r="D80" s="110">
        <f t="shared" si="11"/>
        <v>3960</v>
      </c>
      <c r="E80" s="110">
        <f t="shared" si="11"/>
        <v>9762</v>
      </c>
      <c r="F80" s="110">
        <f t="shared" si="11"/>
        <v>2917</v>
      </c>
      <c r="G80" s="110">
        <f t="shared" si="11"/>
        <v>17188</v>
      </c>
    </row>
    <row r="81" spans="1:8" ht="15" customHeight="1" x14ac:dyDescent="0.3">
      <c r="A81" s="81" t="s">
        <v>112</v>
      </c>
      <c r="B81" s="82"/>
      <c r="C81" s="82"/>
      <c r="D81" s="82"/>
      <c r="E81" s="82"/>
      <c r="F81" s="83"/>
      <c r="G81" s="83"/>
      <c r="H81" s="83"/>
    </row>
  </sheetData>
  <mergeCells count="27">
    <mergeCell ref="A57:G57"/>
    <mergeCell ref="A58:G58"/>
    <mergeCell ref="A63:A65"/>
    <mergeCell ref="A72:A74"/>
    <mergeCell ref="A78:A80"/>
    <mergeCell ref="A75:A77"/>
    <mergeCell ref="A69:A71"/>
    <mergeCell ref="A66:A68"/>
    <mergeCell ref="A60:A62"/>
    <mergeCell ref="A36:A38"/>
    <mergeCell ref="A48:A50"/>
    <mergeCell ref="A45:A47"/>
    <mergeCell ref="A51:A53"/>
    <mergeCell ref="A30:G30"/>
    <mergeCell ref="A31:G31"/>
    <mergeCell ref="A42:A44"/>
    <mergeCell ref="A39:A41"/>
    <mergeCell ref="A33:A35"/>
    <mergeCell ref="A15:A17"/>
    <mergeCell ref="A18:A20"/>
    <mergeCell ref="A21:A23"/>
    <mergeCell ref="A24:A26"/>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&amp;L&amp;F&amp;C&amp;P&amp;R&amp;A</oddFooter>
  </headerFooter>
  <rowBreaks count="2" manualBreakCount="2">
    <brk id="27" max="16383" man="1"/>
    <brk id="54"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3:V43"/>
  <sheetViews>
    <sheetView showGridLines="0" zoomScaleNormal="100" workbookViewId="0">
      <pane xSplit="1" topLeftCell="B1" activePane="topRight" state="frozen"/>
      <selection pane="topRight" activeCell="W27" sqref="W27"/>
    </sheetView>
  </sheetViews>
  <sheetFormatPr defaultRowHeight="15" customHeight="1" x14ac:dyDescent="0.3"/>
  <cols>
    <col min="1" max="1" width="16.33203125" style="12" customWidth="1"/>
    <col min="2" max="2" width="23.33203125" style="12" customWidth="1"/>
    <col min="3" max="7" width="8.44140625" style="12" customWidth="1"/>
    <col min="8" max="8" width="10.109375" style="12" customWidth="1"/>
    <col min="9" max="9" width="9.6640625" style="12" bestFit="1" customWidth="1"/>
    <col min="10" max="10" width="11.6640625" style="12" bestFit="1" customWidth="1"/>
    <col min="11" max="17" width="10.109375" style="12" customWidth="1"/>
    <col min="18" max="16384" width="8.88671875" style="12"/>
  </cols>
  <sheetData>
    <row r="3" spans="1:17" ht="15" customHeight="1" x14ac:dyDescent="0.3">
      <c r="A3" s="146" t="s">
        <v>146</v>
      </c>
      <c r="B3" s="146"/>
      <c r="C3" s="146"/>
      <c r="D3" s="146"/>
      <c r="E3" s="146"/>
      <c r="F3" s="146"/>
      <c r="G3" s="146"/>
      <c r="H3" s="146"/>
      <c r="I3" s="146"/>
      <c r="J3" s="146"/>
      <c r="K3" s="146"/>
      <c r="L3" s="146"/>
      <c r="M3" s="146"/>
      <c r="N3" s="146"/>
      <c r="O3" s="146"/>
      <c r="P3" s="146"/>
      <c r="Q3" s="146"/>
    </row>
    <row r="4" spans="1:17" ht="15" customHeight="1" x14ac:dyDescent="0.3">
      <c r="A4" s="91" t="s">
        <v>103</v>
      </c>
      <c r="B4" s="92"/>
      <c r="C4" s="93">
        <v>2010</v>
      </c>
      <c r="D4" s="93">
        <v>2011</v>
      </c>
      <c r="E4" s="93">
        <v>2012</v>
      </c>
      <c r="F4" s="93">
        <v>2013</v>
      </c>
      <c r="G4" s="93">
        <v>2014</v>
      </c>
      <c r="H4" s="93">
        <v>2015</v>
      </c>
      <c r="I4" s="93">
        <v>2016</v>
      </c>
      <c r="J4" s="93">
        <v>2017</v>
      </c>
      <c r="K4" s="93">
        <v>2018</v>
      </c>
      <c r="L4" s="93">
        <v>2019</v>
      </c>
      <c r="M4" s="93">
        <v>2020</v>
      </c>
      <c r="N4" s="93">
        <v>2021</v>
      </c>
      <c r="O4" s="93">
        <v>2022</v>
      </c>
      <c r="P4" s="93">
        <v>2023</v>
      </c>
      <c r="Q4" s="93">
        <v>2024</v>
      </c>
    </row>
    <row r="5" spans="1:17" ht="15" customHeight="1" x14ac:dyDescent="0.3">
      <c r="A5" s="151" t="s">
        <v>2</v>
      </c>
      <c r="B5" s="27" t="s">
        <v>61</v>
      </c>
      <c r="C5" s="13">
        <v>3409</v>
      </c>
      <c r="D5" s="13">
        <v>2560</v>
      </c>
      <c r="E5" s="13">
        <v>2200</v>
      </c>
      <c r="F5" s="13">
        <v>3109</v>
      </c>
      <c r="G5" s="13">
        <v>3205</v>
      </c>
      <c r="H5" s="13">
        <v>2468</v>
      </c>
      <c r="I5" s="13">
        <v>3780</v>
      </c>
      <c r="J5" s="13">
        <v>5701</v>
      </c>
      <c r="K5" s="13">
        <v>5140</v>
      </c>
      <c r="L5" s="13">
        <v>6199</v>
      </c>
      <c r="M5" s="13">
        <v>956</v>
      </c>
      <c r="N5" s="13">
        <v>1799</v>
      </c>
      <c r="O5" s="13">
        <v>5230</v>
      </c>
      <c r="P5" s="13">
        <v>6429</v>
      </c>
      <c r="Q5" s="13">
        <v>5539</v>
      </c>
    </row>
    <row r="6" spans="1:17" ht="15" customHeight="1" x14ac:dyDescent="0.3">
      <c r="A6" s="151"/>
      <c r="B6" s="27" t="s">
        <v>62</v>
      </c>
      <c r="C6" s="13">
        <v>38692</v>
      </c>
      <c r="D6" s="13">
        <v>32619</v>
      </c>
      <c r="E6" s="13">
        <v>27864</v>
      </c>
      <c r="F6" s="13">
        <v>29901</v>
      </c>
      <c r="G6" s="13">
        <v>26684</v>
      </c>
      <c r="H6" s="13">
        <v>25610</v>
      </c>
      <c r="I6" s="13">
        <v>29772</v>
      </c>
      <c r="J6" s="13">
        <v>35453</v>
      </c>
      <c r="K6" s="13">
        <v>32743</v>
      </c>
      <c r="L6" s="13">
        <v>33774</v>
      </c>
      <c r="M6" s="13">
        <v>11918</v>
      </c>
      <c r="N6" s="13">
        <v>17749</v>
      </c>
      <c r="O6" s="13">
        <v>29215</v>
      </c>
      <c r="P6" s="13">
        <v>33283</v>
      </c>
      <c r="Q6" s="13">
        <v>30595</v>
      </c>
    </row>
    <row r="7" spans="1:17" ht="15" customHeight="1" x14ac:dyDescent="0.3">
      <c r="A7" s="151"/>
      <c r="B7" s="27" t="s">
        <v>13</v>
      </c>
      <c r="C7" s="13">
        <v>15574</v>
      </c>
      <c r="D7" s="13">
        <v>8965</v>
      </c>
      <c r="E7" s="13">
        <v>6652</v>
      </c>
      <c r="F7" s="13">
        <v>9828</v>
      </c>
      <c r="G7" s="13">
        <v>9433</v>
      </c>
      <c r="H7" s="13">
        <v>5883</v>
      </c>
      <c r="I7" s="13">
        <v>8037</v>
      </c>
      <c r="J7" s="13">
        <v>13044</v>
      </c>
      <c r="K7" s="13">
        <v>18908</v>
      </c>
      <c r="L7" s="13">
        <v>15724</v>
      </c>
      <c r="M7" s="13">
        <v>2580</v>
      </c>
      <c r="N7" s="13">
        <v>6193</v>
      </c>
      <c r="O7" s="13">
        <v>13828</v>
      </c>
      <c r="P7" s="13">
        <v>16968</v>
      </c>
      <c r="Q7" s="13">
        <v>15987</v>
      </c>
    </row>
    <row r="8" spans="1:17" ht="15" customHeight="1" x14ac:dyDescent="0.3">
      <c r="A8" s="151"/>
      <c r="B8" s="27" t="s">
        <v>14</v>
      </c>
      <c r="C8" s="13">
        <v>65768</v>
      </c>
      <c r="D8" s="13">
        <v>57775</v>
      </c>
      <c r="E8" s="13">
        <v>62500</v>
      </c>
      <c r="F8" s="13">
        <v>70307</v>
      </c>
      <c r="G8" s="13">
        <v>64008</v>
      </c>
      <c r="H8" s="13">
        <v>49237</v>
      </c>
      <c r="I8" s="13">
        <v>53164</v>
      </c>
      <c r="J8" s="13">
        <v>71873</v>
      </c>
      <c r="K8" s="13">
        <v>62914</v>
      </c>
      <c r="L8" s="13">
        <v>71106</v>
      </c>
      <c r="M8" s="13">
        <v>21567</v>
      </c>
      <c r="N8" s="13">
        <v>33673</v>
      </c>
      <c r="O8" s="13">
        <v>62526</v>
      </c>
      <c r="P8" s="13">
        <v>74101</v>
      </c>
      <c r="Q8" s="13">
        <v>69329</v>
      </c>
    </row>
    <row r="9" spans="1:17" ht="15" customHeight="1" x14ac:dyDescent="0.3">
      <c r="A9" s="151"/>
      <c r="B9" s="27" t="s">
        <v>15</v>
      </c>
      <c r="C9" s="28">
        <v>0.23</v>
      </c>
      <c r="D9" s="28">
        <v>0.17699999999999999</v>
      </c>
      <c r="E9" s="28">
        <v>0.17799999999999999</v>
      </c>
      <c r="F9" s="28">
        <v>0.20699999999999999</v>
      </c>
      <c r="G9" s="28">
        <v>0.189</v>
      </c>
      <c r="H9" s="28">
        <v>0.156</v>
      </c>
      <c r="I9" s="28">
        <v>0.14799999999999999</v>
      </c>
      <c r="J9" s="28">
        <v>0.11899999999999999</v>
      </c>
      <c r="K9" s="28">
        <v>0.11700000000000001</v>
      </c>
      <c r="L9" s="28">
        <v>0.13100000000000001</v>
      </c>
      <c r="M9" s="28">
        <v>5.5E-2</v>
      </c>
      <c r="N9" s="28">
        <v>0.14499999999999999</v>
      </c>
      <c r="O9" s="28">
        <v>0.20899999999999999</v>
      </c>
      <c r="P9" s="28">
        <v>0.247</v>
      </c>
      <c r="Q9" s="28">
        <v>0.247</v>
      </c>
    </row>
    <row r="10" spans="1:17" ht="15" customHeight="1" x14ac:dyDescent="0.3">
      <c r="A10" s="169" t="s">
        <v>3</v>
      </c>
      <c r="B10" s="29" t="s">
        <v>61</v>
      </c>
      <c r="C10" s="30">
        <v>19556</v>
      </c>
      <c r="D10" s="30">
        <v>26074</v>
      </c>
      <c r="E10" s="30">
        <v>24988</v>
      </c>
      <c r="F10" s="30">
        <v>27670</v>
      </c>
      <c r="G10" s="30">
        <v>38283</v>
      </c>
      <c r="H10" s="30">
        <v>46496</v>
      </c>
      <c r="I10" s="30">
        <v>42734</v>
      </c>
      <c r="J10" s="30">
        <v>51370</v>
      </c>
      <c r="K10" s="30">
        <v>57029</v>
      </c>
      <c r="L10" s="30">
        <v>57805</v>
      </c>
      <c r="M10" s="30">
        <v>11285</v>
      </c>
      <c r="N10" s="30">
        <v>17749</v>
      </c>
      <c r="O10" s="30">
        <v>53640</v>
      </c>
      <c r="P10" s="30">
        <v>74083</v>
      </c>
      <c r="Q10" s="30">
        <v>95315</v>
      </c>
    </row>
    <row r="11" spans="1:17" ht="15" customHeight="1" x14ac:dyDescent="0.3">
      <c r="A11" s="169"/>
      <c r="B11" s="29" t="s">
        <v>63</v>
      </c>
      <c r="C11" s="30">
        <v>140374</v>
      </c>
      <c r="D11" s="30">
        <v>127094</v>
      </c>
      <c r="E11" s="30">
        <v>100703</v>
      </c>
      <c r="F11" s="30">
        <v>108730</v>
      </c>
      <c r="G11" s="30">
        <v>95133</v>
      </c>
      <c r="H11" s="30">
        <v>91142</v>
      </c>
      <c r="I11" s="30">
        <v>90739</v>
      </c>
      <c r="J11" s="30">
        <v>92688</v>
      </c>
      <c r="K11" s="30">
        <v>102550</v>
      </c>
      <c r="L11" s="30">
        <v>100431</v>
      </c>
      <c r="M11" s="30">
        <v>62703</v>
      </c>
      <c r="N11" s="30">
        <v>68138</v>
      </c>
      <c r="O11" s="30">
        <v>97956</v>
      </c>
      <c r="P11" s="30">
        <v>98358</v>
      </c>
      <c r="Q11" s="30">
        <v>105279</v>
      </c>
    </row>
    <row r="12" spans="1:17" ht="15" customHeight="1" x14ac:dyDescent="0.3">
      <c r="A12" s="169"/>
      <c r="B12" s="29" t="s">
        <v>13</v>
      </c>
      <c r="C12" s="30">
        <v>53717</v>
      </c>
      <c r="D12" s="30">
        <v>79989</v>
      </c>
      <c r="E12" s="30">
        <v>69741</v>
      </c>
      <c r="F12" s="30">
        <v>64781</v>
      </c>
      <c r="G12" s="30">
        <v>83346</v>
      </c>
      <c r="H12" s="30">
        <v>116493</v>
      </c>
      <c r="I12" s="30">
        <v>106942</v>
      </c>
      <c r="J12" s="30">
        <v>132986</v>
      </c>
      <c r="K12" s="30">
        <v>127348</v>
      </c>
      <c r="L12" s="30">
        <v>129953</v>
      </c>
      <c r="M12" s="30">
        <v>43163</v>
      </c>
      <c r="N12" s="30">
        <v>59065</v>
      </c>
      <c r="O12" s="30">
        <v>140128</v>
      </c>
      <c r="P12" s="30">
        <v>178749</v>
      </c>
      <c r="Q12" s="30">
        <v>212621</v>
      </c>
    </row>
    <row r="13" spans="1:17" ht="15" customHeight="1" x14ac:dyDescent="0.3">
      <c r="A13" s="169"/>
      <c r="B13" s="29" t="s">
        <v>14</v>
      </c>
      <c r="C13" s="30">
        <v>302275</v>
      </c>
      <c r="D13" s="30">
        <v>276163</v>
      </c>
      <c r="E13" s="30">
        <v>310667</v>
      </c>
      <c r="F13" s="30">
        <v>331027</v>
      </c>
      <c r="G13" s="30">
        <v>270851</v>
      </c>
      <c r="H13" s="30">
        <v>218104</v>
      </c>
      <c r="I13" s="30">
        <v>246532</v>
      </c>
      <c r="J13" s="30">
        <v>244885</v>
      </c>
      <c r="K13" s="30">
        <v>237392</v>
      </c>
      <c r="L13" s="30">
        <v>235767</v>
      </c>
      <c r="M13" s="30">
        <v>216396</v>
      </c>
      <c r="N13" s="30">
        <v>161437</v>
      </c>
      <c r="O13" s="30">
        <v>222374</v>
      </c>
      <c r="P13" s="30">
        <v>224894</v>
      </c>
      <c r="Q13" s="30">
        <v>230923</v>
      </c>
    </row>
    <row r="14" spans="1:17" ht="15" customHeight="1" x14ac:dyDescent="0.3">
      <c r="A14" s="169"/>
      <c r="B14" s="29" t="s">
        <v>15</v>
      </c>
      <c r="C14" s="31">
        <v>0.33400000000000002</v>
      </c>
      <c r="D14" s="31">
        <v>0.249</v>
      </c>
      <c r="E14" s="31">
        <v>0.3</v>
      </c>
      <c r="F14" s="31">
        <v>0.155</v>
      </c>
      <c r="G14" s="31">
        <v>0.27400000000000002</v>
      </c>
      <c r="H14" s="31">
        <v>0.27500000000000002</v>
      </c>
      <c r="I14" s="31">
        <v>0.28999999999999998</v>
      </c>
      <c r="J14" s="31">
        <v>0.308</v>
      </c>
      <c r="K14" s="31">
        <v>0.28000000000000003</v>
      </c>
      <c r="L14" s="31">
        <v>0.27500000000000002</v>
      </c>
      <c r="M14" s="31"/>
      <c r="N14" s="31">
        <v>0.23499999999999999</v>
      </c>
      <c r="O14" s="31">
        <v>0.32</v>
      </c>
      <c r="P14" s="31">
        <v>0.35899999999999999</v>
      </c>
      <c r="Q14" s="31">
        <v>0.38800000000000001</v>
      </c>
    </row>
    <row r="15" spans="1:17" ht="15" customHeight="1" x14ac:dyDescent="0.3">
      <c r="A15" s="151" t="s">
        <v>10</v>
      </c>
      <c r="B15" s="27" t="s">
        <v>61</v>
      </c>
      <c r="C15" s="13">
        <v>56746</v>
      </c>
      <c r="D15" s="13">
        <v>65567</v>
      </c>
      <c r="E15" s="13">
        <v>71271</v>
      </c>
      <c r="F15" s="13">
        <v>88679</v>
      </c>
      <c r="G15" s="13">
        <v>97993</v>
      </c>
      <c r="H15" s="13">
        <v>106585</v>
      </c>
      <c r="I15" s="13">
        <v>115248</v>
      </c>
      <c r="J15" s="13">
        <v>121458</v>
      </c>
      <c r="K15" s="13">
        <v>162000</v>
      </c>
      <c r="L15" s="13">
        <v>164416</v>
      </c>
      <c r="M15" s="13">
        <v>31686</v>
      </c>
      <c r="N15" s="13">
        <v>80851</v>
      </c>
      <c r="O15" s="13">
        <v>135776</v>
      </c>
      <c r="P15" s="13">
        <v>156541</v>
      </c>
      <c r="Q15" s="13">
        <v>165004</v>
      </c>
    </row>
    <row r="16" spans="1:17" ht="15" customHeight="1" x14ac:dyDescent="0.3">
      <c r="A16" s="151"/>
      <c r="B16" s="27" t="s">
        <v>63</v>
      </c>
      <c r="C16" s="13">
        <v>35582</v>
      </c>
      <c r="D16" s="13">
        <v>31028</v>
      </c>
      <c r="E16" s="13">
        <v>23137</v>
      </c>
      <c r="F16" s="13">
        <v>23924</v>
      </c>
      <c r="G16" s="13">
        <v>21927</v>
      </c>
      <c r="H16" s="13">
        <v>22864</v>
      </c>
      <c r="I16" s="13">
        <v>26280</v>
      </c>
      <c r="J16" s="13">
        <v>23196</v>
      </c>
      <c r="K16" s="13">
        <v>37525</v>
      </c>
      <c r="L16" s="13">
        <v>38227</v>
      </c>
      <c r="M16" s="13">
        <v>29039</v>
      </c>
      <c r="N16" s="13">
        <v>30275</v>
      </c>
      <c r="O16" s="13">
        <v>33428</v>
      </c>
      <c r="P16" s="13">
        <v>36817</v>
      </c>
      <c r="Q16" s="13">
        <v>36929</v>
      </c>
    </row>
    <row r="17" spans="1:17" ht="15" customHeight="1" x14ac:dyDescent="0.3">
      <c r="A17" s="151"/>
      <c r="B17" s="27" t="s">
        <v>13</v>
      </c>
      <c r="C17" s="13">
        <v>427555</v>
      </c>
      <c r="D17" s="13">
        <v>479007</v>
      </c>
      <c r="E17" s="13">
        <v>494186</v>
      </c>
      <c r="F17" s="13">
        <v>597211</v>
      </c>
      <c r="G17" s="13">
        <v>616405</v>
      </c>
      <c r="H17" s="13">
        <v>691924</v>
      </c>
      <c r="I17" s="13">
        <v>650945</v>
      </c>
      <c r="J17" s="13">
        <v>727868</v>
      </c>
      <c r="K17" s="13">
        <v>894569</v>
      </c>
      <c r="L17" s="13">
        <v>895558</v>
      </c>
      <c r="M17" s="13">
        <v>203360</v>
      </c>
      <c r="N17" s="13">
        <v>530016</v>
      </c>
      <c r="O17" s="13">
        <v>871450</v>
      </c>
      <c r="P17" s="13">
        <v>993071</v>
      </c>
      <c r="Q17" s="13">
        <v>1007492</v>
      </c>
    </row>
    <row r="18" spans="1:17" ht="15" customHeight="1" x14ac:dyDescent="0.3">
      <c r="A18" s="151"/>
      <c r="B18" s="27" t="s">
        <v>14</v>
      </c>
      <c r="C18" s="13">
        <v>128068</v>
      </c>
      <c r="D18" s="13">
        <v>124309</v>
      </c>
      <c r="E18" s="13">
        <v>80750</v>
      </c>
      <c r="F18" s="13">
        <v>82207</v>
      </c>
      <c r="G18" s="13">
        <v>75310</v>
      </c>
      <c r="H18" s="13">
        <v>79656</v>
      </c>
      <c r="I18" s="13">
        <v>96946</v>
      </c>
      <c r="J18" s="13">
        <v>75376</v>
      </c>
      <c r="K18" s="13">
        <v>116250</v>
      </c>
      <c r="L18" s="13">
        <v>117515</v>
      </c>
      <c r="M18" s="13">
        <v>94192</v>
      </c>
      <c r="N18" s="13">
        <v>111328</v>
      </c>
      <c r="O18" s="13">
        <v>111933</v>
      </c>
      <c r="P18" s="13">
        <v>120193</v>
      </c>
      <c r="Q18" s="13">
        <v>120923</v>
      </c>
    </row>
    <row r="19" spans="1:17" ht="15" customHeight="1" x14ac:dyDescent="0.3">
      <c r="A19" s="151"/>
      <c r="B19" s="27" t="s">
        <v>15</v>
      </c>
      <c r="C19" s="28">
        <v>0.48399999999999999</v>
      </c>
      <c r="D19" s="28">
        <v>0.48399999999999999</v>
      </c>
      <c r="E19" s="28">
        <v>0.438</v>
      </c>
      <c r="F19" s="28">
        <v>0.504</v>
      </c>
      <c r="G19" s="28">
        <v>0.51900000000000002</v>
      </c>
      <c r="H19" s="28">
        <v>0.52900000000000003</v>
      </c>
      <c r="I19" s="28">
        <v>0.50800000000000001</v>
      </c>
      <c r="J19" s="28">
        <v>0.53</v>
      </c>
      <c r="K19" s="28">
        <v>0.45100000000000001</v>
      </c>
      <c r="L19" s="28">
        <v>0.44600000000000001</v>
      </c>
      <c r="M19" s="28">
        <v>0.221</v>
      </c>
      <c r="N19" s="28">
        <v>0.46300000000000002</v>
      </c>
      <c r="O19" s="28">
        <v>0.52</v>
      </c>
      <c r="P19" s="28">
        <v>0.54</v>
      </c>
      <c r="Q19" s="28">
        <v>0.52300000000000002</v>
      </c>
    </row>
    <row r="20" spans="1:17" ht="15" customHeight="1" x14ac:dyDescent="0.3">
      <c r="A20" s="169" t="s">
        <v>4</v>
      </c>
      <c r="B20" s="29" t="s">
        <v>64</v>
      </c>
      <c r="C20" s="30">
        <v>23130</v>
      </c>
      <c r="D20" s="30">
        <v>36001</v>
      </c>
      <c r="E20" s="30">
        <v>38073</v>
      </c>
      <c r="F20" s="30">
        <v>69509</v>
      </c>
      <c r="G20" s="30">
        <v>74788</v>
      </c>
      <c r="H20" s="30">
        <v>89297</v>
      </c>
      <c r="I20" s="30">
        <v>81805</v>
      </c>
      <c r="J20" s="30">
        <v>86513</v>
      </c>
      <c r="K20" s="30">
        <v>90072</v>
      </c>
      <c r="L20" s="30">
        <v>97314</v>
      </c>
      <c r="M20" s="30">
        <v>15483</v>
      </c>
      <c r="N20" s="30">
        <v>31623</v>
      </c>
      <c r="O20" s="30">
        <v>81110</v>
      </c>
      <c r="P20" s="30">
        <v>96902</v>
      </c>
      <c r="Q20" s="30">
        <v>113862</v>
      </c>
    </row>
    <row r="21" spans="1:17" ht="15" customHeight="1" x14ac:dyDescent="0.3">
      <c r="A21" s="169"/>
      <c r="B21" s="29" t="s">
        <v>65</v>
      </c>
      <c r="C21" s="30">
        <v>55209</v>
      </c>
      <c r="D21" s="30">
        <v>56237</v>
      </c>
      <c r="E21" s="30">
        <v>43422</v>
      </c>
      <c r="F21" s="30">
        <v>61227</v>
      </c>
      <c r="G21" s="30">
        <v>61583</v>
      </c>
      <c r="H21" s="30">
        <v>69148</v>
      </c>
      <c r="I21" s="30">
        <v>69815</v>
      </c>
      <c r="J21" s="30">
        <v>70973</v>
      </c>
      <c r="K21" s="30">
        <v>71677</v>
      </c>
      <c r="L21" s="30">
        <v>71220</v>
      </c>
      <c r="M21" s="30">
        <v>30754</v>
      </c>
      <c r="N21" s="30">
        <v>41774</v>
      </c>
      <c r="O21" s="30">
        <v>60870</v>
      </c>
      <c r="P21" s="30">
        <v>67006</v>
      </c>
      <c r="Q21" s="30">
        <v>65185</v>
      </c>
    </row>
    <row r="22" spans="1:17" ht="15" customHeight="1" x14ac:dyDescent="0.3">
      <c r="A22" s="169"/>
      <c r="B22" s="29" t="s">
        <v>37</v>
      </c>
      <c r="C22" s="30">
        <v>51998</v>
      </c>
      <c r="D22" s="30">
        <v>81186</v>
      </c>
      <c r="E22" s="30">
        <v>85854</v>
      </c>
      <c r="F22" s="30">
        <v>146172</v>
      </c>
      <c r="G22" s="30">
        <v>162323</v>
      </c>
      <c r="H22" s="30">
        <v>189142</v>
      </c>
      <c r="I22" s="30">
        <v>177113</v>
      </c>
      <c r="J22" s="30">
        <v>195906</v>
      </c>
      <c r="K22" s="30">
        <v>230987</v>
      </c>
      <c r="L22" s="30">
        <v>245977</v>
      </c>
      <c r="M22" s="30">
        <v>41887</v>
      </c>
      <c r="N22" s="30">
        <v>91796</v>
      </c>
      <c r="O22" s="30">
        <v>215463</v>
      </c>
      <c r="P22" s="30">
        <v>262667</v>
      </c>
      <c r="Q22" s="30">
        <v>294778</v>
      </c>
    </row>
    <row r="23" spans="1:17" ht="15" customHeight="1" x14ac:dyDescent="0.3">
      <c r="A23" s="169"/>
      <c r="B23" s="29" t="s">
        <v>38</v>
      </c>
      <c r="C23" s="30">
        <v>151771</v>
      </c>
      <c r="D23" s="30">
        <v>123811</v>
      </c>
      <c r="E23" s="30">
        <v>94540</v>
      </c>
      <c r="F23" s="30">
        <v>129668</v>
      </c>
      <c r="G23" s="30">
        <v>119821</v>
      </c>
      <c r="H23" s="30">
        <v>139366</v>
      </c>
      <c r="I23" s="30">
        <v>145881</v>
      </c>
      <c r="J23" s="30">
        <v>143348</v>
      </c>
      <c r="K23" s="30">
        <v>142492</v>
      </c>
      <c r="L23" s="30">
        <v>133350</v>
      </c>
      <c r="M23" s="30">
        <v>61200</v>
      </c>
      <c r="N23" s="30">
        <v>92088</v>
      </c>
      <c r="O23" s="30">
        <v>122282</v>
      </c>
      <c r="P23" s="30">
        <v>134183</v>
      </c>
      <c r="Q23" s="30">
        <v>129059</v>
      </c>
    </row>
    <row r="24" spans="1:17" ht="15" customHeight="1" x14ac:dyDescent="0.3">
      <c r="A24" s="169"/>
      <c r="B24" s="29" t="s">
        <v>16</v>
      </c>
      <c r="C24" s="31">
        <v>0.23899999999999999</v>
      </c>
      <c r="D24" s="31">
        <v>0.23400000000000001</v>
      </c>
      <c r="E24" s="31">
        <v>0.20100000000000001</v>
      </c>
      <c r="F24" s="31">
        <v>0.316</v>
      </c>
      <c r="G24" s="31">
        <v>0.32300000000000001</v>
      </c>
      <c r="H24" s="31">
        <v>0.371</v>
      </c>
      <c r="I24" s="31">
        <v>0.37</v>
      </c>
      <c r="J24" s="31">
        <v>0.38600000000000001</v>
      </c>
      <c r="K24" s="31">
        <v>0.38</v>
      </c>
      <c r="L24" s="31">
        <v>0.38700000000000001</v>
      </c>
      <c r="M24" s="31">
        <v>0.16500000000000001</v>
      </c>
      <c r="N24" s="31">
        <v>0.26300000000000001</v>
      </c>
      <c r="O24" s="31">
        <v>0.39100000000000001</v>
      </c>
      <c r="P24" s="31">
        <v>0.42799999999999999</v>
      </c>
      <c r="Q24" s="31">
        <v>0.44500000000000001</v>
      </c>
    </row>
    <row r="25" spans="1:17" ht="15" customHeight="1" x14ac:dyDescent="0.3">
      <c r="A25" s="151" t="s">
        <v>5</v>
      </c>
      <c r="B25" s="27" t="s">
        <v>66</v>
      </c>
      <c r="C25" s="13">
        <v>6855</v>
      </c>
      <c r="D25" s="13">
        <v>6753</v>
      </c>
      <c r="E25" s="13">
        <v>5199</v>
      </c>
      <c r="F25" s="13">
        <v>7178</v>
      </c>
      <c r="G25" s="13">
        <v>7896</v>
      </c>
      <c r="H25" s="13">
        <v>9364</v>
      </c>
      <c r="I25" s="13">
        <v>9958</v>
      </c>
      <c r="J25" s="13">
        <v>14503</v>
      </c>
      <c r="K25" s="13">
        <v>13215</v>
      </c>
      <c r="L25" s="13">
        <v>13869</v>
      </c>
      <c r="M25" s="13">
        <v>2866</v>
      </c>
      <c r="N25" s="13">
        <v>4371</v>
      </c>
      <c r="O25" s="13">
        <v>13282</v>
      </c>
      <c r="P25" s="13">
        <v>16011</v>
      </c>
      <c r="Q25" s="13">
        <v>19116</v>
      </c>
    </row>
    <row r="26" spans="1:17" ht="15" customHeight="1" x14ac:dyDescent="0.3">
      <c r="A26" s="151"/>
      <c r="B26" s="27" t="s">
        <v>67</v>
      </c>
      <c r="C26" s="13">
        <v>67964</v>
      </c>
      <c r="D26" s="13">
        <v>57253</v>
      </c>
      <c r="E26" s="13">
        <v>31941</v>
      </c>
      <c r="F26" s="13">
        <v>44621</v>
      </c>
      <c r="G26" s="13">
        <v>55803</v>
      </c>
      <c r="H26" s="13">
        <v>59330</v>
      </c>
      <c r="I26" s="13">
        <v>64610</v>
      </c>
      <c r="J26" s="13">
        <v>73757</v>
      </c>
      <c r="K26" s="13">
        <v>67738</v>
      </c>
      <c r="L26" s="13">
        <v>68131</v>
      </c>
      <c r="M26" s="13">
        <v>22239</v>
      </c>
      <c r="N26" s="13">
        <v>33409</v>
      </c>
      <c r="O26" s="13">
        <v>58167</v>
      </c>
      <c r="P26" s="13">
        <v>61728</v>
      </c>
      <c r="Q26" s="13">
        <v>68837</v>
      </c>
    </row>
    <row r="27" spans="1:17" ht="15" customHeight="1" x14ac:dyDescent="0.3">
      <c r="A27" s="151"/>
      <c r="B27" s="27" t="s">
        <v>13</v>
      </c>
      <c r="C27" s="13">
        <v>14288</v>
      </c>
      <c r="D27" s="13">
        <v>13842</v>
      </c>
      <c r="E27" s="13">
        <v>10398</v>
      </c>
      <c r="F27" s="13">
        <v>15560</v>
      </c>
      <c r="G27" s="13">
        <v>15062</v>
      </c>
      <c r="H27" s="13">
        <v>19863</v>
      </c>
      <c r="I27" s="13">
        <v>19916</v>
      </c>
      <c r="J27" s="13">
        <v>40135</v>
      </c>
      <c r="K27" s="13">
        <v>33031</v>
      </c>
      <c r="L27" s="13">
        <v>26166</v>
      </c>
      <c r="M27" s="13">
        <v>9375</v>
      </c>
      <c r="N27" s="13">
        <v>12552</v>
      </c>
      <c r="O27" s="13">
        <v>25663</v>
      </c>
      <c r="P27" s="13">
        <v>30941</v>
      </c>
      <c r="Q27" s="13">
        <v>34804</v>
      </c>
    </row>
    <row r="28" spans="1:17" ht="15" customHeight="1" x14ac:dyDescent="0.3">
      <c r="A28" s="151"/>
      <c r="B28" s="27" t="s">
        <v>14</v>
      </c>
      <c r="C28" s="13">
        <v>123195</v>
      </c>
      <c r="D28" s="13">
        <v>109227</v>
      </c>
      <c r="E28" s="13">
        <v>77888</v>
      </c>
      <c r="F28" s="13">
        <v>90486</v>
      </c>
      <c r="G28" s="13">
        <v>111174</v>
      </c>
      <c r="H28" s="13">
        <v>110477</v>
      </c>
      <c r="I28" s="13">
        <v>114232</v>
      </c>
      <c r="J28" s="13">
        <v>129784</v>
      </c>
      <c r="K28" s="13">
        <v>134559</v>
      </c>
      <c r="L28" s="13">
        <v>132556</v>
      </c>
      <c r="M28" s="13">
        <v>44567</v>
      </c>
      <c r="N28" s="13">
        <v>72549</v>
      </c>
      <c r="O28" s="13">
        <v>113235</v>
      </c>
      <c r="P28" s="13">
        <v>118786</v>
      </c>
      <c r="Q28" s="13">
        <v>126221</v>
      </c>
    </row>
    <row r="29" spans="1:17" ht="15" customHeight="1" x14ac:dyDescent="0.3">
      <c r="A29" s="151"/>
      <c r="B29" s="27" t="s">
        <v>15</v>
      </c>
      <c r="C29" s="28">
        <v>0.27400000000000002</v>
      </c>
      <c r="D29" s="28">
        <v>0.24399999999999999</v>
      </c>
      <c r="E29" s="28">
        <v>0.17499999999999999</v>
      </c>
      <c r="F29" s="28">
        <v>0.21099999999999999</v>
      </c>
      <c r="G29" s="28">
        <v>0.251</v>
      </c>
      <c r="H29" s="28">
        <v>0.25900000000000001</v>
      </c>
      <c r="I29" s="28">
        <v>0.26300000000000001</v>
      </c>
      <c r="J29" s="28">
        <v>0.33300000000000002</v>
      </c>
      <c r="K29" s="28">
        <v>0.318</v>
      </c>
      <c r="L29" s="28">
        <v>0.30199999999999999</v>
      </c>
      <c r="M29" s="28">
        <v>0.154</v>
      </c>
      <c r="N29" s="28">
        <v>0.21299999999999999</v>
      </c>
      <c r="O29" s="28">
        <v>0.31</v>
      </c>
      <c r="P29" s="28">
        <v>0.40500000000000003</v>
      </c>
      <c r="Q29" s="28">
        <v>0.38800000000000001</v>
      </c>
    </row>
    <row r="30" spans="1:17" ht="15" customHeight="1" x14ac:dyDescent="0.3">
      <c r="A30" s="169" t="s">
        <v>6</v>
      </c>
      <c r="B30" s="29" t="s">
        <v>61</v>
      </c>
      <c r="C30" s="30">
        <v>5241</v>
      </c>
      <c r="D30" s="30">
        <v>5712</v>
      </c>
      <c r="E30" s="30">
        <v>5591</v>
      </c>
      <c r="F30" s="30">
        <v>7565</v>
      </c>
      <c r="G30" s="30">
        <v>11021</v>
      </c>
      <c r="H30" s="30">
        <v>16400</v>
      </c>
      <c r="I30" s="30">
        <v>15282</v>
      </c>
      <c r="J30" s="30">
        <v>17001</v>
      </c>
      <c r="K30" s="30">
        <v>18532</v>
      </c>
      <c r="L30" s="30">
        <v>16992</v>
      </c>
      <c r="M30" s="30">
        <v>2784</v>
      </c>
      <c r="N30" s="30">
        <v>5271</v>
      </c>
      <c r="O30" s="30">
        <v>15974</v>
      </c>
      <c r="P30" s="30">
        <v>19955</v>
      </c>
      <c r="Q30" s="30">
        <v>20501</v>
      </c>
    </row>
    <row r="31" spans="1:17" ht="15" customHeight="1" x14ac:dyDescent="0.3">
      <c r="A31" s="169"/>
      <c r="B31" s="29" t="s">
        <v>68</v>
      </c>
      <c r="C31" s="30">
        <v>78963</v>
      </c>
      <c r="D31" s="30">
        <v>65141</v>
      </c>
      <c r="E31" s="30">
        <v>53172</v>
      </c>
      <c r="F31" s="30">
        <v>52268</v>
      </c>
      <c r="G31" s="30">
        <v>56406</v>
      </c>
      <c r="H31" s="30">
        <v>68001</v>
      </c>
      <c r="I31" s="30">
        <v>55975</v>
      </c>
      <c r="J31" s="30">
        <v>56402</v>
      </c>
      <c r="K31" s="30">
        <v>57053</v>
      </c>
      <c r="L31" s="30">
        <v>51819</v>
      </c>
      <c r="M31" s="30">
        <v>23118</v>
      </c>
      <c r="N31" s="30">
        <v>27109</v>
      </c>
      <c r="O31" s="30">
        <v>45958</v>
      </c>
      <c r="P31" s="30">
        <v>55587</v>
      </c>
      <c r="Q31" s="30">
        <v>60263</v>
      </c>
    </row>
    <row r="32" spans="1:17" ht="15" customHeight="1" x14ac:dyDescent="0.3">
      <c r="A32" s="169"/>
      <c r="B32" s="29" t="s">
        <v>13</v>
      </c>
      <c r="C32" s="30">
        <v>10398</v>
      </c>
      <c r="D32" s="30">
        <v>12248</v>
      </c>
      <c r="E32" s="30">
        <v>13350</v>
      </c>
      <c r="F32" s="30">
        <v>17561</v>
      </c>
      <c r="G32" s="30">
        <v>23108</v>
      </c>
      <c r="H32" s="30">
        <v>36146</v>
      </c>
      <c r="I32" s="30">
        <v>36179</v>
      </c>
      <c r="J32" s="30">
        <v>65015</v>
      </c>
      <c r="K32" s="30">
        <v>60533</v>
      </c>
      <c r="L32" s="30">
        <v>49051</v>
      </c>
      <c r="M32" s="30">
        <v>10401</v>
      </c>
      <c r="N32" s="30">
        <v>15256</v>
      </c>
      <c r="O32" s="30">
        <v>45313</v>
      </c>
      <c r="P32" s="30">
        <v>52875</v>
      </c>
      <c r="Q32" s="30">
        <v>49308</v>
      </c>
    </row>
    <row r="33" spans="1:22" ht="15" customHeight="1" x14ac:dyDescent="0.3">
      <c r="A33" s="169"/>
      <c r="B33" s="29" t="s">
        <v>14</v>
      </c>
      <c r="C33" s="30">
        <v>136189</v>
      </c>
      <c r="D33" s="30">
        <v>129567</v>
      </c>
      <c r="E33" s="30">
        <v>139551</v>
      </c>
      <c r="F33" s="30">
        <v>140824</v>
      </c>
      <c r="G33" s="30">
        <v>130749</v>
      </c>
      <c r="H33" s="30">
        <v>141745</v>
      </c>
      <c r="I33" s="30">
        <v>114319</v>
      </c>
      <c r="J33" s="30">
        <v>133022</v>
      </c>
      <c r="K33" s="30">
        <v>126375</v>
      </c>
      <c r="L33" s="30">
        <v>99419</v>
      </c>
      <c r="M33" s="30">
        <v>43230</v>
      </c>
      <c r="N33" s="30">
        <v>52478</v>
      </c>
      <c r="O33" s="30">
        <v>92728</v>
      </c>
      <c r="P33" s="30">
        <v>107923</v>
      </c>
      <c r="Q33" s="30">
        <v>115156</v>
      </c>
    </row>
    <row r="34" spans="1:22" ht="15" customHeight="1" x14ac:dyDescent="0.3">
      <c r="A34" s="169"/>
      <c r="B34" s="29" t="s">
        <v>15</v>
      </c>
      <c r="C34" s="31">
        <v>0.31</v>
      </c>
      <c r="D34" s="31">
        <v>0.29499999999999998</v>
      </c>
      <c r="E34" s="31">
        <v>0.31900000000000001</v>
      </c>
      <c r="F34" s="31">
        <v>0.32300000000000001</v>
      </c>
      <c r="G34" s="31">
        <v>0.313</v>
      </c>
      <c r="H34" s="31">
        <v>0.35399999999999998</v>
      </c>
      <c r="I34" s="31">
        <v>0.29899999999999999</v>
      </c>
      <c r="J34" s="31">
        <v>0.38500000000000001</v>
      </c>
      <c r="K34" s="31">
        <v>0.35899999999999999</v>
      </c>
      <c r="L34" s="31">
        <v>0.28399999999999997</v>
      </c>
      <c r="M34" s="31">
        <v>0.17499999999999999</v>
      </c>
      <c r="N34" s="31">
        <v>0.21199999999999999</v>
      </c>
      <c r="O34" s="31">
        <v>0.36</v>
      </c>
      <c r="P34" s="31">
        <v>0.42699999999999999</v>
      </c>
      <c r="Q34" s="31">
        <v>0.36899999999999999</v>
      </c>
    </row>
    <row r="35" spans="1:22" ht="15" customHeight="1" x14ac:dyDescent="0.3">
      <c r="A35" s="150" t="s">
        <v>1</v>
      </c>
      <c r="B35" s="113" t="s">
        <v>66</v>
      </c>
      <c r="C35" s="114">
        <f>C5+C10+C15+C20+C25+C30</f>
        <v>114937</v>
      </c>
      <c r="D35" s="114">
        <f t="shared" ref="D35:O35" si="0">D5+D10+D15+D20+D25+D30</f>
        <v>142667</v>
      </c>
      <c r="E35" s="114">
        <f t="shared" si="0"/>
        <v>147322</v>
      </c>
      <c r="F35" s="114">
        <f t="shared" si="0"/>
        <v>203710</v>
      </c>
      <c r="G35" s="114">
        <f t="shared" si="0"/>
        <v>233186</v>
      </c>
      <c r="H35" s="114">
        <f t="shared" si="0"/>
        <v>270610</v>
      </c>
      <c r="I35" s="114">
        <f t="shared" si="0"/>
        <v>268807</v>
      </c>
      <c r="J35" s="114">
        <f t="shared" si="0"/>
        <v>296546</v>
      </c>
      <c r="K35" s="114">
        <f t="shared" si="0"/>
        <v>345988</v>
      </c>
      <c r="L35" s="114">
        <f t="shared" si="0"/>
        <v>356595</v>
      </c>
      <c r="M35" s="114">
        <f t="shared" si="0"/>
        <v>65060</v>
      </c>
      <c r="N35" s="114">
        <f t="shared" si="0"/>
        <v>141664</v>
      </c>
      <c r="O35" s="114">
        <f t="shared" si="0"/>
        <v>305012</v>
      </c>
      <c r="P35" s="114">
        <v>369921</v>
      </c>
      <c r="Q35" s="114">
        <v>419337</v>
      </c>
    </row>
    <row r="36" spans="1:22" ht="15" customHeight="1" x14ac:dyDescent="0.3">
      <c r="A36" s="150"/>
      <c r="B36" s="113" t="s">
        <v>68</v>
      </c>
      <c r="C36" s="114">
        <f t="shared" ref="C36:O38" si="1">C6+C11+C16+C21+C26+C31</f>
        <v>416784</v>
      </c>
      <c r="D36" s="114">
        <f t="shared" si="1"/>
        <v>369372</v>
      </c>
      <c r="E36" s="114">
        <f t="shared" si="1"/>
        <v>280239</v>
      </c>
      <c r="F36" s="114">
        <f t="shared" si="1"/>
        <v>320671</v>
      </c>
      <c r="G36" s="114">
        <f t="shared" si="1"/>
        <v>317536</v>
      </c>
      <c r="H36" s="114">
        <f t="shared" si="1"/>
        <v>336095</v>
      </c>
      <c r="I36" s="114">
        <f t="shared" si="1"/>
        <v>337191</v>
      </c>
      <c r="J36" s="114">
        <f t="shared" si="1"/>
        <v>352469</v>
      </c>
      <c r="K36" s="114">
        <f t="shared" si="1"/>
        <v>369286</v>
      </c>
      <c r="L36" s="114">
        <f t="shared" si="1"/>
        <v>363602</v>
      </c>
      <c r="M36" s="114">
        <f t="shared" si="1"/>
        <v>179771</v>
      </c>
      <c r="N36" s="114">
        <f t="shared" si="1"/>
        <v>218454</v>
      </c>
      <c r="O36" s="114">
        <f t="shared" si="1"/>
        <v>325594</v>
      </c>
      <c r="P36" s="114">
        <v>352779</v>
      </c>
      <c r="Q36" s="114">
        <v>367088</v>
      </c>
    </row>
    <row r="37" spans="1:22" ht="15" customHeight="1" x14ac:dyDescent="0.3">
      <c r="A37" s="150"/>
      <c r="B37" s="111" t="s">
        <v>13</v>
      </c>
      <c r="C37" s="114">
        <f t="shared" si="1"/>
        <v>573530</v>
      </c>
      <c r="D37" s="114">
        <f t="shared" si="1"/>
        <v>675237</v>
      </c>
      <c r="E37" s="114">
        <f t="shared" si="1"/>
        <v>680181</v>
      </c>
      <c r="F37" s="114">
        <f t="shared" si="1"/>
        <v>851113</v>
      </c>
      <c r="G37" s="114">
        <f t="shared" si="1"/>
        <v>909677</v>
      </c>
      <c r="H37" s="114">
        <f t="shared" si="1"/>
        <v>1059451</v>
      </c>
      <c r="I37" s="114">
        <f t="shared" si="1"/>
        <v>999132</v>
      </c>
      <c r="J37" s="114">
        <f t="shared" si="1"/>
        <v>1174954</v>
      </c>
      <c r="K37" s="114">
        <f t="shared" si="1"/>
        <v>1365376</v>
      </c>
      <c r="L37" s="114">
        <f t="shared" si="1"/>
        <v>1362429</v>
      </c>
      <c r="M37" s="114">
        <f t="shared" si="1"/>
        <v>310766</v>
      </c>
      <c r="N37" s="114">
        <f t="shared" si="1"/>
        <v>714878</v>
      </c>
      <c r="O37" s="114">
        <f t="shared" si="1"/>
        <v>1311845</v>
      </c>
      <c r="P37" s="114">
        <v>1535271</v>
      </c>
      <c r="Q37" s="114">
        <v>1614990</v>
      </c>
    </row>
    <row r="38" spans="1:22" ht="15" customHeight="1" x14ac:dyDescent="0.3">
      <c r="A38" s="150"/>
      <c r="B38" s="111" t="s">
        <v>14</v>
      </c>
      <c r="C38" s="114">
        <f t="shared" si="1"/>
        <v>907266</v>
      </c>
      <c r="D38" s="114">
        <f t="shared" si="1"/>
        <v>820852</v>
      </c>
      <c r="E38" s="114">
        <f t="shared" si="1"/>
        <v>765896</v>
      </c>
      <c r="F38" s="114">
        <f t="shared" si="1"/>
        <v>844519</v>
      </c>
      <c r="G38" s="114">
        <f t="shared" si="1"/>
        <v>771913</v>
      </c>
      <c r="H38" s="114">
        <f t="shared" si="1"/>
        <v>738585</v>
      </c>
      <c r="I38" s="114">
        <f t="shared" si="1"/>
        <v>771074</v>
      </c>
      <c r="J38" s="114">
        <f t="shared" si="1"/>
        <v>798288</v>
      </c>
      <c r="K38" s="114">
        <f t="shared" si="1"/>
        <v>819982</v>
      </c>
      <c r="L38" s="114">
        <f t="shared" si="1"/>
        <v>789713</v>
      </c>
      <c r="M38" s="114">
        <f t="shared" si="1"/>
        <v>481152</v>
      </c>
      <c r="N38" s="114">
        <f t="shared" si="1"/>
        <v>523553</v>
      </c>
      <c r="O38" s="114">
        <f t="shared" si="1"/>
        <v>725078</v>
      </c>
      <c r="P38" s="114">
        <v>780080</v>
      </c>
      <c r="Q38" s="114">
        <v>791611</v>
      </c>
    </row>
    <row r="39" spans="1:22" ht="15" customHeight="1" x14ac:dyDescent="0.3">
      <c r="A39" s="150"/>
      <c r="B39" s="111" t="s">
        <v>15</v>
      </c>
      <c r="C39" s="115">
        <v>0.34100000000000003</v>
      </c>
      <c r="D39" s="115">
        <v>0.30399999999999999</v>
      </c>
      <c r="E39" s="115">
        <v>0.29799999999999999</v>
      </c>
      <c r="F39" s="115">
        <v>0.27500000000000002</v>
      </c>
      <c r="G39" s="115">
        <v>0.34399999999999997</v>
      </c>
      <c r="H39" s="115">
        <v>0.36299999999999999</v>
      </c>
      <c r="I39" s="115">
        <v>0.35499999999999998</v>
      </c>
      <c r="J39" s="115">
        <v>0.36799999999999999</v>
      </c>
      <c r="K39" s="115">
        <v>0.34799999999999998</v>
      </c>
      <c r="L39" s="115">
        <v>0.34200000000000003</v>
      </c>
      <c r="M39" s="115">
        <v>0.193</v>
      </c>
      <c r="N39" s="115">
        <v>0.308</v>
      </c>
      <c r="O39" s="115">
        <v>0.40100000000000002</v>
      </c>
      <c r="P39" s="115">
        <v>0.443</v>
      </c>
      <c r="Q39" s="115">
        <v>0.441</v>
      </c>
      <c r="R39" s="80"/>
    </row>
    <row r="40" spans="1:22" ht="15" customHeight="1" x14ac:dyDescent="0.3">
      <c r="A40" s="168" t="s">
        <v>113</v>
      </c>
      <c r="B40" s="168"/>
      <c r="C40" s="168"/>
      <c r="D40" s="168"/>
      <c r="E40" s="168"/>
      <c r="F40" s="168"/>
      <c r="G40" s="168"/>
      <c r="H40" s="168"/>
      <c r="I40" s="168"/>
      <c r="J40" s="168"/>
      <c r="K40" s="168"/>
      <c r="L40" s="168"/>
      <c r="M40" s="168"/>
      <c r="N40" s="168"/>
      <c r="O40" s="168"/>
      <c r="P40" s="168"/>
      <c r="Q40" s="138"/>
      <c r="R40" s="3"/>
      <c r="S40" s="3"/>
      <c r="T40" s="3"/>
      <c r="U40" s="3"/>
      <c r="V40" s="3"/>
    </row>
    <row r="41" spans="1:22" ht="15" customHeight="1" x14ac:dyDescent="0.3">
      <c r="A41" s="168"/>
      <c r="B41" s="168"/>
      <c r="C41" s="168"/>
      <c r="D41" s="168"/>
      <c r="E41" s="168"/>
      <c r="F41" s="168"/>
      <c r="G41" s="168"/>
      <c r="H41" s="168"/>
      <c r="I41" s="168"/>
      <c r="J41" s="168"/>
      <c r="K41" s="168"/>
      <c r="L41" s="168"/>
      <c r="M41" s="168"/>
      <c r="N41" s="168"/>
      <c r="O41" s="168"/>
      <c r="P41" s="168"/>
      <c r="Q41" s="138"/>
    </row>
    <row r="42" spans="1:22" ht="15" customHeight="1" x14ac:dyDescent="0.3">
      <c r="A42" s="2"/>
      <c r="B42" s="2"/>
      <c r="C42" s="2"/>
      <c r="D42" s="2"/>
      <c r="E42" s="2"/>
      <c r="F42" s="2"/>
      <c r="G42" s="2"/>
      <c r="H42" s="2"/>
      <c r="I42" s="2"/>
      <c r="J42" s="4"/>
      <c r="K42" s="4"/>
      <c r="L42" s="4"/>
      <c r="M42" s="4"/>
      <c r="N42" s="4"/>
      <c r="O42" s="4"/>
      <c r="P42" s="4"/>
      <c r="Q42" s="4"/>
      <c r="R42" s="4"/>
      <c r="S42" s="4"/>
      <c r="T42" s="4"/>
      <c r="U42" s="4"/>
    </row>
    <row r="43" spans="1:22" ht="15" customHeight="1" x14ac:dyDescent="0.3">
      <c r="A43" s="2"/>
      <c r="B43" s="2"/>
      <c r="C43" s="2"/>
      <c r="D43" s="2"/>
      <c r="E43" s="2"/>
      <c r="F43" s="2"/>
      <c r="G43" s="2"/>
      <c r="H43" s="2"/>
      <c r="I43" s="2"/>
    </row>
  </sheetData>
  <mergeCells count="9">
    <mergeCell ref="A3:Q3"/>
    <mergeCell ref="A40:P41"/>
    <mergeCell ref="A35:A39"/>
    <mergeCell ref="A5:A9"/>
    <mergeCell ref="A10:A14"/>
    <mergeCell ref="A20:A24"/>
    <mergeCell ref="A25:A29"/>
    <mergeCell ref="A30:A34"/>
    <mergeCell ref="A15:A19"/>
  </mergeCells>
  <pageMargins left="0.70866141732283472" right="0.39370078740157483" top="0.74803149606299213" bottom="0.74803149606299213" header="0.31496062992125984" footer="0.31496062992125984"/>
  <pageSetup paperSize="9" scale="78" orientation="landscape"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AE07C-EEEB-4A78-8EF4-81FEF0B48DAD}">
  <sheetPr>
    <tabColor theme="7" tint="-0.499984740745262"/>
    <pageSetUpPr fitToPage="1"/>
  </sheetPr>
  <dimension ref="A3:L36"/>
  <sheetViews>
    <sheetView showGridLines="0" zoomScaleNormal="100" workbookViewId="0">
      <pane xSplit="1" topLeftCell="B1" activePane="topRight" state="frozen"/>
      <selection pane="topRight" activeCell="G5" sqref="G5:G32"/>
    </sheetView>
  </sheetViews>
  <sheetFormatPr defaultRowHeight="15" customHeight="1" x14ac:dyDescent="0.3"/>
  <cols>
    <col min="1" max="1" width="16.33203125" style="12" customWidth="1"/>
    <col min="2" max="2" width="23.33203125" style="12" customWidth="1"/>
    <col min="3" max="7" width="10.109375" style="12" customWidth="1"/>
    <col min="8" max="16384" width="8.88671875" style="12"/>
  </cols>
  <sheetData>
    <row r="3" spans="1:7" ht="27.6" customHeight="1" x14ac:dyDescent="0.3">
      <c r="A3" s="170" t="s">
        <v>147</v>
      </c>
      <c r="B3" s="170"/>
      <c r="C3" s="170"/>
      <c r="D3" s="170"/>
      <c r="E3" s="170"/>
      <c r="F3" s="170"/>
      <c r="G3" s="170"/>
    </row>
    <row r="4" spans="1:7" ht="15" customHeight="1" x14ac:dyDescent="0.3">
      <c r="A4" s="91" t="s">
        <v>103</v>
      </c>
      <c r="B4" s="92"/>
      <c r="C4" s="93">
        <v>2020</v>
      </c>
      <c r="D4" s="93">
        <v>2021</v>
      </c>
      <c r="E4" s="93">
        <v>2022</v>
      </c>
      <c r="F4" s="93">
        <v>2023</v>
      </c>
      <c r="G4" s="93">
        <v>2024</v>
      </c>
    </row>
    <row r="5" spans="1:7" ht="15" customHeight="1" x14ac:dyDescent="0.3">
      <c r="A5" s="148" t="s">
        <v>2</v>
      </c>
      <c r="B5" s="27" t="s">
        <v>61</v>
      </c>
      <c r="C5" s="13">
        <v>3</v>
      </c>
      <c r="D5" s="13">
        <v>152</v>
      </c>
      <c r="E5" s="13">
        <v>114</v>
      </c>
      <c r="F5" s="13">
        <v>951</v>
      </c>
      <c r="G5" s="13">
        <v>611</v>
      </c>
    </row>
    <row r="6" spans="1:7" ht="15" customHeight="1" x14ac:dyDescent="0.3">
      <c r="A6" s="148"/>
      <c r="B6" s="27" t="s">
        <v>62</v>
      </c>
      <c r="C6" s="13">
        <v>335</v>
      </c>
      <c r="D6" s="13">
        <v>894</v>
      </c>
      <c r="E6" s="13">
        <v>306</v>
      </c>
      <c r="F6" s="13">
        <v>1358</v>
      </c>
      <c r="G6" s="13">
        <v>1362</v>
      </c>
    </row>
    <row r="7" spans="1:7" ht="15" customHeight="1" x14ac:dyDescent="0.3">
      <c r="A7" s="148"/>
      <c r="B7" s="27" t="s">
        <v>13</v>
      </c>
      <c r="C7" s="13">
        <v>8</v>
      </c>
      <c r="D7" s="13">
        <v>309</v>
      </c>
      <c r="E7" s="13">
        <v>609</v>
      </c>
      <c r="F7" s="13">
        <v>2798</v>
      </c>
      <c r="G7" s="13">
        <v>1294</v>
      </c>
    </row>
    <row r="8" spans="1:7" ht="15" customHeight="1" x14ac:dyDescent="0.3">
      <c r="A8" s="148"/>
      <c r="B8" s="27" t="s">
        <v>14</v>
      </c>
      <c r="C8" s="13">
        <v>1646</v>
      </c>
      <c r="D8" s="13">
        <v>1989</v>
      </c>
      <c r="E8" s="13">
        <v>1073</v>
      </c>
      <c r="F8" s="13">
        <v>4960</v>
      </c>
      <c r="G8" s="13">
        <v>4546</v>
      </c>
    </row>
    <row r="9" spans="1:7" ht="15" customHeight="1" x14ac:dyDescent="0.3">
      <c r="A9" s="171" t="s">
        <v>3</v>
      </c>
      <c r="B9" s="29" t="s">
        <v>61</v>
      </c>
      <c r="C9" s="30">
        <v>1685</v>
      </c>
      <c r="D9" s="30">
        <v>3500</v>
      </c>
      <c r="E9" s="30">
        <v>6894</v>
      </c>
      <c r="F9" s="30">
        <v>16283</v>
      </c>
      <c r="G9" s="30">
        <v>17559</v>
      </c>
    </row>
    <row r="10" spans="1:7" ht="15" customHeight="1" x14ac:dyDescent="0.3">
      <c r="A10" s="171"/>
      <c r="B10" s="29" t="s">
        <v>63</v>
      </c>
      <c r="C10" s="30">
        <v>7373</v>
      </c>
      <c r="D10" s="30">
        <v>8895</v>
      </c>
      <c r="E10" s="30">
        <v>6851</v>
      </c>
      <c r="F10" s="30">
        <v>14109</v>
      </c>
      <c r="G10" s="30">
        <v>12072</v>
      </c>
    </row>
    <row r="11" spans="1:7" ht="15" customHeight="1" x14ac:dyDescent="0.3">
      <c r="A11" s="171"/>
      <c r="B11" s="29" t="s">
        <v>13</v>
      </c>
      <c r="C11" s="30">
        <v>5583</v>
      </c>
      <c r="D11" s="30">
        <v>11601</v>
      </c>
      <c r="E11" s="30">
        <v>19060</v>
      </c>
      <c r="F11" s="30">
        <v>40634</v>
      </c>
      <c r="G11" s="30">
        <v>43437</v>
      </c>
    </row>
    <row r="12" spans="1:7" ht="15" customHeight="1" x14ac:dyDescent="0.3">
      <c r="A12" s="171"/>
      <c r="B12" s="29" t="s">
        <v>14</v>
      </c>
      <c r="C12" s="30">
        <v>36760</v>
      </c>
      <c r="D12" s="30">
        <v>40182</v>
      </c>
      <c r="E12" s="30">
        <v>38118</v>
      </c>
      <c r="F12" s="30">
        <v>57584</v>
      </c>
      <c r="G12" s="30">
        <v>42038</v>
      </c>
    </row>
    <row r="13" spans="1:7" ht="15" customHeight="1" x14ac:dyDescent="0.3">
      <c r="A13" s="172" t="s">
        <v>10</v>
      </c>
      <c r="B13" s="17" t="s">
        <v>61</v>
      </c>
      <c r="C13" s="14">
        <v>16887</v>
      </c>
      <c r="D13" s="14">
        <v>54311</v>
      </c>
      <c r="E13" s="14">
        <v>112844</v>
      </c>
      <c r="F13" s="14">
        <v>149716</v>
      </c>
      <c r="G13" s="14">
        <v>141474</v>
      </c>
    </row>
    <row r="14" spans="1:7" ht="15" customHeight="1" x14ac:dyDescent="0.3">
      <c r="A14" s="172"/>
      <c r="B14" s="17" t="s">
        <v>63</v>
      </c>
      <c r="C14" s="14">
        <v>14379</v>
      </c>
      <c r="D14" s="14">
        <v>13926</v>
      </c>
      <c r="E14" s="14">
        <v>16364</v>
      </c>
      <c r="F14" s="14">
        <v>23081</v>
      </c>
      <c r="G14" s="14">
        <v>21103</v>
      </c>
    </row>
    <row r="15" spans="1:7" ht="15" customHeight="1" x14ac:dyDescent="0.3">
      <c r="A15" s="172"/>
      <c r="B15" s="17" t="s">
        <v>13</v>
      </c>
      <c r="C15" s="14">
        <v>96063</v>
      </c>
      <c r="D15" s="14">
        <v>268808</v>
      </c>
      <c r="E15" s="14">
        <v>684455</v>
      </c>
      <c r="F15" s="14">
        <v>924958</v>
      </c>
      <c r="G15" s="14">
        <v>880622</v>
      </c>
    </row>
    <row r="16" spans="1:7" ht="15" customHeight="1" x14ac:dyDescent="0.3">
      <c r="A16" s="172"/>
      <c r="B16" s="17" t="s">
        <v>14</v>
      </c>
      <c r="C16" s="14">
        <v>48689</v>
      </c>
      <c r="D16" s="14">
        <v>52562</v>
      </c>
      <c r="E16" s="14">
        <v>56723</v>
      </c>
      <c r="F16" s="14">
        <v>91583</v>
      </c>
      <c r="G16" s="14">
        <v>82659</v>
      </c>
    </row>
    <row r="17" spans="1:7" ht="15" customHeight="1" x14ac:dyDescent="0.3">
      <c r="A17" s="171" t="s">
        <v>4</v>
      </c>
      <c r="B17" s="29" t="s">
        <v>61</v>
      </c>
      <c r="C17" s="30">
        <v>7855</v>
      </c>
      <c r="D17" s="30">
        <v>14448</v>
      </c>
      <c r="E17" s="30">
        <v>33132</v>
      </c>
      <c r="F17" s="30">
        <v>45275</v>
      </c>
      <c r="G17" s="30">
        <v>41675</v>
      </c>
    </row>
    <row r="18" spans="1:7" ht="15" customHeight="1" x14ac:dyDescent="0.3">
      <c r="A18" s="171"/>
      <c r="B18" s="29" t="s">
        <v>63</v>
      </c>
      <c r="C18" s="30">
        <v>6323</v>
      </c>
      <c r="D18" s="30">
        <v>5037</v>
      </c>
      <c r="E18" s="30">
        <v>7014</v>
      </c>
      <c r="F18" s="30">
        <v>10939</v>
      </c>
      <c r="G18" s="30">
        <v>10570</v>
      </c>
    </row>
    <row r="19" spans="1:7" ht="15" customHeight="1" x14ac:dyDescent="0.3">
      <c r="A19" s="171"/>
      <c r="B19" s="29" t="s">
        <v>13</v>
      </c>
      <c r="C19" s="30">
        <v>33382</v>
      </c>
      <c r="D19" s="30">
        <v>60331</v>
      </c>
      <c r="E19" s="30">
        <v>141343</v>
      </c>
      <c r="F19" s="30">
        <v>147320</v>
      </c>
      <c r="G19" s="30">
        <v>126304</v>
      </c>
    </row>
    <row r="20" spans="1:7" ht="15" customHeight="1" x14ac:dyDescent="0.3">
      <c r="A20" s="171"/>
      <c r="B20" s="29" t="s">
        <v>14</v>
      </c>
      <c r="C20" s="30">
        <v>18149</v>
      </c>
      <c r="D20" s="30">
        <v>14153</v>
      </c>
      <c r="E20" s="30">
        <v>21565</v>
      </c>
      <c r="F20" s="30">
        <v>31152</v>
      </c>
      <c r="G20" s="30">
        <v>32490</v>
      </c>
    </row>
    <row r="21" spans="1:7" ht="15" customHeight="1" x14ac:dyDescent="0.3">
      <c r="A21" s="172" t="s">
        <v>5</v>
      </c>
      <c r="B21" s="17" t="s">
        <v>66</v>
      </c>
      <c r="C21" s="14">
        <v>125</v>
      </c>
      <c r="D21" s="14">
        <v>443</v>
      </c>
      <c r="E21" s="14">
        <v>880</v>
      </c>
      <c r="F21" s="14">
        <v>1202</v>
      </c>
      <c r="G21" s="14">
        <v>2414</v>
      </c>
    </row>
    <row r="22" spans="1:7" ht="15" customHeight="1" x14ac:dyDescent="0.3">
      <c r="A22" s="172"/>
      <c r="B22" s="17" t="s">
        <v>67</v>
      </c>
      <c r="C22" s="14">
        <v>159</v>
      </c>
      <c r="D22" s="14">
        <v>591</v>
      </c>
      <c r="E22" s="14">
        <v>241</v>
      </c>
      <c r="F22" s="14">
        <v>224</v>
      </c>
      <c r="G22" s="14">
        <v>330</v>
      </c>
    </row>
    <row r="23" spans="1:7" ht="15" customHeight="1" x14ac:dyDescent="0.3">
      <c r="A23" s="172"/>
      <c r="B23" s="17" t="s">
        <v>13</v>
      </c>
      <c r="C23" s="14">
        <v>790</v>
      </c>
      <c r="D23" s="14">
        <v>1197</v>
      </c>
      <c r="E23" s="14">
        <v>2603</v>
      </c>
      <c r="F23" s="14">
        <v>3478</v>
      </c>
      <c r="G23" s="14">
        <v>6409</v>
      </c>
    </row>
    <row r="24" spans="1:7" ht="15" customHeight="1" x14ac:dyDescent="0.3">
      <c r="A24" s="172"/>
      <c r="B24" s="17" t="s">
        <v>14</v>
      </c>
      <c r="C24" s="14">
        <v>451</v>
      </c>
      <c r="D24" s="14">
        <v>2260</v>
      </c>
      <c r="E24" s="14">
        <v>1294</v>
      </c>
      <c r="F24" s="14">
        <v>1485</v>
      </c>
      <c r="G24" s="14">
        <v>1740</v>
      </c>
    </row>
    <row r="25" spans="1:7" ht="15" customHeight="1" x14ac:dyDescent="0.3">
      <c r="A25" s="171" t="s">
        <v>6</v>
      </c>
      <c r="B25" s="29" t="s">
        <v>61</v>
      </c>
      <c r="C25" s="30">
        <v>201</v>
      </c>
      <c r="D25" s="30">
        <v>420</v>
      </c>
      <c r="E25" s="30">
        <v>1282</v>
      </c>
      <c r="F25" s="30">
        <v>3047</v>
      </c>
      <c r="G25" s="30">
        <v>2815</v>
      </c>
    </row>
    <row r="26" spans="1:7" ht="15" customHeight="1" x14ac:dyDescent="0.3">
      <c r="A26" s="171"/>
      <c r="B26" s="29" t="s">
        <v>68</v>
      </c>
      <c r="C26" s="30">
        <v>317</v>
      </c>
      <c r="D26" s="30">
        <v>397</v>
      </c>
      <c r="E26" s="30">
        <v>474</v>
      </c>
      <c r="F26" s="30">
        <v>2064</v>
      </c>
      <c r="G26" s="30">
        <v>2053</v>
      </c>
    </row>
    <row r="27" spans="1:7" ht="15" customHeight="1" x14ac:dyDescent="0.3">
      <c r="A27" s="171"/>
      <c r="B27" s="29" t="s">
        <v>13</v>
      </c>
      <c r="C27" s="30">
        <v>1060</v>
      </c>
      <c r="D27" s="30">
        <v>1909</v>
      </c>
      <c r="E27" s="30">
        <v>5067</v>
      </c>
      <c r="F27" s="30">
        <v>15262</v>
      </c>
      <c r="G27" s="30">
        <v>7398</v>
      </c>
    </row>
    <row r="28" spans="1:7" ht="15" customHeight="1" x14ac:dyDescent="0.3">
      <c r="A28" s="171"/>
      <c r="B28" s="29" t="s">
        <v>14</v>
      </c>
      <c r="C28" s="30">
        <v>1578</v>
      </c>
      <c r="D28" s="30">
        <v>1337</v>
      </c>
      <c r="E28" s="30">
        <v>1523</v>
      </c>
      <c r="F28" s="30">
        <v>8410</v>
      </c>
      <c r="G28" s="30">
        <v>6494</v>
      </c>
    </row>
    <row r="29" spans="1:7" ht="15" customHeight="1" x14ac:dyDescent="0.3">
      <c r="A29" s="149" t="s">
        <v>1</v>
      </c>
      <c r="B29" s="113" t="s">
        <v>66</v>
      </c>
      <c r="C29" s="114">
        <v>26756</v>
      </c>
      <c r="D29" s="114">
        <v>73274</v>
      </c>
      <c r="E29" s="114">
        <v>155146</v>
      </c>
      <c r="F29" s="114">
        <v>216474</v>
      </c>
      <c r="G29" s="114">
        <v>206548</v>
      </c>
    </row>
    <row r="30" spans="1:7" ht="15" customHeight="1" x14ac:dyDescent="0.3">
      <c r="A30" s="149"/>
      <c r="B30" s="113" t="s">
        <v>68</v>
      </c>
      <c r="C30" s="114">
        <v>28886</v>
      </c>
      <c r="D30" s="114">
        <v>29740</v>
      </c>
      <c r="E30" s="114">
        <v>31250</v>
      </c>
      <c r="F30" s="114">
        <v>51775</v>
      </c>
      <c r="G30" s="114">
        <v>47490</v>
      </c>
    </row>
    <row r="31" spans="1:7" ht="15" customHeight="1" x14ac:dyDescent="0.3">
      <c r="A31" s="149"/>
      <c r="B31" s="111" t="s">
        <v>13</v>
      </c>
      <c r="C31" s="114">
        <v>136886</v>
      </c>
      <c r="D31" s="114">
        <v>344155</v>
      </c>
      <c r="E31" s="114">
        <v>853137</v>
      </c>
      <c r="F31" s="114">
        <v>1134450</v>
      </c>
      <c r="G31" s="114">
        <v>1065464</v>
      </c>
    </row>
    <row r="32" spans="1:7" ht="15" customHeight="1" x14ac:dyDescent="0.3">
      <c r="A32" s="149"/>
      <c r="B32" s="111" t="s">
        <v>14</v>
      </c>
      <c r="C32" s="114">
        <v>107273</v>
      </c>
      <c r="D32" s="114">
        <v>112483</v>
      </c>
      <c r="E32" s="114">
        <v>120296</v>
      </c>
      <c r="F32" s="114">
        <v>195174</v>
      </c>
      <c r="G32" s="114">
        <v>169967</v>
      </c>
    </row>
    <row r="33" spans="1:12" ht="15" customHeight="1" x14ac:dyDescent="0.3">
      <c r="A33" s="81" t="s">
        <v>119</v>
      </c>
      <c r="B33" s="81"/>
      <c r="C33" s="81"/>
      <c r="D33" s="138"/>
      <c r="E33" s="138"/>
      <c r="F33" s="138"/>
      <c r="G33" s="138"/>
      <c r="H33" s="3"/>
      <c r="I33" s="3"/>
      <c r="J33" s="3"/>
      <c r="K33" s="3"/>
      <c r="L33" s="3"/>
    </row>
    <row r="34" spans="1:12" ht="15" customHeight="1" x14ac:dyDescent="0.3">
      <c r="A34" s="81"/>
      <c r="B34" s="81"/>
      <c r="C34" s="81"/>
      <c r="D34" s="138"/>
      <c r="E34" s="138"/>
      <c r="F34" s="138"/>
      <c r="G34" s="138"/>
    </row>
    <row r="35" spans="1:12" ht="15" customHeight="1" x14ac:dyDescent="0.3">
      <c r="A35" s="2"/>
      <c r="B35" s="2"/>
      <c r="C35" s="4"/>
      <c r="D35" s="4"/>
      <c r="E35" s="4"/>
      <c r="F35" s="4"/>
      <c r="G35" s="4"/>
      <c r="H35" s="4"/>
      <c r="I35" s="4"/>
      <c r="J35" s="4"/>
      <c r="K35" s="4"/>
    </row>
    <row r="36" spans="1:12" ht="15" customHeight="1" x14ac:dyDescent="0.3">
      <c r="A36" s="2"/>
      <c r="B36" s="2"/>
    </row>
  </sheetData>
  <mergeCells count="8">
    <mergeCell ref="A3:G3"/>
    <mergeCell ref="A29:A32"/>
    <mergeCell ref="A17:A20"/>
    <mergeCell ref="A5:A8"/>
    <mergeCell ref="A9:A12"/>
    <mergeCell ref="A13:A16"/>
    <mergeCell ref="A21:A24"/>
    <mergeCell ref="A25:A28"/>
  </mergeCells>
  <pageMargins left="0.70866141732283472" right="0.39370078740157483" top="0.74803149606299213" bottom="0.74803149606299213" header="0.31496062992125984" footer="0.31496062992125984"/>
  <pageSetup paperSize="9" scale="78" orientation="landscape"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3:H214"/>
  <sheetViews>
    <sheetView showGridLines="0" zoomScaleNormal="100" workbookViewId="0">
      <selection activeCell="E6" sqref="E6:E17"/>
    </sheetView>
  </sheetViews>
  <sheetFormatPr defaultRowHeight="15" customHeight="1" x14ac:dyDescent="0.3"/>
  <cols>
    <col min="1" max="1" width="10.5546875" style="27" bestFit="1" customWidth="1"/>
    <col min="2" max="2" width="13.21875" style="12" bestFit="1" customWidth="1"/>
    <col min="3" max="4" width="9.6640625" style="12" bestFit="1" customWidth="1"/>
    <col min="5" max="5" width="10.5546875" style="12" bestFit="1" customWidth="1"/>
    <col min="6" max="6" width="13.21875" style="12" bestFit="1" customWidth="1"/>
    <col min="7" max="7" width="8.33203125" style="12" bestFit="1" customWidth="1"/>
    <col min="8" max="8" width="9.6640625" style="12" bestFit="1" customWidth="1"/>
    <col min="9" max="16384" width="8.88671875" style="12"/>
  </cols>
  <sheetData>
    <row r="3" spans="1:8" ht="15" customHeight="1" x14ac:dyDescent="0.3">
      <c r="A3" s="173" t="s">
        <v>46</v>
      </c>
      <c r="B3" s="173"/>
      <c r="C3" s="173"/>
      <c r="D3" s="173"/>
      <c r="E3" s="173" t="s">
        <v>47</v>
      </c>
      <c r="F3" s="173"/>
      <c r="G3" s="173"/>
      <c r="H3" s="173"/>
    </row>
    <row r="4" spans="1:8" ht="15" customHeight="1" x14ac:dyDescent="0.3">
      <c r="A4" s="102"/>
      <c r="B4" s="103" t="s">
        <v>20</v>
      </c>
      <c r="C4" s="103" t="s">
        <v>4</v>
      </c>
      <c r="D4" s="103" t="s">
        <v>1</v>
      </c>
      <c r="E4" s="104"/>
      <c r="F4" s="103" t="s">
        <v>20</v>
      </c>
      <c r="G4" s="103" t="s">
        <v>4</v>
      </c>
      <c r="H4" s="103" t="s">
        <v>1</v>
      </c>
    </row>
    <row r="5" spans="1:8" ht="15" customHeight="1" x14ac:dyDescent="0.3">
      <c r="A5" s="104">
        <v>2025</v>
      </c>
      <c r="B5" s="103">
        <v>638</v>
      </c>
      <c r="C5" s="103">
        <v>117035</v>
      </c>
      <c r="D5" s="103">
        <v>117673</v>
      </c>
      <c r="E5" s="104">
        <v>2025</v>
      </c>
      <c r="F5" s="103">
        <v>162455</v>
      </c>
      <c r="G5" s="103">
        <v>42497</v>
      </c>
      <c r="H5" s="103">
        <v>204952</v>
      </c>
    </row>
    <row r="6" spans="1:8" ht="15" customHeight="1" x14ac:dyDescent="0.3">
      <c r="A6" s="78" t="s">
        <v>25</v>
      </c>
      <c r="B6" s="79">
        <v>137</v>
      </c>
      <c r="C6" s="79">
        <v>0</v>
      </c>
      <c r="D6" s="79">
        <v>137</v>
      </c>
      <c r="E6" s="78" t="s">
        <v>25</v>
      </c>
      <c r="F6" s="79">
        <v>11972</v>
      </c>
      <c r="G6" s="79">
        <v>673</v>
      </c>
      <c r="H6" s="79">
        <v>12645</v>
      </c>
    </row>
    <row r="7" spans="1:8" ht="15" customHeight="1" x14ac:dyDescent="0.3">
      <c r="A7" s="78" t="s">
        <v>26</v>
      </c>
      <c r="B7" s="79">
        <v>0</v>
      </c>
      <c r="C7" s="79">
        <v>0</v>
      </c>
      <c r="D7" s="79">
        <v>0</v>
      </c>
      <c r="E7" s="78" t="s">
        <v>26</v>
      </c>
      <c r="F7" s="79">
        <v>11452</v>
      </c>
      <c r="G7" s="79">
        <v>2972</v>
      </c>
      <c r="H7" s="79">
        <v>14424</v>
      </c>
    </row>
    <row r="8" spans="1:8" ht="15" customHeight="1" x14ac:dyDescent="0.3">
      <c r="A8" s="78" t="s">
        <v>27</v>
      </c>
      <c r="B8" s="79">
        <v>54</v>
      </c>
      <c r="C8" s="79">
        <v>0</v>
      </c>
      <c r="D8" s="79">
        <v>54</v>
      </c>
      <c r="E8" s="78" t="s">
        <v>27</v>
      </c>
      <c r="F8" s="79">
        <v>12649</v>
      </c>
      <c r="G8" s="79">
        <v>3300</v>
      </c>
      <c r="H8" s="79">
        <v>15949</v>
      </c>
    </row>
    <row r="9" spans="1:8" ht="15" customHeight="1" x14ac:dyDescent="0.3">
      <c r="A9" s="78" t="s">
        <v>28</v>
      </c>
      <c r="B9" s="79">
        <v>0</v>
      </c>
      <c r="C9" s="79">
        <v>2255</v>
      </c>
      <c r="D9" s="79">
        <v>2255</v>
      </c>
      <c r="E9" s="78" t="s">
        <v>28</v>
      </c>
      <c r="F9" s="79">
        <v>13095</v>
      </c>
      <c r="G9" s="79">
        <v>3395</v>
      </c>
      <c r="H9" s="79">
        <v>16490</v>
      </c>
    </row>
    <row r="10" spans="1:8" ht="15" customHeight="1" x14ac:dyDescent="0.3">
      <c r="A10" s="78" t="s">
        <v>29</v>
      </c>
      <c r="B10" s="79">
        <v>176</v>
      </c>
      <c r="C10" s="79">
        <v>10658</v>
      </c>
      <c r="D10" s="79">
        <v>10834</v>
      </c>
      <c r="E10" s="78" t="s">
        <v>29</v>
      </c>
      <c r="F10" s="79">
        <v>12690</v>
      </c>
      <c r="G10" s="79">
        <v>3768</v>
      </c>
      <c r="H10" s="79">
        <v>16458</v>
      </c>
    </row>
    <row r="11" spans="1:8" ht="15" customHeight="1" x14ac:dyDescent="0.3">
      <c r="A11" s="78" t="s">
        <v>30</v>
      </c>
      <c r="B11" s="79">
        <v>2</v>
      </c>
      <c r="C11" s="79">
        <v>24894</v>
      </c>
      <c r="D11" s="79">
        <v>24896</v>
      </c>
      <c r="E11" s="78" t="s">
        <v>30</v>
      </c>
      <c r="F11" s="79">
        <v>13983</v>
      </c>
      <c r="G11" s="79">
        <v>3981</v>
      </c>
      <c r="H11" s="79">
        <v>17964</v>
      </c>
    </row>
    <row r="12" spans="1:8" ht="15" customHeight="1" x14ac:dyDescent="0.3">
      <c r="A12" s="78" t="s">
        <v>31</v>
      </c>
      <c r="B12" s="79">
        <v>23</v>
      </c>
      <c r="C12" s="79">
        <v>27318</v>
      </c>
      <c r="D12" s="79">
        <v>27341</v>
      </c>
      <c r="E12" s="78" t="s">
        <v>31</v>
      </c>
      <c r="F12" s="79">
        <v>15447</v>
      </c>
      <c r="G12" s="79">
        <v>3789</v>
      </c>
      <c r="H12" s="79">
        <v>19236</v>
      </c>
    </row>
    <row r="13" spans="1:8" ht="15" customHeight="1" x14ac:dyDescent="0.3">
      <c r="A13" s="78" t="s">
        <v>32</v>
      </c>
      <c r="B13" s="79">
        <v>0</v>
      </c>
      <c r="C13" s="79">
        <v>26907</v>
      </c>
      <c r="D13" s="79">
        <v>26907</v>
      </c>
      <c r="E13" s="78" t="s">
        <v>32</v>
      </c>
      <c r="F13" s="79">
        <v>13870</v>
      </c>
      <c r="G13" s="79">
        <v>4777</v>
      </c>
      <c r="H13" s="79">
        <v>18647</v>
      </c>
    </row>
    <row r="14" spans="1:8" ht="15" customHeight="1" x14ac:dyDescent="0.3">
      <c r="A14" s="78" t="s">
        <v>33</v>
      </c>
      <c r="B14" s="79">
        <v>80</v>
      </c>
      <c r="C14" s="79">
        <v>19911</v>
      </c>
      <c r="D14" s="79">
        <v>19991</v>
      </c>
      <c r="E14" s="78" t="s">
        <v>33</v>
      </c>
      <c r="F14" s="79">
        <v>13752</v>
      </c>
      <c r="G14" s="79">
        <v>3769</v>
      </c>
      <c r="H14" s="79">
        <v>17521</v>
      </c>
    </row>
    <row r="15" spans="1:8" ht="15" customHeight="1" x14ac:dyDescent="0.3">
      <c r="A15" s="78" t="s">
        <v>34</v>
      </c>
      <c r="B15" s="79">
        <v>164</v>
      </c>
      <c r="C15" s="79">
        <v>4940</v>
      </c>
      <c r="D15" s="79">
        <v>5104</v>
      </c>
      <c r="E15" s="78" t="s">
        <v>34</v>
      </c>
      <c r="F15" s="79">
        <v>13713</v>
      </c>
      <c r="G15" s="79">
        <v>3846</v>
      </c>
      <c r="H15" s="79">
        <v>17559</v>
      </c>
    </row>
    <row r="16" spans="1:8" ht="15" customHeight="1" x14ac:dyDescent="0.3">
      <c r="A16" s="78" t="s">
        <v>35</v>
      </c>
      <c r="B16" s="79">
        <v>2</v>
      </c>
      <c r="C16" s="79">
        <v>152</v>
      </c>
      <c r="D16" s="79">
        <v>154</v>
      </c>
      <c r="E16" s="78" t="s">
        <v>35</v>
      </c>
      <c r="F16" s="79">
        <v>14370</v>
      </c>
      <c r="G16" s="79">
        <v>3833</v>
      </c>
      <c r="H16" s="79">
        <v>18203</v>
      </c>
    </row>
    <row r="17" spans="1:8" ht="15" customHeight="1" x14ac:dyDescent="0.3">
      <c r="A17" s="78" t="s">
        <v>36</v>
      </c>
      <c r="B17" s="79">
        <v>0</v>
      </c>
      <c r="C17" s="79">
        <v>0</v>
      </c>
      <c r="D17" s="79">
        <v>0</v>
      </c>
      <c r="E17" s="78" t="s">
        <v>36</v>
      </c>
      <c r="F17" s="79">
        <v>15462</v>
      </c>
      <c r="G17" s="79">
        <v>4394</v>
      </c>
      <c r="H17" s="79">
        <v>19856</v>
      </c>
    </row>
    <row r="18" spans="1:8" ht="15" customHeight="1" x14ac:dyDescent="0.3">
      <c r="A18" s="104">
        <v>2024</v>
      </c>
      <c r="B18" s="103">
        <v>1079</v>
      </c>
      <c r="C18" s="103">
        <v>114903</v>
      </c>
      <c r="D18" s="103">
        <v>115982</v>
      </c>
      <c r="E18" s="104">
        <v>2024</v>
      </c>
      <c r="F18" s="103">
        <v>148940</v>
      </c>
      <c r="G18" s="103">
        <v>31384</v>
      </c>
      <c r="H18" s="103">
        <v>180324</v>
      </c>
    </row>
    <row r="19" spans="1:8" ht="15" customHeight="1" x14ac:dyDescent="0.3">
      <c r="A19" s="78" t="s">
        <v>25</v>
      </c>
      <c r="B19" s="79">
        <v>202</v>
      </c>
      <c r="C19" s="79">
        <v>0</v>
      </c>
      <c r="D19" s="79">
        <v>202</v>
      </c>
      <c r="E19" s="78" t="s">
        <v>25</v>
      </c>
      <c r="F19" s="79">
        <v>9533</v>
      </c>
      <c r="G19" s="79">
        <v>2170</v>
      </c>
      <c r="H19" s="79">
        <v>11703</v>
      </c>
    </row>
    <row r="20" spans="1:8" ht="15" customHeight="1" x14ac:dyDescent="0.3">
      <c r="A20" s="78" t="s">
        <v>26</v>
      </c>
      <c r="B20" s="79">
        <v>0</v>
      </c>
      <c r="C20" s="79">
        <v>0</v>
      </c>
      <c r="D20" s="79">
        <v>0</v>
      </c>
      <c r="E20" s="78" t="s">
        <v>26</v>
      </c>
      <c r="F20" s="79">
        <v>10681</v>
      </c>
      <c r="G20" s="79">
        <v>2162</v>
      </c>
      <c r="H20" s="79">
        <v>12843</v>
      </c>
    </row>
    <row r="21" spans="1:8" ht="15" customHeight="1" x14ac:dyDescent="0.3">
      <c r="A21" s="78" t="s">
        <v>27</v>
      </c>
      <c r="B21" s="79">
        <v>0</v>
      </c>
      <c r="C21" s="79">
        <v>399</v>
      </c>
      <c r="D21" s="79">
        <v>399</v>
      </c>
      <c r="E21" s="78" t="s">
        <v>27</v>
      </c>
      <c r="F21" s="79">
        <v>12111</v>
      </c>
      <c r="G21" s="79">
        <v>2430</v>
      </c>
      <c r="H21" s="79">
        <v>14541</v>
      </c>
    </row>
    <row r="22" spans="1:8" ht="15" customHeight="1" x14ac:dyDescent="0.3">
      <c r="A22" s="78" t="s">
        <v>28</v>
      </c>
      <c r="B22" s="79">
        <v>0</v>
      </c>
      <c r="C22" s="79">
        <v>1496</v>
      </c>
      <c r="D22" s="79">
        <v>1496</v>
      </c>
      <c r="E22" s="78" t="s">
        <v>28</v>
      </c>
      <c r="F22" s="79">
        <v>10938</v>
      </c>
      <c r="G22" s="79">
        <v>2640</v>
      </c>
      <c r="H22" s="79">
        <v>13578</v>
      </c>
    </row>
    <row r="23" spans="1:8" ht="15" customHeight="1" x14ac:dyDescent="0.3">
      <c r="A23" s="78" t="s">
        <v>29</v>
      </c>
      <c r="B23" s="79">
        <v>163</v>
      </c>
      <c r="C23" s="79">
        <v>12595</v>
      </c>
      <c r="D23" s="79">
        <v>12758</v>
      </c>
      <c r="E23" s="78" t="s">
        <v>29</v>
      </c>
      <c r="F23" s="79">
        <v>11923</v>
      </c>
      <c r="G23" s="79">
        <v>2593</v>
      </c>
      <c r="H23" s="79">
        <v>14516</v>
      </c>
    </row>
    <row r="24" spans="1:8" ht="15" customHeight="1" x14ac:dyDescent="0.3">
      <c r="A24" s="78" t="s">
        <v>30</v>
      </c>
      <c r="B24" s="79">
        <v>39</v>
      </c>
      <c r="C24" s="79">
        <v>23241</v>
      </c>
      <c r="D24" s="79">
        <v>23280</v>
      </c>
      <c r="E24" s="78" t="s">
        <v>30</v>
      </c>
      <c r="F24" s="79">
        <v>13092</v>
      </c>
      <c r="G24" s="79">
        <v>2924</v>
      </c>
      <c r="H24" s="79">
        <v>16016</v>
      </c>
    </row>
    <row r="25" spans="1:8" ht="15" customHeight="1" x14ac:dyDescent="0.3">
      <c r="A25" s="78" t="s">
        <v>31</v>
      </c>
      <c r="B25" s="79">
        <v>285</v>
      </c>
      <c r="C25" s="79">
        <v>27204</v>
      </c>
      <c r="D25" s="79">
        <v>27489</v>
      </c>
      <c r="E25" s="78" t="s">
        <v>31</v>
      </c>
      <c r="F25" s="79">
        <v>14811</v>
      </c>
      <c r="G25" s="79">
        <v>2463</v>
      </c>
      <c r="H25" s="79">
        <v>17274</v>
      </c>
    </row>
    <row r="26" spans="1:8" ht="15" customHeight="1" x14ac:dyDescent="0.3">
      <c r="A26" s="78" t="s">
        <v>32</v>
      </c>
      <c r="B26" s="79">
        <v>390</v>
      </c>
      <c r="C26" s="79">
        <v>25387</v>
      </c>
      <c r="D26" s="79">
        <v>25777</v>
      </c>
      <c r="E26" s="78" t="s">
        <v>32</v>
      </c>
      <c r="F26" s="79">
        <v>13988</v>
      </c>
      <c r="G26" s="79">
        <v>2216</v>
      </c>
      <c r="H26" s="79">
        <v>16204</v>
      </c>
    </row>
    <row r="27" spans="1:8" ht="15" customHeight="1" x14ac:dyDescent="0.3">
      <c r="A27" s="78" t="s">
        <v>33</v>
      </c>
      <c r="B27" s="79">
        <v>0</v>
      </c>
      <c r="C27" s="79">
        <v>19392</v>
      </c>
      <c r="D27" s="79">
        <v>19392</v>
      </c>
      <c r="E27" s="78" t="s">
        <v>33</v>
      </c>
      <c r="F27" s="79">
        <v>11806</v>
      </c>
      <c r="G27" s="79">
        <v>2692</v>
      </c>
      <c r="H27" s="79">
        <v>14498</v>
      </c>
    </row>
    <row r="28" spans="1:8" ht="15" customHeight="1" x14ac:dyDescent="0.3">
      <c r="A28" s="78" t="s">
        <v>34</v>
      </c>
      <c r="B28" s="79">
        <v>0</v>
      </c>
      <c r="C28" s="79">
        <v>5112</v>
      </c>
      <c r="D28" s="79">
        <v>5112</v>
      </c>
      <c r="E28" s="78" t="s">
        <v>34</v>
      </c>
      <c r="F28" s="79">
        <v>12923</v>
      </c>
      <c r="G28" s="79">
        <v>2880</v>
      </c>
      <c r="H28" s="79">
        <v>15803</v>
      </c>
    </row>
    <row r="29" spans="1:8" ht="15" customHeight="1" x14ac:dyDescent="0.3">
      <c r="A29" s="78" t="s">
        <v>35</v>
      </c>
      <c r="B29" s="79">
        <v>0</v>
      </c>
      <c r="C29" s="79">
        <v>77</v>
      </c>
      <c r="D29" s="79">
        <v>77</v>
      </c>
      <c r="E29" s="78" t="s">
        <v>35</v>
      </c>
      <c r="F29" s="79">
        <v>13350</v>
      </c>
      <c r="G29" s="79">
        <v>3070</v>
      </c>
      <c r="H29" s="79">
        <v>16420</v>
      </c>
    </row>
    <row r="30" spans="1:8" ht="15" customHeight="1" x14ac:dyDescent="0.3">
      <c r="A30" s="78" t="s">
        <v>36</v>
      </c>
      <c r="B30" s="79">
        <v>0</v>
      </c>
      <c r="C30" s="79">
        <v>0</v>
      </c>
      <c r="D30" s="79">
        <v>0</v>
      </c>
      <c r="E30" s="78" t="s">
        <v>36</v>
      </c>
      <c r="F30" s="79">
        <v>13784</v>
      </c>
      <c r="G30" s="79">
        <v>3144</v>
      </c>
      <c r="H30" s="79">
        <v>16928</v>
      </c>
    </row>
    <row r="31" spans="1:8" ht="15" customHeight="1" x14ac:dyDescent="0.3">
      <c r="A31" s="104">
        <v>2023</v>
      </c>
      <c r="B31" s="103">
        <v>5</v>
      </c>
      <c r="C31" s="103">
        <v>122337</v>
      </c>
      <c r="D31" s="103">
        <v>122342</v>
      </c>
      <c r="E31" s="104">
        <v>2023</v>
      </c>
      <c r="F31" s="103">
        <v>139203</v>
      </c>
      <c r="G31" s="103">
        <v>27851</v>
      </c>
      <c r="H31" s="103">
        <v>167054</v>
      </c>
    </row>
    <row r="32" spans="1:8" ht="15" customHeight="1" x14ac:dyDescent="0.3">
      <c r="A32" s="78" t="s">
        <v>25</v>
      </c>
      <c r="B32" s="79">
        <v>0</v>
      </c>
      <c r="C32" s="79">
        <v>0</v>
      </c>
      <c r="D32" s="79">
        <v>0</v>
      </c>
      <c r="E32" s="78" t="s">
        <v>25</v>
      </c>
      <c r="F32" s="79">
        <v>9716</v>
      </c>
      <c r="G32" s="79">
        <v>1966</v>
      </c>
      <c r="H32" s="79">
        <v>11682</v>
      </c>
    </row>
    <row r="33" spans="1:8" ht="15" customHeight="1" x14ac:dyDescent="0.3">
      <c r="A33" s="78" t="s">
        <v>26</v>
      </c>
      <c r="B33" s="79">
        <v>0</v>
      </c>
      <c r="C33" s="79">
        <v>0</v>
      </c>
      <c r="D33" s="79">
        <v>0</v>
      </c>
      <c r="E33" s="78" t="s">
        <v>26</v>
      </c>
      <c r="F33" s="79">
        <v>9450</v>
      </c>
      <c r="G33" s="79">
        <v>2154</v>
      </c>
      <c r="H33" s="79">
        <v>11604</v>
      </c>
    </row>
    <row r="34" spans="1:8" ht="15" customHeight="1" x14ac:dyDescent="0.3">
      <c r="A34" s="78" t="s">
        <v>27</v>
      </c>
      <c r="B34" s="79">
        <v>0</v>
      </c>
      <c r="C34" s="79">
        <v>0</v>
      </c>
      <c r="D34" s="79">
        <v>0</v>
      </c>
      <c r="E34" s="78" t="s">
        <v>27</v>
      </c>
      <c r="F34" s="79">
        <v>10685</v>
      </c>
      <c r="G34" s="79">
        <v>2387</v>
      </c>
      <c r="H34" s="79">
        <v>13072</v>
      </c>
    </row>
    <row r="35" spans="1:8" ht="15" customHeight="1" x14ac:dyDescent="0.3">
      <c r="A35" s="78" t="s">
        <v>28</v>
      </c>
      <c r="B35" s="79">
        <v>0</v>
      </c>
      <c r="C35" s="79">
        <v>1233</v>
      </c>
      <c r="D35" s="79">
        <v>1233</v>
      </c>
      <c r="E35" s="78" t="s">
        <v>28</v>
      </c>
      <c r="F35" s="79">
        <v>10826</v>
      </c>
      <c r="G35" s="79">
        <v>2074</v>
      </c>
      <c r="H35" s="79">
        <v>12900</v>
      </c>
    </row>
    <row r="36" spans="1:8" ht="15" customHeight="1" x14ac:dyDescent="0.3">
      <c r="A36" s="78" t="s">
        <v>29</v>
      </c>
      <c r="B36" s="79">
        <v>0</v>
      </c>
      <c r="C36" s="79">
        <v>12355</v>
      </c>
      <c r="D36" s="79">
        <v>12355</v>
      </c>
      <c r="E36" s="78" t="s">
        <v>29</v>
      </c>
      <c r="F36" s="79">
        <v>11768</v>
      </c>
      <c r="G36" s="79">
        <v>2396</v>
      </c>
      <c r="H36" s="79">
        <v>14164</v>
      </c>
    </row>
    <row r="37" spans="1:8" ht="15" customHeight="1" x14ac:dyDescent="0.3">
      <c r="A37" s="78" t="s">
        <v>30</v>
      </c>
      <c r="B37" s="79">
        <v>0</v>
      </c>
      <c r="C37" s="79">
        <v>25615</v>
      </c>
      <c r="D37" s="79">
        <v>25615</v>
      </c>
      <c r="E37" s="78" t="s">
        <v>30</v>
      </c>
      <c r="F37" s="79">
        <v>11251</v>
      </c>
      <c r="G37" s="79">
        <v>2533</v>
      </c>
      <c r="H37" s="79">
        <v>13784</v>
      </c>
    </row>
    <row r="38" spans="1:8" ht="15" customHeight="1" x14ac:dyDescent="0.3">
      <c r="A38" s="78" t="s">
        <v>31</v>
      </c>
      <c r="B38" s="79">
        <v>0</v>
      </c>
      <c r="C38" s="79">
        <v>31383</v>
      </c>
      <c r="D38" s="79">
        <v>31383</v>
      </c>
      <c r="E38" s="78" t="s">
        <v>31</v>
      </c>
      <c r="F38" s="79">
        <v>14544</v>
      </c>
      <c r="G38" s="79">
        <v>2275</v>
      </c>
      <c r="H38" s="79">
        <v>16819</v>
      </c>
    </row>
    <row r="39" spans="1:8" ht="15" customHeight="1" x14ac:dyDescent="0.3">
      <c r="A39" s="78" t="s">
        <v>32</v>
      </c>
      <c r="B39" s="79">
        <v>0</v>
      </c>
      <c r="C39" s="79">
        <v>27658</v>
      </c>
      <c r="D39" s="79">
        <v>27658</v>
      </c>
      <c r="E39" s="78" t="s">
        <v>32</v>
      </c>
      <c r="F39" s="79">
        <v>13117</v>
      </c>
      <c r="G39" s="79">
        <v>2202</v>
      </c>
      <c r="H39" s="79">
        <v>15319</v>
      </c>
    </row>
    <row r="40" spans="1:8" ht="15" customHeight="1" x14ac:dyDescent="0.3">
      <c r="A40" s="78" t="s">
        <v>33</v>
      </c>
      <c r="B40" s="79">
        <v>0</v>
      </c>
      <c r="C40" s="79">
        <v>19783</v>
      </c>
      <c r="D40" s="79">
        <v>19783</v>
      </c>
      <c r="E40" s="78" t="s">
        <v>33</v>
      </c>
      <c r="F40" s="79">
        <v>12390</v>
      </c>
      <c r="G40" s="79">
        <v>2625</v>
      </c>
      <c r="H40" s="79">
        <v>15015</v>
      </c>
    </row>
    <row r="41" spans="1:8" ht="15" customHeight="1" x14ac:dyDescent="0.3">
      <c r="A41" s="78" t="s">
        <v>34</v>
      </c>
      <c r="B41" s="79">
        <v>5</v>
      </c>
      <c r="C41" s="79">
        <v>4310</v>
      </c>
      <c r="D41" s="79">
        <v>4315</v>
      </c>
      <c r="E41" s="78" t="s">
        <v>34</v>
      </c>
      <c r="F41" s="79">
        <v>11620</v>
      </c>
      <c r="G41" s="79">
        <v>2438</v>
      </c>
      <c r="H41" s="79">
        <v>14058</v>
      </c>
    </row>
    <row r="42" spans="1:8" ht="15" customHeight="1" x14ac:dyDescent="0.3">
      <c r="A42" s="78" t="s">
        <v>35</v>
      </c>
      <c r="B42" s="79">
        <v>0</v>
      </c>
      <c r="C42" s="79">
        <v>0</v>
      </c>
      <c r="D42" s="79">
        <v>0</v>
      </c>
      <c r="E42" s="78" t="s">
        <v>35</v>
      </c>
      <c r="F42" s="79">
        <v>11739</v>
      </c>
      <c r="G42" s="79">
        <v>2401</v>
      </c>
      <c r="H42" s="79">
        <v>14140</v>
      </c>
    </row>
    <row r="43" spans="1:8" ht="15" customHeight="1" x14ac:dyDescent="0.3">
      <c r="A43" s="78" t="s">
        <v>36</v>
      </c>
      <c r="B43" s="79">
        <v>0</v>
      </c>
      <c r="C43" s="79">
        <v>0</v>
      </c>
      <c r="D43" s="79">
        <v>0</v>
      </c>
      <c r="E43" s="78" t="s">
        <v>36</v>
      </c>
      <c r="F43" s="79">
        <v>12097</v>
      </c>
      <c r="G43" s="79">
        <v>2400</v>
      </c>
      <c r="H43" s="79">
        <v>14497</v>
      </c>
    </row>
    <row r="44" spans="1:8" ht="15" customHeight="1" x14ac:dyDescent="0.3">
      <c r="A44" s="104">
        <v>2022</v>
      </c>
      <c r="B44" s="103">
        <v>864</v>
      </c>
      <c r="C44" s="103">
        <v>100689</v>
      </c>
      <c r="D44" s="103">
        <v>101553</v>
      </c>
      <c r="E44" s="104">
        <v>2022</v>
      </c>
      <c r="F44" s="103">
        <v>121573</v>
      </c>
      <c r="G44" s="103">
        <v>21944</v>
      </c>
      <c r="H44" s="103">
        <v>143517</v>
      </c>
    </row>
    <row r="45" spans="1:8" ht="15" customHeight="1" x14ac:dyDescent="0.3">
      <c r="A45" s="78" t="s">
        <v>25</v>
      </c>
      <c r="B45" s="79">
        <v>0</v>
      </c>
      <c r="C45" s="79">
        <v>3</v>
      </c>
      <c r="D45" s="79">
        <v>3</v>
      </c>
      <c r="E45" s="78" t="s">
        <v>25</v>
      </c>
      <c r="F45" s="79">
        <v>6718</v>
      </c>
      <c r="G45" s="79">
        <v>1171</v>
      </c>
      <c r="H45" s="79">
        <v>7889</v>
      </c>
    </row>
    <row r="46" spans="1:8" ht="15" customHeight="1" x14ac:dyDescent="0.3">
      <c r="A46" s="78" t="s">
        <v>26</v>
      </c>
      <c r="B46" s="79">
        <v>0</v>
      </c>
      <c r="C46" s="79">
        <v>1</v>
      </c>
      <c r="D46" s="79">
        <v>1</v>
      </c>
      <c r="E46" s="78" t="s">
        <v>26</v>
      </c>
      <c r="F46" s="79">
        <v>6954</v>
      </c>
      <c r="G46" s="79">
        <v>1502</v>
      </c>
      <c r="H46" s="79">
        <v>8456</v>
      </c>
    </row>
    <row r="47" spans="1:8" ht="15" customHeight="1" x14ac:dyDescent="0.3">
      <c r="A47" s="78" t="s">
        <v>27</v>
      </c>
      <c r="B47" s="79">
        <v>0</v>
      </c>
      <c r="C47" s="79">
        <v>0</v>
      </c>
      <c r="D47" s="79">
        <v>0</v>
      </c>
      <c r="E47" s="78" t="s">
        <v>27</v>
      </c>
      <c r="F47" s="79">
        <v>8643</v>
      </c>
      <c r="G47" s="79">
        <v>1701</v>
      </c>
      <c r="H47" s="79">
        <v>10344</v>
      </c>
    </row>
    <row r="48" spans="1:8" ht="15" customHeight="1" x14ac:dyDescent="0.3">
      <c r="A48" s="78" t="s">
        <v>28</v>
      </c>
      <c r="B48" s="79">
        <v>0</v>
      </c>
      <c r="C48" s="79">
        <v>1164</v>
      </c>
      <c r="D48" s="79">
        <v>1164</v>
      </c>
      <c r="E48" s="78" t="s">
        <v>28</v>
      </c>
      <c r="F48" s="79">
        <v>9959</v>
      </c>
      <c r="G48" s="79">
        <v>1808</v>
      </c>
      <c r="H48" s="79">
        <v>11767</v>
      </c>
    </row>
    <row r="49" spans="1:8" ht="15" customHeight="1" x14ac:dyDescent="0.3">
      <c r="A49" s="78" t="s">
        <v>29</v>
      </c>
      <c r="B49" s="79">
        <v>0</v>
      </c>
      <c r="C49" s="79">
        <v>8897</v>
      </c>
      <c r="D49" s="79">
        <v>8897</v>
      </c>
      <c r="E49" s="78" t="s">
        <v>29</v>
      </c>
      <c r="F49" s="79">
        <v>10574</v>
      </c>
      <c r="G49" s="79">
        <v>1973</v>
      </c>
      <c r="H49" s="79">
        <v>12547</v>
      </c>
    </row>
    <row r="50" spans="1:8" ht="15" customHeight="1" x14ac:dyDescent="0.3">
      <c r="A50" s="78" t="s">
        <v>30</v>
      </c>
      <c r="B50" s="79">
        <v>0</v>
      </c>
      <c r="C50" s="79">
        <v>20584</v>
      </c>
      <c r="D50" s="79">
        <v>20584</v>
      </c>
      <c r="E50" s="78" t="s">
        <v>30</v>
      </c>
      <c r="F50" s="79">
        <v>10110</v>
      </c>
      <c r="G50" s="79">
        <v>1969</v>
      </c>
      <c r="H50" s="79">
        <v>12079</v>
      </c>
    </row>
    <row r="51" spans="1:8" ht="15" customHeight="1" x14ac:dyDescent="0.3">
      <c r="A51" s="78" t="s">
        <v>31</v>
      </c>
      <c r="B51" s="79">
        <v>0</v>
      </c>
      <c r="C51" s="79">
        <v>26344</v>
      </c>
      <c r="D51" s="79">
        <v>26344</v>
      </c>
      <c r="E51" s="78" t="s">
        <v>31</v>
      </c>
      <c r="F51" s="79">
        <v>13904</v>
      </c>
      <c r="G51" s="79">
        <v>2145</v>
      </c>
      <c r="H51" s="79">
        <v>16049</v>
      </c>
    </row>
    <row r="52" spans="1:8" ht="15" customHeight="1" x14ac:dyDescent="0.3">
      <c r="A52" s="78" t="s">
        <v>32</v>
      </c>
      <c r="B52" s="79">
        <v>864</v>
      </c>
      <c r="C52" s="79">
        <v>25679</v>
      </c>
      <c r="D52" s="79">
        <v>26543</v>
      </c>
      <c r="E52" s="78" t="s">
        <v>32</v>
      </c>
      <c r="F52" s="79">
        <v>12303</v>
      </c>
      <c r="G52" s="79">
        <v>2047</v>
      </c>
      <c r="H52" s="79">
        <v>14350</v>
      </c>
    </row>
    <row r="53" spans="1:8" ht="15" customHeight="1" x14ac:dyDescent="0.3">
      <c r="A53" s="78" t="s">
        <v>33</v>
      </c>
      <c r="B53" s="79">
        <v>0</v>
      </c>
      <c r="C53" s="79">
        <v>15134</v>
      </c>
      <c r="D53" s="79">
        <v>15134</v>
      </c>
      <c r="E53" s="78" t="s">
        <v>33</v>
      </c>
      <c r="F53" s="79">
        <v>10365</v>
      </c>
      <c r="G53" s="79">
        <v>1824</v>
      </c>
      <c r="H53" s="79">
        <v>12189</v>
      </c>
    </row>
    <row r="54" spans="1:8" ht="15" customHeight="1" x14ac:dyDescent="0.3">
      <c r="A54" s="78" t="s">
        <v>34</v>
      </c>
      <c r="B54" s="79">
        <v>0</v>
      </c>
      <c r="C54" s="79">
        <v>2524</v>
      </c>
      <c r="D54" s="79">
        <v>2524</v>
      </c>
      <c r="E54" s="78" t="s">
        <v>34</v>
      </c>
      <c r="F54" s="79">
        <v>10397</v>
      </c>
      <c r="G54" s="79">
        <v>1796</v>
      </c>
      <c r="H54" s="79">
        <v>12193</v>
      </c>
    </row>
    <row r="55" spans="1:8" ht="15" customHeight="1" x14ac:dyDescent="0.3">
      <c r="A55" s="78" t="s">
        <v>35</v>
      </c>
      <c r="B55" s="79">
        <v>0</v>
      </c>
      <c r="C55" s="79">
        <v>148</v>
      </c>
      <c r="D55" s="79">
        <v>148</v>
      </c>
      <c r="E55" s="78" t="s">
        <v>35</v>
      </c>
      <c r="F55" s="79">
        <v>10897</v>
      </c>
      <c r="G55" s="79">
        <v>1815</v>
      </c>
      <c r="H55" s="79">
        <v>12712</v>
      </c>
    </row>
    <row r="56" spans="1:8" ht="15" customHeight="1" x14ac:dyDescent="0.3">
      <c r="A56" s="78" t="s">
        <v>36</v>
      </c>
      <c r="B56" s="79">
        <v>0</v>
      </c>
      <c r="C56" s="79">
        <v>211</v>
      </c>
      <c r="D56" s="79">
        <v>211</v>
      </c>
      <c r="E56" s="78" t="s">
        <v>36</v>
      </c>
      <c r="F56" s="79">
        <v>10749</v>
      </c>
      <c r="G56" s="79">
        <v>2193</v>
      </c>
      <c r="H56" s="79">
        <v>12942</v>
      </c>
    </row>
    <row r="57" spans="1:8" ht="15" customHeight="1" x14ac:dyDescent="0.3">
      <c r="A57" s="104">
        <v>2021</v>
      </c>
      <c r="B57" s="103">
        <f>SUM(B58:B69)</f>
        <v>393</v>
      </c>
      <c r="C57" s="103">
        <f>SUM(C58:C69)</f>
        <v>55501</v>
      </c>
      <c r="D57" s="103">
        <f>SUM(D58:D69)</f>
        <v>55894</v>
      </c>
      <c r="E57" s="104">
        <v>2021</v>
      </c>
      <c r="F57" s="103">
        <f>SUM(F58:F69)</f>
        <v>78171</v>
      </c>
      <c r="G57" s="103">
        <f t="shared" ref="G57" si="0">SUM(G58:G69)</f>
        <v>15980</v>
      </c>
      <c r="H57" s="103">
        <f>SUM(H58:H69)</f>
        <v>94151</v>
      </c>
    </row>
    <row r="58" spans="1:8" ht="15" customHeight="1" x14ac:dyDescent="0.3">
      <c r="A58" s="78" t="s">
        <v>25</v>
      </c>
      <c r="B58" s="79">
        <v>0</v>
      </c>
      <c r="C58" s="79">
        <v>0</v>
      </c>
      <c r="D58" s="79">
        <f>SUM(B58:C58)</f>
        <v>0</v>
      </c>
      <c r="E58" s="78" t="s">
        <v>25</v>
      </c>
      <c r="F58" s="79">
        <v>2753</v>
      </c>
      <c r="G58" s="79">
        <v>413</v>
      </c>
      <c r="H58" s="79">
        <f>SUM(F58:G58)</f>
        <v>3166</v>
      </c>
    </row>
    <row r="59" spans="1:8" ht="15" customHeight="1" x14ac:dyDescent="0.3">
      <c r="A59" s="78" t="s">
        <v>26</v>
      </c>
      <c r="B59" s="79">
        <v>0</v>
      </c>
      <c r="C59" s="79">
        <v>0</v>
      </c>
      <c r="D59" s="79">
        <f t="shared" ref="D59:D69" si="1">SUM(B59:C59)</f>
        <v>0</v>
      </c>
      <c r="E59" s="78" t="s">
        <v>26</v>
      </c>
      <c r="F59" s="79">
        <v>2313</v>
      </c>
      <c r="G59" s="79">
        <v>419</v>
      </c>
      <c r="H59" s="79">
        <f t="shared" ref="H59:H69" si="2">SUM(F59:G59)</f>
        <v>2732</v>
      </c>
    </row>
    <row r="60" spans="1:8" ht="15" customHeight="1" x14ac:dyDescent="0.3">
      <c r="A60" s="78" t="s">
        <v>27</v>
      </c>
      <c r="B60" s="79">
        <v>0</v>
      </c>
      <c r="C60" s="79">
        <v>0</v>
      </c>
      <c r="D60" s="79">
        <f t="shared" si="1"/>
        <v>0</v>
      </c>
      <c r="E60" s="78" t="s">
        <v>27</v>
      </c>
      <c r="F60" s="79">
        <v>3253</v>
      </c>
      <c r="G60" s="79">
        <v>486</v>
      </c>
      <c r="H60" s="79">
        <f t="shared" si="2"/>
        <v>3739</v>
      </c>
    </row>
    <row r="61" spans="1:8" ht="15" customHeight="1" x14ac:dyDescent="0.3">
      <c r="A61" s="78" t="s">
        <v>28</v>
      </c>
      <c r="B61" s="79">
        <v>0</v>
      </c>
      <c r="C61" s="79">
        <v>113</v>
      </c>
      <c r="D61" s="79">
        <f t="shared" si="1"/>
        <v>113</v>
      </c>
      <c r="E61" s="78" t="s">
        <v>28</v>
      </c>
      <c r="F61" s="79">
        <v>3449</v>
      </c>
      <c r="G61" s="79">
        <v>840</v>
      </c>
      <c r="H61" s="79">
        <f t="shared" si="2"/>
        <v>4289</v>
      </c>
    </row>
    <row r="62" spans="1:8" ht="15" customHeight="1" x14ac:dyDescent="0.3">
      <c r="A62" s="78" t="s">
        <v>29</v>
      </c>
      <c r="B62" s="79">
        <v>0</v>
      </c>
      <c r="C62" s="79">
        <v>1776</v>
      </c>
      <c r="D62" s="79">
        <f t="shared" si="1"/>
        <v>1776</v>
      </c>
      <c r="E62" s="78" t="s">
        <v>29</v>
      </c>
      <c r="F62" s="79">
        <v>5568</v>
      </c>
      <c r="G62" s="79">
        <v>1031</v>
      </c>
      <c r="H62" s="79">
        <f t="shared" si="2"/>
        <v>6599</v>
      </c>
    </row>
    <row r="63" spans="1:8" ht="15" customHeight="1" x14ac:dyDescent="0.3">
      <c r="A63" s="78" t="s">
        <v>30</v>
      </c>
      <c r="B63" s="79">
        <v>0</v>
      </c>
      <c r="C63" s="79">
        <v>6775</v>
      </c>
      <c r="D63" s="79">
        <f t="shared" si="1"/>
        <v>6775</v>
      </c>
      <c r="E63" s="78" t="s">
        <v>30</v>
      </c>
      <c r="F63" s="79">
        <v>6668</v>
      </c>
      <c r="G63" s="79">
        <v>1655</v>
      </c>
      <c r="H63" s="79">
        <f t="shared" si="2"/>
        <v>8323</v>
      </c>
    </row>
    <row r="64" spans="1:8" ht="15" customHeight="1" x14ac:dyDescent="0.3">
      <c r="A64" s="78" t="s">
        <v>31</v>
      </c>
      <c r="B64" s="79">
        <v>0</v>
      </c>
      <c r="C64" s="79">
        <v>16470</v>
      </c>
      <c r="D64" s="79">
        <f t="shared" si="1"/>
        <v>16470</v>
      </c>
      <c r="E64" s="78" t="s">
        <v>31</v>
      </c>
      <c r="F64" s="79">
        <v>9659</v>
      </c>
      <c r="G64" s="79">
        <v>2236</v>
      </c>
      <c r="H64" s="79">
        <f t="shared" si="2"/>
        <v>11895</v>
      </c>
    </row>
    <row r="65" spans="1:8" ht="15" customHeight="1" x14ac:dyDescent="0.3">
      <c r="A65" s="78" t="s">
        <v>32</v>
      </c>
      <c r="B65" s="79">
        <v>393</v>
      </c>
      <c r="C65" s="79">
        <v>17492</v>
      </c>
      <c r="D65" s="79">
        <f t="shared" si="1"/>
        <v>17885</v>
      </c>
      <c r="E65" s="78" t="s">
        <v>32</v>
      </c>
      <c r="F65" s="79">
        <v>9891</v>
      </c>
      <c r="G65" s="79">
        <v>1930</v>
      </c>
      <c r="H65" s="79">
        <f t="shared" si="2"/>
        <v>11821</v>
      </c>
    </row>
    <row r="66" spans="1:8" ht="15" customHeight="1" x14ac:dyDescent="0.3">
      <c r="A66" s="78" t="s">
        <v>33</v>
      </c>
      <c r="B66" s="79">
        <v>0</v>
      </c>
      <c r="C66" s="79">
        <v>10041</v>
      </c>
      <c r="D66" s="79">
        <f t="shared" si="1"/>
        <v>10041</v>
      </c>
      <c r="E66" s="78" t="s">
        <v>33</v>
      </c>
      <c r="F66" s="79">
        <v>7828</v>
      </c>
      <c r="G66" s="79">
        <v>1706</v>
      </c>
      <c r="H66" s="79">
        <f t="shared" si="2"/>
        <v>9534</v>
      </c>
    </row>
    <row r="67" spans="1:8" ht="15" customHeight="1" x14ac:dyDescent="0.3">
      <c r="A67" s="78" t="s">
        <v>34</v>
      </c>
      <c r="B67" s="79">
        <v>0</v>
      </c>
      <c r="C67" s="79">
        <v>2834</v>
      </c>
      <c r="D67" s="79">
        <f t="shared" si="1"/>
        <v>2834</v>
      </c>
      <c r="E67" s="78" t="s">
        <v>34</v>
      </c>
      <c r="F67" s="79">
        <v>8359</v>
      </c>
      <c r="G67" s="79">
        <v>1681</v>
      </c>
      <c r="H67" s="79">
        <f t="shared" si="2"/>
        <v>10040</v>
      </c>
    </row>
    <row r="68" spans="1:8" ht="15" customHeight="1" x14ac:dyDescent="0.3">
      <c r="A68" s="78" t="s">
        <v>35</v>
      </c>
      <c r="B68" s="79">
        <v>0</v>
      </c>
      <c r="C68" s="79">
        <v>0</v>
      </c>
      <c r="D68" s="79">
        <f t="shared" si="1"/>
        <v>0</v>
      </c>
      <c r="E68" s="78" t="s">
        <v>35</v>
      </c>
      <c r="F68" s="79">
        <v>8946</v>
      </c>
      <c r="G68" s="79">
        <v>1700</v>
      </c>
      <c r="H68" s="79">
        <f t="shared" si="2"/>
        <v>10646</v>
      </c>
    </row>
    <row r="69" spans="1:8" ht="15" customHeight="1" x14ac:dyDescent="0.3">
      <c r="A69" s="78" t="s">
        <v>36</v>
      </c>
      <c r="B69" s="79">
        <v>0</v>
      </c>
      <c r="C69" s="79">
        <v>0</v>
      </c>
      <c r="D69" s="79">
        <f t="shared" si="1"/>
        <v>0</v>
      </c>
      <c r="E69" s="78" t="s">
        <v>36</v>
      </c>
      <c r="F69" s="79">
        <v>9484</v>
      </c>
      <c r="G69" s="79">
        <v>1883</v>
      </c>
      <c r="H69" s="79">
        <f t="shared" si="2"/>
        <v>11367</v>
      </c>
    </row>
    <row r="70" spans="1:8" ht="15" customHeight="1" x14ac:dyDescent="0.3">
      <c r="A70" s="104">
        <v>2020</v>
      </c>
      <c r="B70" s="103">
        <f>SUM(B71:B82)</f>
        <v>37</v>
      </c>
      <c r="C70" s="103">
        <f>SUM(C71:C82)</f>
        <v>22283</v>
      </c>
      <c r="D70" s="103">
        <f>SUM(D71:D82)</f>
        <v>22320</v>
      </c>
      <c r="E70" s="104">
        <v>2020</v>
      </c>
      <c r="F70" s="103">
        <f>SUM(F71:F82)</f>
        <v>62872</v>
      </c>
      <c r="G70" s="103">
        <f t="shared" ref="G70" si="3">SUM(G71:G82)</f>
        <v>12605</v>
      </c>
      <c r="H70" s="103">
        <f>SUM(H71:H82)</f>
        <v>75477</v>
      </c>
    </row>
    <row r="71" spans="1:8" ht="15" customHeight="1" x14ac:dyDescent="0.3">
      <c r="A71" s="78" t="s">
        <v>25</v>
      </c>
      <c r="B71" s="79">
        <v>0</v>
      </c>
      <c r="C71" s="79">
        <v>0</v>
      </c>
      <c r="D71" s="79">
        <f>SUM(B71:C71)</f>
        <v>0</v>
      </c>
      <c r="E71" s="78" t="s">
        <v>25</v>
      </c>
      <c r="F71" s="79">
        <v>9512</v>
      </c>
      <c r="G71" s="79">
        <v>2247</v>
      </c>
      <c r="H71" s="79">
        <f>SUM(F71:G71)</f>
        <v>11759</v>
      </c>
    </row>
    <row r="72" spans="1:8" ht="15" customHeight="1" x14ac:dyDescent="0.3">
      <c r="A72" s="78" t="s">
        <v>26</v>
      </c>
      <c r="B72" s="79">
        <v>0</v>
      </c>
      <c r="C72" s="79">
        <v>8</v>
      </c>
      <c r="D72" s="79">
        <f t="shared" ref="D72:D82" si="4">SUM(B72:C72)</f>
        <v>8</v>
      </c>
      <c r="E72" s="78" t="s">
        <v>26</v>
      </c>
      <c r="F72" s="79">
        <v>9512</v>
      </c>
      <c r="G72" s="79">
        <v>2255</v>
      </c>
      <c r="H72" s="79">
        <f t="shared" ref="H72:H82" si="5">SUM(F72:G72)</f>
        <v>11767</v>
      </c>
    </row>
    <row r="73" spans="1:8" ht="15" customHeight="1" x14ac:dyDescent="0.3">
      <c r="A73" s="78" t="s">
        <v>27</v>
      </c>
      <c r="B73" s="79">
        <v>0</v>
      </c>
      <c r="C73" s="79">
        <v>0</v>
      </c>
      <c r="D73" s="79">
        <f t="shared" si="4"/>
        <v>0</v>
      </c>
      <c r="E73" s="78" t="s">
        <v>27</v>
      </c>
      <c r="F73" s="79">
        <v>5191</v>
      </c>
      <c r="G73" s="79">
        <v>1028</v>
      </c>
      <c r="H73" s="79">
        <f t="shared" si="5"/>
        <v>6219</v>
      </c>
    </row>
    <row r="74" spans="1:8" ht="15" customHeight="1" x14ac:dyDescent="0.3">
      <c r="A74" s="78" t="s">
        <v>28</v>
      </c>
      <c r="B74" s="79">
        <v>3</v>
      </c>
      <c r="C74" s="79">
        <v>1</v>
      </c>
      <c r="D74" s="79">
        <f t="shared" si="4"/>
        <v>4</v>
      </c>
      <c r="E74" s="78" t="s">
        <v>28</v>
      </c>
      <c r="F74" s="79">
        <v>395</v>
      </c>
      <c r="G74" s="79">
        <v>114</v>
      </c>
      <c r="H74" s="79">
        <f t="shared" si="5"/>
        <v>509</v>
      </c>
    </row>
    <row r="75" spans="1:8" ht="15" customHeight="1" x14ac:dyDescent="0.3">
      <c r="A75" s="78" t="s">
        <v>29</v>
      </c>
      <c r="B75" s="79">
        <v>0</v>
      </c>
      <c r="C75" s="79">
        <v>0</v>
      </c>
      <c r="D75" s="79">
        <f t="shared" si="4"/>
        <v>0</v>
      </c>
      <c r="E75" s="78" t="s">
        <v>29</v>
      </c>
      <c r="F75" s="79">
        <v>2034</v>
      </c>
      <c r="G75" s="79">
        <v>363</v>
      </c>
      <c r="H75" s="79">
        <f t="shared" si="5"/>
        <v>2397</v>
      </c>
    </row>
    <row r="76" spans="1:8" ht="15" customHeight="1" x14ac:dyDescent="0.3">
      <c r="A76" s="78" t="s">
        <v>30</v>
      </c>
      <c r="B76" s="79">
        <v>29</v>
      </c>
      <c r="C76" s="79">
        <v>0</v>
      </c>
      <c r="D76" s="79">
        <f t="shared" si="4"/>
        <v>29</v>
      </c>
      <c r="E76" s="78" t="s">
        <v>30</v>
      </c>
      <c r="F76" s="79">
        <v>4593</v>
      </c>
      <c r="G76" s="79">
        <v>962</v>
      </c>
      <c r="H76" s="79">
        <f t="shared" si="5"/>
        <v>5555</v>
      </c>
    </row>
    <row r="77" spans="1:8" ht="15" customHeight="1" x14ac:dyDescent="0.3">
      <c r="A77" s="78" t="s">
        <v>31</v>
      </c>
      <c r="B77" s="79">
        <v>0</v>
      </c>
      <c r="C77" s="79">
        <v>6340</v>
      </c>
      <c r="D77" s="79">
        <f t="shared" si="4"/>
        <v>6340</v>
      </c>
      <c r="E77" s="78" t="s">
        <v>31</v>
      </c>
      <c r="F77" s="79">
        <v>8031</v>
      </c>
      <c r="G77" s="79">
        <v>1272</v>
      </c>
      <c r="H77" s="79">
        <f t="shared" si="5"/>
        <v>9303</v>
      </c>
    </row>
    <row r="78" spans="1:8" ht="15" customHeight="1" x14ac:dyDescent="0.3">
      <c r="A78" s="78" t="s">
        <v>32</v>
      </c>
      <c r="B78" s="79">
        <v>5</v>
      </c>
      <c r="C78" s="79">
        <v>9898</v>
      </c>
      <c r="D78" s="79">
        <f t="shared" si="4"/>
        <v>9903</v>
      </c>
      <c r="E78" s="78" t="s">
        <v>32</v>
      </c>
      <c r="F78" s="79">
        <v>6844</v>
      </c>
      <c r="G78" s="79">
        <v>1267</v>
      </c>
      <c r="H78" s="79">
        <f t="shared" si="5"/>
        <v>8111</v>
      </c>
    </row>
    <row r="79" spans="1:8" ht="15" customHeight="1" x14ac:dyDescent="0.3">
      <c r="A79" s="78" t="s">
        <v>33</v>
      </c>
      <c r="B79" s="79">
        <v>0</v>
      </c>
      <c r="C79" s="79">
        <v>4731</v>
      </c>
      <c r="D79" s="79">
        <f t="shared" si="4"/>
        <v>4731</v>
      </c>
      <c r="E79" s="78" t="s">
        <v>33</v>
      </c>
      <c r="F79" s="79">
        <v>5549</v>
      </c>
      <c r="G79" s="79">
        <v>1157</v>
      </c>
      <c r="H79" s="79">
        <f t="shared" si="5"/>
        <v>6706</v>
      </c>
    </row>
    <row r="80" spans="1:8" ht="15" customHeight="1" x14ac:dyDescent="0.3">
      <c r="A80" s="78" t="s">
        <v>34</v>
      </c>
      <c r="B80" s="79">
        <v>0</v>
      </c>
      <c r="C80" s="79">
        <v>1305</v>
      </c>
      <c r="D80" s="79">
        <f t="shared" si="4"/>
        <v>1305</v>
      </c>
      <c r="E80" s="78" t="s">
        <v>34</v>
      </c>
      <c r="F80" s="79">
        <v>5418</v>
      </c>
      <c r="G80" s="79">
        <v>795</v>
      </c>
      <c r="H80" s="79">
        <f t="shared" si="5"/>
        <v>6213</v>
      </c>
    </row>
    <row r="81" spans="1:8" ht="15" customHeight="1" x14ac:dyDescent="0.3">
      <c r="A81" s="78" t="s">
        <v>35</v>
      </c>
      <c r="B81" s="79">
        <v>0</v>
      </c>
      <c r="C81" s="79">
        <v>0</v>
      </c>
      <c r="D81" s="79">
        <f t="shared" si="4"/>
        <v>0</v>
      </c>
      <c r="E81" s="78" t="s">
        <v>35</v>
      </c>
      <c r="F81" s="79">
        <v>3050</v>
      </c>
      <c r="G81" s="79">
        <v>720</v>
      </c>
      <c r="H81" s="79">
        <f t="shared" si="5"/>
        <v>3770</v>
      </c>
    </row>
    <row r="82" spans="1:8" ht="15" customHeight="1" x14ac:dyDescent="0.3">
      <c r="A82" s="78" t="s">
        <v>36</v>
      </c>
      <c r="B82" s="79">
        <v>0</v>
      </c>
      <c r="C82" s="79">
        <v>0</v>
      </c>
      <c r="D82" s="79">
        <f t="shared" si="4"/>
        <v>0</v>
      </c>
      <c r="E82" s="78" t="s">
        <v>36</v>
      </c>
      <c r="F82" s="79">
        <v>2743</v>
      </c>
      <c r="G82" s="79">
        <v>425</v>
      </c>
      <c r="H82" s="79">
        <f t="shared" si="5"/>
        <v>3168</v>
      </c>
    </row>
    <row r="83" spans="1:8" ht="15" customHeight="1" x14ac:dyDescent="0.3">
      <c r="A83" s="104">
        <v>2019</v>
      </c>
      <c r="B83" s="103">
        <f>SUM(B84:B95)</f>
        <v>41</v>
      </c>
      <c r="C83" s="103">
        <f>SUM(C84:C95)</f>
        <v>122892</v>
      </c>
      <c r="D83" s="103">
        <f>SUM(D84:D95)</f>
        <v>122933</v>
      </c>
      <c r="E83" s="104">
        <v>2019</v>
      </c>
      <c r="F83" s="103">
        <f>SUM(F84:F95)</f>
        <v>117328</v>
      </c>
      <c r="G83" s="103">
        <f t="shared" ref="G83" si="6">SUM(G84:G95)</f>
        <v>33935</v>
      </c>
      <c r="H83" s="103">
        <f>SUM(H84:H95)</f>
        <v>151263</v>
      </c>
    </row>
    <row r="84" spans="1:8" ht="15" customHeight="1" x14ac:dyDescent="0.3">
      <c r="A84" s="78" t="s">
        <v>25</v>
      </c>
      <c r="B84" s="79">
        <v>0</v>
      </c>
      <c r="C84" s="79">
        <v>1094</v>
      </c>
      <c r="D84" s="79">
        <f>SUM(B84:C84)</f>
        <v>1094</v>
      </c>
      <c r="E84" s="78" t="s">
        <v>25</v>
      </c>
      <c r="F84" s="79">
        <v>8227</v>
      </c>
      <c r="G84" s="79">
        <v>2698</v>
      </c>
      <c r="H84" s="79">
        <f>SUM(F84:G84)</f>
        <v>10925</v>
      </c>
    </row>
    <row r="85" spans="1:8" ht="15" customHeight="1" x14ac:dyDescent="0.3">
      <c r="A85" s="78" t="s">
        <v>26</v>
      </c>
      <c r="B85" s="79">
        <v>0</v>
      </c>
      <c r="C85" s="79">
        <v>0</v>
      </c>
      <c r="D85" s="79">
        <f t="shared" ref="D85:D95" si="7">SUM(B85:C85)</f>
        <v>0</v>
      </c>
      <c r="E85" s="78" t="s">
        <v>26</v>
      </c>
      <c r="F85" s="79">
        <v>8564</v>
      </c>
      <c r="G85" s="79">
        <v>2297</v>
      </c>
      <c r="H85" s="79">
        <f t="shared" ref="H85:H95" si="8">SUM(F85:G85)</f>
        <v>10861</v>
      </c>
    </row>
    <row r="86" spans="1:8" ht="15" customHeight="1" x14ac:dyDescent="0.3">
      <c r="A86" s="78" t="s">
        <v>27</v>
      </c>
      <c r="B86" s="79">
        <v>0</v>
      </c>
      <c r="C86" s="79">
        <v>0</v>
      </c>
      <c r="D86" s="79">
        <f t="shared" si="7"/>
        <v>0</v>
      </c>
      <c r="E86" s="78" t="s">
        <v>27</v>
      </c>
      <c r="F86" s="79">
        <v>9037</v>
      </c>
      <c r="G86" s="79">
        <v>2863</v>
      </c>
      <c r="H86" s="79">
        <f t="shared" si="8"/>
        <v>11900</v>
      </c>
    </row>
    <row r="87" spans="1:8" ht="15" customHeight="1" x14ac:dyDescent="0.3">
      <c r="A87" s="78" t="s">
        <v>28</v>
      </c>
      <c r="B87" s="79">
        <v>0</v>
      </c>
      <c r="C87" s="79">
        <v>906</v>
      </c>
      <c r="D87" s="79">
        <f t="shared" si="7"/>
        <v>906</v>
      </c>
      <c r="E87" s="78" t="s">
        <v>28</v>
      </c>
      <c r="F87" s="79">
        <v>8885</v>
      </c>
      <c r="G87" s="79">
        <v>2822</v>
      </c>
      <c r="H87" s="79">
        <f t="shared" si="8"/>
        <v>11707</v>
      </c>
    </row>
    <row r="88" spans="1:8" ht="15" customHeight="1" x14ac:dyDescent="0.3">
      <c r="A88" s="78" t="s">
        <v>29</v>
      </c>
      <c r="B88" s="79">
        <v>0</v>
      </c>
      <c r="C88" s="79">
        <v>13813</v>
      </c>
      <c r="D88" s="79">
        <f t="shared" si="7"/>
        <v>13813</v>
      </c>
      <c r="E88" s="78" t="s">
        <v>29</v>
      </c>
      <c r="F88" s="79">
        <v>10081</v>
      </c>
      <c r="G88" s="79">
        <v>2944</v>
      </c>
      <c r="H88" s="79">
        <f t="shared" si="8"/>
        <v>13025</v>
      </c>
    </row>
    <row r="89" spans="1:8" ht="15" customHeight="1" x14ac:dyDescent="0.3">
      <c r="A89" s="78" t="s">
        <v>30</v>
      </c>
      <c r="B89" s="79">
        <v>2</v>
      </c>
      <c r="C89" s="79">
        <v>24672</v>
      </c>
      <c r="D89" s="79">
        <f t="shared" si="7"/>
        <v>24674</v>
      </c>
      <c r="E89" s="78" t="s">
        <v>30</v>
      </c>
      <c r="F89" s="79">
        <v>9388</v>
      </c>
      <c r="G89" s="79">
        <v>2789</v>
      </c>
      <c r="H89" s="79">
        <f t="shared" si="8"/>
        <v>12177</v>
      </c>
    </row>
    <row r="90" spans="1:8" ht="15" customHeight="1" x14ac:dyDescent="0.3">
      <c r="A90" s="78" t="s">
        <v>31</v>
      </c>
      <c r="B90" s="79">
        <v>0</v>
      </c>
      <c r="C90" s="79">
        <v>28311</v>
      </c>
      <c r="D90" s="79">
        <f t="shared" si="7"/>
        <v>28311</v>
      </c>
      <c r="E90" s="78" t="s">
        <v>31</v>
      </c>
      <c r="F90" s="79">
        <v>11477</v>
      </c>
      <c r="G90" s="79">
        <v>3379</v>
      </c>
      <c r="H90" s="79">
        <f t="shared" si="8"/>
        <v>14856</v>
      </c>
    </row>
    <row r="91" spans="1:8" ht="15" customHeight="1" x14ac:dyDescent="0.3">
      <c r="A91" s="78" t="s">
        <v>32</v>
      </c>
      <c r="B91" s="79">
        <v>0</v>
      </c>
      <c r="C91" s="79">
        <v>28744</v>
      </c>
      <c r="D91" s="79">
        <f t="shared" si="7"/>
        <v>28744</v>
      </c>
      <c r="E91" s="78" t="s">
        <v>32</v>
      </c>
      <c r="F91" s="79">
        <v>10808</v>
      </c>
      <c r="G91" s="79">
        <v>2919</v>
      </c>
      <c r="H91" s="79">
        <f t="shared" si="8"/>
        <v>13727</v>
      </c>
    </row>
    <row r="92" spans="1:8" ht="15" customHeight="1" x14ac:dyDescent="0.3">
      <c r="A92" s="78" t="s">
        <v>33</v>
      </c>
      <c r="B92" s="79">
        <v>0</v>
      </c>
      <c r="C92" s="79">
        <v>19834</v>
      </c>
      <c r="D92" s="79">
        <f t="shared" si="7"/>
        <v>19834</v>
      </c>
      <c r="E92" s="78" t="s">
        <v>33</v>
      </c>
      <c r="F92" s="79">
        <v>9909</v>
      </c>
      <c r="G92" s="79">
        <v>2779</v>
      </c>
      <c r="H92" s="79">
        <f t="shared" si="8"/>
        <v>12688</v>
      </c>
    </row>
    <row r="93" spans="1:8" ht="15" customHeight="1" x14ac:dyDescent="0.3">
      <c r="A93" s="78" t="s">
        <v>34</v>
      </c>
      <c r="B93" s="79">
        <v>2</v>
      </c>
      <c r="C93" s="79">
        <v>5518</v>
      </c>
      <c r="D93" s="79">
        <f t="shared" si="7"/>
        <v>5520</v>
      </c>
      <c r="E93" s="78" t="s">
        <v>34</v>
      </c>
      <c r="F93" s="79">
        <v>10110</v>
      </c>
      <c r="G93" s="79">
        <v>2920</v>
      </c>
      <c r="H93" s="79">
        <f t="shared" si="8"/>
        <v>13030</v>
      </c>
    </row>
    <row r="94" spans="1:8" ht="15" customHeight="1" x14ac:dyDescent="0.3">
      <c r="A94" s="78" t="s">
        <v>35</v>
      </c>
      <c r="B94" s="79">
        <v>37</v>
      </c>
      <c r="C94" s="79">
        <v>0</v>
      </c>
      <c r="D94" s="79">
        <f t="shared" si="7"/>
        <v>37</v>
      </c>
      <c r="E94" s="78" t="s">
        <v>35</v>
      </c>
      <c r="F94" s="79">
        <v>10054</v>
      </c>
      <c r="G94" s="79">
        <v>2812</v>
      </c>
      <c r="H94" s="79">
        <f t="shared" si="8"/>
        <v>12866</v>
      </c>
    </row>
    <row r="95" spans="1:8" ht="15" customHeight="1" x14ac:dyDescent="0.3">
      <c r="A95" s="78" t="s">
        <v>36</v>
      </c>
      <c r="B95" s="79">
        <v>0</v>
      </c>
      <c r="C95" s="79">
        <v>0</v>
      </c>
      <c r="D95" s="79">
        <f t="shared" si="7"/>
        <v>0</v>
      </c>
      <c r="E95" s="78" t="s">
        <v>36</v>
      </c>
      <c r="F95" s="79">
        <v>10788</v>
      </c>
      <c r="G95" s="79">
        <v>2713</v>
      </c>
      <c r="H95" s="79">
        <f t="shared" si="8"/>
        <v>13501</v>
      </c>
    </row>
    <row r="96" spans="1:8" ht="15" customHeight="1" x14ac:dyDescent="0.3">
      <c r="A96" s="104">
        <v>2018</v>
      </c>
      <c r="B96" s="103">
        <f>SUM(B97:B108)</f>
        <v>1209</v>
      </c>
      <c r="C96" s="103">
        <f>SUM(C97:C108)</f>
        <v>159161</v>
      </c>
      <c r="D96" s="103">
        <f>SUM(D97:D108)</f>
        <v>160370</v>
      </c>
      <c r="E96" s="104">
        <v>2018</v>
      </c>
      <c r="F96" s="103">
        <f>SUM(F97:F108)</f>
        <v>102863</v>
      </c>
      <c r="G96" s="103">
        <f t="shared" ref="G96" si="9">SUM(G97:G108)</f>
        <v>36859</v>
      </c>
      <c r="H96" s="103">
        <f>SUM(H97:H108)</f>
        <v>139722</v>
      </c>
    </row>
    <row r="97" spans="1:8" ht="15" customHeight="1" x14ac:dyDescent="0.3">
      <c r="A97" s="78" t="s">
        <v>25</v>
      </c>
      <c r="B97" s="79">
        <v>0</v>
      </c>
      <c r="C97" s="79">
        <v>12426</v>
      </c>
      <c r="D97" s="79">
        <f>SUM(B97:C97)</f>
        <v>12426</v>
      </c>
      <c r="E97" s="78" t="s">
        <v>25</v>
      </c>
      <c r="F97" s="79">
        <v>5716</v>
      </c>
      <c r="G97" s="79">
        <v>3257</v>
      </c>
      <c r="H97" s="79">
        <f>SUM(F97:G97)</f>
        <v>8973</v>
      </c>
    </row>
    <row r="98" spans="1:8" ht="15" customHeight="1" x14ac:dyDescent="0.3">
      <c r="A98" s="78" t="s">
        <v>26</v>
      </c>
      <c r="B98" s="79">
        <v>0</v>
      </c>
      <c r="C98" s="79">
        <v>10372</v>
      </c>
      <c r="D98" s="79">
        <f t="shared" ref="D98:D108" si="10">SUM(B98:C98)</f>
        <v>10372</v>
      </c>
      <c r="E98" s="78" t="s">
        <v>26</v>
      </c>
      <c r="F98" s="79">
        <v>5595</v>
      </c>
      <c r="G98" s="79">
        <v>2874</v>
      </c>
      <c r="H98" s="79">
        <f t="shared" ref="H98:H108" si="11">SUM(F98:G98)</f>
        <v>8469</v>
      </c>
    </row>
    <row r="99" spans="1:8" ht="15" customHeight="1" x14ac:dyDescent="0.3">
      <c r="A99" s="78" t="s">
        <v>27</v>
      </c>
      <c r="B99" s="79">
        <v>24</v>
      </c>
      <c r="C99" s="79">
        <v>9230</v>
      </c>
      <c r="D99" s="79">
        <f t="shared" si="10"/>
        <v>9254</v>
      </c>
      <c r="E99" s="78" t="s">
        <v>27</v>
      </c>
      <c r="F99" s="79">
        <v>7021</v>
      </c>
      <c r="G99" s="79">
        <v>2724</v>
      </c>
      <c r="H99" s="79">
        <f t="shared" si="11"/>
        <v>9745</v>
      </c>
    </row>
    <row r="100" spans="1:8" ht="15" customHeight="1" x14ac:dyDescent="0.3">
      <c r="A100" s="78" t="s">
        <v>28</v>
      </c>
      <c r="B100" s="79">
        <v>165</v>
      </c>
      <c r="C100" s="79">
        <v>2768</v>
      </c>
      <c r="D100" s="79">
        <f t="shared" si="10"/>
        <v>2933</v>
      </c>
      <c r="E100" s="78" t="s">
        <v>28</v>
      </c>
      <c r="F100" s="79">
        <v>7198</v>
      </c>
      <c r="G100" s="79">
        <v>2668</v>
      </c>
      <c r="H100" s="79">
        <f t="shared" si="11"/>
        <v>9866</v>
      </c>
    </row>
    <row r="101" spans="1:8" ht="15" customHeight="1" x14ac:dyDescent="0.3">
      <c r="A101" s="78" t="s">
        <v>29</v>
      </c>
      <c r="B101" s="79">
        <v>0</v>
      </c>
      <c r="C101" s="79">
        <v>14663</v>
      </c>
      <c r="D101" s="79">
        <f t="shared" si="10"/>
        <v>14663</v>
      </c>
      <c r="E101" s="78" t="s">
        <v>29</v>
      </c>
      <c r="F101" s="79">
        <v>8427</v>
      </c>
      <c r="G101" s="79">
        <v>2793</v>
      </c>
      <c r="H101" s="79">
        <f t="shared" si="11"/>
        <v>11220</v>
      </c>
    </row>
    <row r="102" spans="1:8" ht="15" customHeight="1" x14ac:dyDescent="0.3">
      <c r="A102" s="78" t="s">
        <v>30</v>
      </c>
      <c r="B102" s="79">
        <v>235</v>
      </c>
      <c r="C102" s="79">
        <v>24847</v>
      </c>
      <c r="D102" s="79">
        <f t="shared" si="10"/>
        <v>25082</v>
      </c>
      <c r="E102" s="78" t="s">
        <v>30</v>
      </c>
      <c r="F102" s="79">
        <v>9399</v>
      </c>
      <c r="G102" s="79">
        <v>2881</v>
      </c>
      <c r="H102" s="79">
        <f t="shared" si="11"/>
        <v>12280</v>
      </c>
    </row>
    <row r="103" spans="1:8" ht="15" customHeight="1" x14ac:dyDescent="0.3">
      <c r="A103" s="78" t="s">
        <v>31</v>
      </c>
      <c r="B103" s="79">
        <v>301</v>
      </c>
      <c r="C103" s="79">
        <v>30290</v>
      </c>
      <c r="D103" s="79">
        <f t="shared" si="10"/>
        <v>30591</v>
      </c>
      <c r="E103" s="78" t="s">
        <v>31</v>
      </c>
      <c r="F103" s="79">
        <v>11345</v>
      </c>
      <c r="G103" s="79">
        <v>3758</v>
      </c>
      <c r="H103" s="79">
        <f t="shared" si="11"/>
        <v>15103</v>
      </c>
    </row>
    <row r="104" spans="1:8" ht="15" customHeight="1" x14ac:dyDescent="0.3">
      <c r="A104" s="78" t="s">
        <v>32</v>
      </c>
      <c r="B104" s="79">
        <v>484</v>
      </c>
      <c r="C104" s="79">
        <v>26879</v>
      </c>
      <c r="D104" s="79">
        <f t="shared" si="10"/>
        <v>27363</v>
      </c>
      <c r="E104" s="78" t="s">
        <v>32</v>
      </c>
      <c r="F104" s="79">
        <v>10600</v>
      </c>
      <c r="G104" s="79">
        <v>3364</v>
      </c>
      <c r="H104" s="79">
        <f t="shared" si="11"/>
        <v>13964</v>
      </c>
    </row>
    <row r="105" spans="1:8" ht="15" customHeight="1" x14ac:dyDescent="0.3">
      <c r="A105" s="78" t="s">
        <v>33</v>
      </c>
      <c r="B105" s="79">
        <v>0</v>
      </c>
      <c r="C105" s="79">
        <v>22220</v>
      </c>
      <c r="D105" s="79">
        <f t="shared" si="10"/>
        <v>22220</v>
      </c>
      <c r="E105" s="78" t="s">
        <v>33</v>
      </c>
      <c r="F105" s="79">
        <v>10303</v>
      </c>
      <c r="G105" s="79">
        <v>3307</v>
      </c>
      <c r="H105" s="79">
        <f t="shared" si="11"/>
        <v>13610</v>
      </c>
    </row>
    <row r="106" spans="1:8" ht="15" customHeight="1" x14ac:dyDescent="0.3">
      <c r="A106" s="78" t="s">
        <v>34</v>
      </c>
      <c r="B106" s="79">
        <v>0</v>
      </c>
      <c r="C106" s="79">
        <v>5432</v>
      </c>
      <c r="D106" s="79">
        <f t="shared" si="10"/>
        <v>5432</v>
      </c>
      <c r="E106" s="78" t="s">
        <v>34</v>
      </c>
      <c r="F106" s="79">
        <v>8810</v>
      </c>
      <c r="G106" s="79">
        <v>3186</v>
      </c>
      <c r="H106" s="79">
        <f t="shared" si="11"/>
        <v>11996</v>
      </c>
    </row>
    <row r="107" spans="1:8" ht="15" customHeight="1" x14ac:dyDescent="0.3">
      <c r="A107" s="78" t="s">
        <v>35</v>
      </c>
      <c r="B107" s="79">
        <v>0</v>
      </c>
      <c r="C107" s="79">
        <v>0</v>
      </c>
      <c r="D107" s="79">
        <f t="shared" si="10"/>
        <v>0</v>
      </c>
      <c r="E107" s="78" t="s">
        <v>35</v>
      </c>
      <c r="F107" s="79">
        <v>9038</v>
      </c>
      <c r="G107" s="79">
        <v>2991</v>
      </c>
      <c r="H107" s="79">
        <f t="shared" si="11"/>
        <v>12029</v>
      </c>
    </row>
    <row r="108" spans="1:8" ht="15" customHeight="1" x14ac:dyDescent="0.3">
      <c r="A108" s="78" t="s">
        <v>36</v>
      </c>
      <c r="B108" s="79">
        <v>0</v>
      </c>
      <c r="C108" s="79">
        <v>34</v>
      </c>
      <c r="D108" s="79">
        <f t="shared" si="10"/>
        <v>34</v>
      </c>
      <c r="E108" s="78" t="s">
        <v>36</v>
      </c>
      <c r="F108" s="79">
        <v>9411</v>
      </c>
      <c r="G108" s="79">
        <v>3056</v>
      </c>
      <c r="H108" s="79">
        <f t="shared" si="11"/>
        <v>12467</v>
      </c>
    </row>
    <row r="109" spans="1:8" ht="15" customHeight="1" x14ac:dyDescent="0.3">
      <c r="A109" s="104">
        <v>2017</v>
      </c>
      <c r="B109" s="103">
        <f>SUM(B110:B121)</f>
        <v>644</v>
      </c>
      <c r="C109" s="103">
        <f>SUM(C110:C121)</f>
        <v>129095</v>
      </c>
      <c r="D109" s="103">
        <f>SUM(D110:D121)</f>
        <v>129739</v>
      </c>
      <c r="E109" s="104">
        <v>2017</v>
      </c>
      <c r="F109" s="103">
        <f>SUM(F110:F121)</f>
        <v>83068</v>
      </c>
      <c r="G109" s="103">
        <f t="shared" ref="G109" si="12">SUM(G110:G121)</f>
        <v>37389</v>
      </c>
      <c r="H109" s="103">
        <f>SUM(H110:H121)</f>
        <v>120457</v>
      </c>
    </row>
    <row r="110" spans="1:8" s="57" customFormat="1" ht="15" customHeight="1" x14ac:dyDescent="0.3">
      <c r="A110" s="78" t="s">
        <v>25</v>
      </c>
      <c r="B110" s="79">
        <v>0</v>
      </c>
      <c r="C110" s="79">
        <v>161</v>
      </c>
      <c r="D110" s="79">
        <f>SUM(B110:C110)</f>
        <v>161</v>
      </c>
      <c r="E110" s="78" t="s">
        <v>25</v>
      </c>
      <c r="F110" s="79">
        <v>5461</v>
      </c>
      <c r="G110" s="79">
        <v>2205</v>
      </c>
      <c r="H110" s="79">
        <f>SUM(F110:G110)</f>
        <v>7666</v>
      </c>
    </row>
    <row r="111" spans="1:8" s="57" customFormat="1" ht="15" customHeight="1" x14ac:dyDescent="0.3">
      <c r="A111" s="78" t="s">
        <v>26</v>
      </c>
      <c r="B111" s="79">
        <v>2</v>
      </c>
      <c r="C111" s="79">
        <v>0</v>
      </c>
      <c r="D111" s="79">
        <f t="shared" ref="D111:D121" si="13">SUM(B111:C111)</f>
        <v>2</v>
      </c>
      <c r="E111" s="78" t="s">
        <v>26</v>
      </c>
      <c r="F111" s="79">
        <v>5845</v>
      </c>
      <c r="G111" s="79">
        <v>2562</v>
      </c>
      <c r="H111" s="79">
        <f t="shared" ref="H111:H121" si="14">SUM(F111:G111)</f>
        <v>8407</v>
      </c>
    </row>
    <row r="112" spans="1:8" s="57" customFormat="1" ht="15" customHeight="1" x14ac:dyDescent="0.3">
      <c r="A112" s="78" t="s">
        <v>27</v>
      </c>
      <c r="B112" s="79">
        <v>0</v>
      </c>
      <c r="C112" s="79">
        <v>0</v>
      </c>
      <c r="D112" s="79">
        <f t="shared" si="13"/>
        <v>0</v>
      </c>
      <c r="E112" s="78" t="s">
        <v>27</v>
      </c>
      <c r="F112" s="79">
        <v>6775</v>
      </c>
      <c r="G112" s="79">
        <v>2938</v>
      </c>
      <c r="H112" s="79">
        <f t="shared" si="14"/>
        <v>9713</v>
      </c>
    </row>
    <row r="113" spans="1:8" s="57" customFormat="1" ht="15" customHeight="1" x14ac:dyDescent="0.3">
      <c r="A113" s="78" t="s">
        <v>28</v>
      </c>
      <c r="B113" s="79">
        <v>0</v>
      </c>
      <c r="C113" s="79">
        <v>3264</v>
      </c>
      <c r="D113" s="79">
        <f t="shared" si="13"/>
        <v>3264</v>
      </c>
      <c r="E113" s="78" t="s">
        <v>28</v>
      </c>
      <c r="F113" s="79">
        <v>6774</v>
      </c>
      <c r="G113" s="79">
        <v>3020</v>
      </c>
      <c r="H113" s="79">
        <f t="shared" si="14"/>
        <v>9794</v>
      </c>
    </row>
    <row r="114" spans="1:8" s="57" customFormat="1" ht="15" customHeight="1" x14ac:dyDescent="0.3">
      <c r="A114" s="78" t="s">
        <v>29</v>
      </c>
      <c r="B114" s="79">
        <v>0</v>
      </c>
      <c r="C114" s="79">
        <v>12406</v>
      </c>
      <c r="D114" s="79">
        <f t="shared" si="13"/>
        <v>12406</v>
      </c>
      <c r="E114" s="78" t="s">
        <v>29</v>
      </c>
      <c r="F114" s="79">
        <v>6815</v>
      </c>
      <c r="G114" s="79">
        <v>3289</v>
      </c>
      <c r="H114" s="79">
        <f t="shared" si="14"/>
        <v>10104</v>
      </c>
    </row>
    <row r="115" spans="1:8" s="57" customFormat="1" ht="15" customHeight="1" x14ac:dyDescent="0.3">
      <c r="A115" s="78" t="s">
        <v>30</v>
      </c>
      <c r="B115" s="79">
        <v>36</v>
      </c>
      <c r="C115" s="79">
        <v>22351</v>
      </c>
      <c r="D115" s="79">
        <f t="shared" si="13"/>
        <v>22387</v>
      </c>
      <c r="E115" s="78" t="s">
        <v>30</v>
      </c>
      <c r="F115" s="79">
        <v>7482</v>
      </c>
      <c r="G115" s="79">
        <v>3438</v>
      </c>
      <c r="H115" s="79">
        <f t="shared" si="14"/>
        <v>10920</v>
      </c>
    </row>
    <row r="116" spans="1:8" s="57" customFormat="1" ht="15" customHeight="1" x14ac:dyDescent="0.3">
      <c r="A116" s="78" t="s">
        <v>31</v>
      </c>
      <c r="B116" s="79">
        <v>0</v>
      </c>
      <c r="C116" s="79">
        <v>28318</v>
      </c>
      <c r="D116" s="79">
        <f t="shared" si="13"/>
        <v>28318</v>
      </c>
      <c r="E116" s="78" t="s">
        <v>31</v>
      </c>
      <c r="F116" s="79">
        <v>8600</v>
      </c>
      <c r="G116" s="79">
        <v>3988</v>
      </c>
      <c r="H116" s="79">
        <f t="shared" si="14"/>
        <v>12588</v>
      </c>
    </row>
    <row r="117" spans="1:8" s="57" customFormat="1" ht="15" customHeight="1" x14ac:dyDescent="0.3">
      <c r="A117" s="78" t="s">
        <v>32</v>
      </c>
      <c r="B117" s="79">
        <v>463</v>
      </c>
      <c r="C117" s="79">
        <v>25722</v>
      </c>
      <c r="D117" s="79">
        <f t="shared" si="13"/>
        <v>26185</v>
      </c>
      <c r="E117" s="78" t="s">
        <v>32</v>
      </c>
      <c r="F117" s="79">
        <v>7849</v>
      </c>
      <c r="G117" s="79">
        <v>3348</v>
      </c>
      <c r="H117" s="79">
        <f t="shared" si="14"/>
        <v>11197</v>
      </c>
    </row>
    <row r="118" spans="1:8" s="57" customFormat="1" ht="15" customHeight="1" x14ac:dyDescent="0.3">
      <c r="A118" s="78" t="s">
        <v>33</v>
      </c>
      <c r="B118" s="79">
        <v>0</v>
      </c>
      <c r="C118" s="79">
        <v>19149</v>
      </c>
      <c r="D118" s="79">
        <f t="shared" si="13"/>
        <v>19149</v>
      </c>
      <c r="E118" s="78" t="s">
        <v>33</v>
      </c>
      <c r="F118" s="79">
        <v>7565</v>
      </c>
      <c r="G118" s="79">
        <v>3183</v>
      </c>
      <c r="H118" s="79">
        <f t="shared" si="14"/>
        <v>10748</v>
      </c>
    </row>
    <row r="119" spans="1:8" s="57" customFormat="1" ht="15" customHeight="1" x14ac:dyDescent="0.3">
      <c r="A119" s="78" t="s">
        <v>34</v>
      </c>
      <c r="B119" s="79">
        <v>0</v>
      </c>
      <c r="C119" s="79">
        <v>4509</v>
      </c>
      <c r="D119" s="79">
        <f t="shared" si="13"/>
        <v>4509</v>
      </c>
      <c r="E119" s="78" t="s">
        <v>34</v>
      </c>
      <c r="F119" s="79">
        <v>7083</v>
      </c>
      <c r="G119" s="79">
        <v>3385</v>
      </c>
      <c r="H119" s="79">
        <f t="shared" si="14"/>
        <v>10468</v>
      </c>
    </row>
    <row r="120" spans="1:8" s="57" customFormat="1" ht="15" customHeight="1" x14ac:dyDescent="0.3">
      <c r="A120" s="78" t="s">
        <v>35</v>
      </c>
      <c r="B120" s="79">
        <v>16</v>
      </c>
      <c r="C120" s="79">
        <v>410</v>
      </c>
      <c r="D120" s="79">
        <f t="shared" si="13"/>
        <v>426</v>
      </c>
      <c r="E120" s="78" t="s">
        <v>35</v>
      </c>
      <c r="F120" s="79">
        <v>6398</v>
      </c>
      <c r="G120" s="79">
        <v>3242</v>
      </c>
      <c r="H120" s="79">
        <f t="shared" si="14"/>
        <v>9640</v>
      </c>
    </row>
    <row r="121" spans="1:8" s="57" customFormat="1" ht="15" customHeight="1" x14ac:dyDescent="0.3">
      <c r="A121" s="78" t="s">
        <v>36</v>
      </c>
      <c r="B121" s="79">
        <v>127</v>
      </c>
      <c r="C121" s="79">
        <v>12805</v>
      </c>
      <c r="D121" s="79">
        <f t="shared" si="13"/>
        <v>12932</v>
      </c>
      <c r="E121" s="78" t="s">
        <v>36</v>
      </c>
      <c r="F121" s="79">
        <v>6421</v>
      </c>
      <c r="G121" s="79">
        <v>2791</v>
      </c>
      <c r="H121" s="79">
        <f t="shared" si="14"/>
        <v>9212</v>
      </c>
    </row>
    <row r="122" spans="1:8" ht="15" customHeight="1" x14ac:dyDescent="0.3">
      <c r="A122" s="104">
        <v>2016</v>
      </c>
      <c r="B122" s="103">
        <f>SUM(B123:B134)</f>
        <v>441</v>
      </c>
      <c r="C122" s="103">
        <f t="shared" ref="C122:D122" si="15">SUM(C123:C134)</f>
        <v>88068</v>
      </c>
      <c r="D122" s="103">
        <f t="shared" si="15"/>
        <v>88509</v>
      </c>
      <c r="E122" s="104">
        <v>2016</v>
      </c>
      <c r="F122" s="103">
        <f>SUM(F123:F134)</f>
        <v>79603</v>
      </c>
      <c r="G122" s="103">
        <f t="shared" ref="G122:H122" si="16">SUM(G123:G134)</f>
        <v>41231</v>
      </c>
      <c r="H122" s="103">
        <f t="shared" si="16"/>
        <v>120834</v>
      </c>
    </row>
    <row r="123" spans="1:8" s="57" customFormat="1" ht="15" customHeight="1" x14ac:dyDescent="0.3">
      <c r="A123" s="78" t="s">
        <v>25</v>
      </c>
      <c r="B123" s="79">
        <v>0</v>
      </c>
      <c r="C123" s="79">
        <v>149</v>
      </c>
      <c r="D123" s="79">
        <v>149</v>
      </c>
      <c r="E123" s="78" t="s">
        <v>25</v>
      </c>
      <c r="F123" s="79">
        <v>5617</v>
      </c>
      <c r="G123" s="79">
        <v>2679</v>
      </c>
      <c r="H123" s="79">
        <v>8296</v>
      </c>
    </row>
    <row r="124" spans="1:8" s="57" customFormat="1" ht="15" customHeight="1" x14ac:dyDescent="0.3">
      <c r="A124" s="78" t="s">
        <v>26</v>
      </c>
      <c r="B124" s="79">
        <v>0</v>
      </c>
      <c r="C124" s="79">
        <v>0</v>
      </c>
      <c r="D124" s="79">
        <v>0</v>
      </c>
      <c r="E124" s="78" t="s">
        <v>26</v>
      </c>
      <c r="F124" s="79">
        <v>5800</v>
      </c>
      <c r="G124" s="79">
        <v>3245</v>
      </c>
      <c r="H124" s="79">
        <v>9045</v>
      </c>
    </row>
    <row r="125" spans="1:8" s="57" customFormat="1" ht="15" customHeight="1" x14ac:dyDescent="0.3">
      <c r="A125" s="78" t="s">
        <v>27</v>
      </c>
      <c r="B125" s="79">
        <v>0</v>
      </c>
      <c r="C125" s="79">
        <v>3</v>
      </c>
      <c r="D125" s="79">
        <v>3</v>
      </c>
      <c r="E125" s="78" t="s">
        <v>27</v>
      </c>
      <c r="F125" s="79">
        <v>6488</v>
      </c>
      <c r="G125" s="79">
        <v>3293</v>
      </c>
      <c r="H125" s="79">
        <v>9781</v>
      </c>
    </row>
    <row r="126" spans="1:8" s="57" customFormat="1" ht="15" customHeight="1" x14ac:dyDescent="0.3">
      <c r="A126" s="78" t="s">
        <v>28</v>
      </c>
      <c r="B126" s="79">
        <v>0</v>
      </c>
      <c r="C126" s="79">
        <v>404</v>
      </c>
      <c r="D126" s="79">
        <v>404</v>
      </c>
      <c r="E126" s="78" t="s">
        <v>28</v>
      </c>
      <c r="F126" s="79">
        <v>6803</v>
      </c>
      <c r="G126" s="79">
        <v>3578</v>
      </c>
      <c r="H126" s="79">
        <v>10381</v>
      </c>
    </row>
    <row r="127" spans="1:8" s="57" customFormat="1" ht="15" customHeight="1" x14ac:dyDescent="0.3">
      <c r="A127" s="78" t="s">
        <v>29</v>
      </c>
      <c r="B127" s="79">
        <v>0</v>
      </c>
      <c r="C127" s="79">
        <v>10541</v>
      </c>
      <c r="D127" s="79">
        <v>10541</v>
      </c>
      <c r="E127" s="78" t="s">
        <v>29</v>
      </c>
      <c r="F127" s="79">
        <v>7254</v>
      </c>
      <c r="G127" s="79">
        <v>3621</v>
      </c>
      <c r="H127" s="79">
        <v>10875</v>
      </c>
    </row>
    <row r="128" spans="1:8" s="57" customFormat="1" ht="15" customHeight="1" x14ac:dyDescent="0.3">
      <c r="A128" s="78" t="s">
        <v>30</v>
      </c>
      <c r="B128" s="79">
        <v>0</v>
      </c>
      <c r="C128" s="79">
        <v>15977</v>
      </c>
      <c r="D128" s="79">
        <v>15977</v>
      </c>
      <c r="E128" s="78" t="s">
        <v>30</v>
      </c>
      <c r="F128" s="79">
        <v>7522</v>
      </c>
      <c r="G128" s="79">
        <v>3829</v>
      </c>
      <c r="H128" s="79">
        <v>11351</v>
      </c>
    </row>
    <row r="129" spans="1:8" s="57" customFormat="1" ht="15" customHeight="1" x14ac:dyDescent="0.3">
      <c r="A129" s="78" t="s">
        <v>31</v>
      </c>
      <c r="B129" s="79">
        <v>0</v>
      </c>
      <c r="C129" s="79">
        <v>22353</v>
      </c>
      <c r="D129" s="79">
        <v>22353</v>
      </c>
      <c r="E129" s="78" t="s">
        <v>31</v>
      </c>
      <c r="F129" s="79">
        <v>8632</v>
      </c>
      <c r="G129" s="79">
        <v>4590</v>
      </c>
      <c r="H129" s="79">
        <v>13222</v>
      </c>
    </row>
    <row r="130" spans="1:8" s="57" customFormat="1" ht="15" customHeight="1" x14ac:dyDescent="0.3">
      <c r="A130" s="78" t="s">
        <v>32</v>
      </c>
      <c r="B130" s="79">
        <v>441</v>
      </c>
      <c r="C130" s="79">
        <v>20391</v>
      </c>
      <c r="D130" s="79">
        <v>20832</v>
      </c>
      <c r="E130" s="78" t="s">
        <v>32</v>
      </c>
      <c r="F130" s="79">
        <v>7389</v>
      </c>
      <c r="G130" s="79">
        <v>3893</v>
      </c>
      <c r="H130" s="79">
        <v>11282</v>
      </c>
    </row>
    <row r="131" spans="1:8" s="57" customFormat="1" ht="15" customHeight="1" x14ac:dyDescent="0.3">
      <c r="A131" s="78" t="s">
        <v>33</v>
      </c>
      <c r="B131" s="79">
        <v>0</v>
      </c>
      <c r="C131" s="79">
        <v>14844</v>
      </c>
      <c r="D131" s="79">
        <v>14844</v>
      </c>
      <c r="E131" s="78" t="s">
        <v>33</v>
      </c>
      <c r="F131" s="79">
        <v>7331</v>
      </c>
      <c r="G131" s="79">
        <v>3638</v>
      </c>
      <c r="H131" s="79">
        <v>10969</v>
      </c>
    </row>
    <row r="132" spans="1:8" s="57" customFormat="1" ht="15" customHeight="1" x14ac:dyDescent="0.3">
      <c r="A132" s="78" t="s">
        <v>34</v>
      </c>
      <c r="B132" s="79">
        <v>0</v>
      </c>
      <c r="C132" s="79">
        <v>3402</v>
      </c>
      <c r="D132" s="79">
        <v>3402</v>
      </c>
      <c r="E132" s="78" t="s">
        <v>34</v>
      </c>
      <c r="F132" s="79">
        <v>6697</v>
      </c>
      <c r="G132" s="79">
        <v>3437</v>
      </c>
      <c r="H132" s="79">
        <v>10134</v>
      </c>
    </row>
    <row r="133" spans="1:8" s="57" customFormat="1" ht="15" customHeight="1" x14ac:dyDescent="0.3">
      <c r="A133" s="78" t="s">
        <v>35</v>
      </c>
      <c r="B133" s="79">
        <v>0</v>
      </c>
      <c r="C133" s="79">
        <v>0</v>
      </c>
      <c r="D133" s="79">
        <v>0</v>
      </c>
      <c r="E133" s="78" t="s">
        <v>35</v>
      </c>
      <c r="F133" s="79">
        <v>4130</v>
      </c>
      <c r="G133" s="79">
        <v>2775</v>
      </c>
      <c r="H133" s="79">
        <v>6905</v>
      </c>
    </row>
    <row r="134" spans="1:8" s="57" customFormat="1" ht="15" customHeight="1" x14ac:dyDescent="0.3">
      <c r="A134" s="78" t="s">
        <v>36</v>
      </c>
      <c r="B134" s="79">
        <v>0</v>
      </c>
      <c r="C134" s="79">
        <v>4</v>
      </c>
      <c r="D134" s="79">
        <v>4</v>
      </c>
      <c r="E134" s="78" t="s">
        <v>36</v>
      </c>
      <c r="F134" s="79">
        <v>5940</v>
      </c>
      <c r="G134" s="79">
        <v>2653</v>
      </c>
      <c r="H134" s="79">
        <v>8593</v>
      </c>
    </row>
    <row r="135" spans="1:8" ht="15" customHeight="1" x14ac:dyDescent="0.3">
      <c r="A135" s="88">
        <v>2015</v>
      </c>
      <c r="B135" s="103">
        <f>SUM(B136:B147)</f>
        <v>3136</v>
      </c>
      <c r="C135" s="103">
        <f>SUM(C136:C147)</f>
        <v>82857</v>
      </c>
      <c r="D135" s="103">
        <f>SUM(D136:D147)</f>
        <v>85993</v>
      </c>
      <c r="E135" s="88">
        <v>2015</v>
      </c>
      <c r="F135" s="103">
        <f>SUM(F136:F147)</f>
        <v>80925</v>
      </c>
      <c r="G135" s="103">
        <f>SUM(G136:G147)</f>
        <v>38435</v>
      </c>
      <c r="H135" s="103">
        <f>SUM(H136:H147)</f>
        <v>119360</v>
      </c>
    </row>
    <row r="136" spans="1:8" ht="15" customHeight="1" x14ac:dyDescent="0.3">
      <c r="A136" s="78" t="s">
        <v>25</v>
      </c>
      <c r="B136" s="79">
        <v>0</v>
      </c>
      <c r="C136" s="79">
        <v>77</v>
      </c>
      <c r="D136" s="79">
        <f>SUM(B136:C136)</f>
        <v>77</v>
      </c>
      <c r="E136" s="78" t="s">
        <v>25</v>
      </c>
      <c r="F136" s="79">
        <v>6131</v>
      </c>
      <c r="G136" s="79">
        <v>3019</v>
      </c>
      <c r="H136" s="79">
        <f>SUM(F136:G136)</f>
        <v>9150</v>
      </c>
    </row>
    <row r="137" spans="1:8" ht="15" customHeight="1" x14ac:dyDescent="0.3">
      <c r="A137" s="78" t="s">
        <v>26</v>
      </c>
      <c r="B137" s="79">
        <v>0</v>
      </c>
      <c r="C137" s="79">
        <v>1</v>
      </c>
      <c r="D137" s="79">
        <f t="shared" ref="D137:D147" si="17">SUM(B137:C137)</f>
        <v>1</v>
      </c>
      <c r="E137" s="78" t="s">
        <v>26</v>
      </c>
      <c r="F137" s="79">
        <v>5146</v>
      </c>
      <c r="G137" s="79">
        <v>2727</v>
      </c>
      <c r="H137" s="79">
        <f t="shared" ref="H137:H147" si="18">SUM(F137:G137)</f>
        <v>7873</v>
      </c>
    </row>
    <row r="138" spans="1:8" ht="15" customHeight="1" x14ac:dyDescent="0.3">
      <c r="A138" s="78" t="s">
        <v>27</v>
      </c>
      <c r="B138" s="79">
        <v>0</v>
      </c>
      <c r="C138" s="79">
        <v>0</v>
      </c>
      <c r="D138" s="79">
        <f t="shared" si="17"/>
        <v>0</v>
      </c>
      <c r="E138" s="78" t="s">
        <v>27</v>
      </c>
      <c r="F138" s="79">
        <v>6003</v>
      </c>
      <c r="G138" s="79">
        <v>2977</v>
      </c>
      <c r="H138" s="79">
        <f t="shared" si="18"/>
        <v>8980</v>
      </c>
    </row>
    <row r="139" spans="1:8" ht="15" customHeight="1" x14ac:dyDescent="0.3">
      <c r="A139" s="78" t="s">
        <v>28</v>
      </c>
      <c r="B139" s="79">
        <v>0</v>
      </c>
      <c r="C139" s="79">
        <v>1177</v>
      </c>
      <c r="D139" s="79">
        <f t="shared" si="17"/>
        <v>1177</v>
      </c>
      <c r="E139" s="78" t="s">
        <v>28</v>
      </c>
      <c r="F139" s="79">
        <v>7208</v>
      </c>
      <c r="G139" s="79">
        <v>3024</v>
      </c>
      <c r="H139" s="79">
        <f t="shared" si="18"/>
        <v>10232</v>
      </c>
    </row>
    <row r="140" spans="1:8" ht="15" customHeight="1" x14ac:dyDescent="0.3">
      <c r="A140" s="78" t="s">
        <v>29</v>
      </c>
      <c r="B140" s="79">
        <v>0</v>
      </c>
      <c r="C140" s="79">
        <v>9029</v>
      </c>
      <c r="D140" s="79">
        <f t="shared" si="17"/>
        <v>9029</v>
      </c>
      <c r="E140" s="78" t="s">
        <v>29</v>
      </c>
      <c r="F140" s="79">
        <v>7600</v>
      </c>
      <c r="G140" s="79">
        <v>3194</v>
      </c>
      <c r="H140" s="79">
        <f t="shared" si="18"/>
        <v>10794</v>
      </c>
    </row>
    <row r="141" spans="1:8" ht="15" customHeight="1" x14ac:dyDescent="0.3">
      <c r="A141" s="78" t="s">
        <v>30</v>
      </c>
      <c r="B141" s="79">
        <v>602</v>
      </c>
      <c r="C141" s="79">
        <v>16210</v>
      </c>
      <c r="D141" s="79">
        <f t="shared" si="17"/>
        <v>16812</v>
      </c>
      <c r="E141" s="78" t="s">
        <v>30</v>
      </c>
      <c r="F141" s="79">
        <v>7892</v>
      </c>
      <c r="G141" s="79">
        <v>3447</v>
      </c>
      <c r="H141" s="79">
        <f t="shared" si="18"/>
        <v>11339</v>
      </c>
    </row>
    <row r="142" spans="1:8" ht="15" customHeight="1" x14ac:dyDescent="0.3">
      <c r="A142" s="78" t="s">
        <v>31</v>
      </c>
      <c r="B142" s="79">
        <v>791</v>
      </c>
      <c r="C142" s="79">
        <v>20845</v>
      </c>
      <c r="D142" s="79">
        <f t="shared" si="17"/>
        <v>21636</v>
      </c>
      <c r="E142" s="78" t="s">
        <v>31</v>
      </c>
      <c r="F142" s="79">
        <v>8151</v>
      </c>
      <c r="G142" s="79">
        <v>3949</v>
      </c>
      <c r="H142" s="79">
        <f t="shared" si="18"/>
        <v>12100</v>
      </c>
    </row>
    <row r="143" spans="1:8" ht="15" customHeight="1" x14ac:dyDescent="0.3">
      <c r="A143" s="78" t="s">
        <v>32</v>
      </c>
      <c r="B143" s="79">
        <v>1126</v>
      </c>
      <c r="C143" s="79">
        <v>20719</v>
      </c>
      <c r="D143" s="79">
        <f t="shared" si="17"/>
        <v>21845</v>
      </c>
      <c r="E143" s="78" t="s">
        <v>32</v>
      </c>
      <c r="F143" s="79">
        <v>7554</v>
      </c>
      <c r="G143" s="79">
        <v>3665</v>
      </c>
      <c r="H143" s="79">
        <f t="shared" si="18"/>
        <v>11219</v>
      </c>
    </row>
    <row r="144" spans="1:8" ht="15" customHeight="1" x14ac:dyDescent="0.3">
      <c r="A144" s="78" t="s">
        <v>33</v>
      </c>
      <c r="B144" s="79">
        <v>617</v>
      </c>
      <c r="C144" s="79">
        <v>12720</v>
      </c>
      <c r="D144" s="79">
        <f t="shared" si="17"/>
        <v>13337</v>
      </c>
      <c r="E144" s="78" t="s">
        <v>33</v>
      </c>
      <c r="F144" s="79">
        <v>7078</v>
      </c>
      <c r="G144" s="79">
        <v>3395</v>
      </c>
      <c r="H144" s="79">
        <f t="shared" si="18"/>
        <v>10473</v>
      </c>
    </row>
    <row r="145" spans="1:8" ht="15" customHeight="1" x14ac:dyDescent="0.3">
      <c r="A145" s="78" t="s">
        <v>34</v>
      </c>
      <c r="B145" s="79">
        <v>0</v>
      </c>
      <c r="C145" s="79">
        <v>1964</v>
      </c>
      <c r="D145" s="79">
        <f t="shared" si="17"/>
        <v>1964</v>
      </c>
      <c r="E145" s="78" t="s">
        <v>34</v>
      </c>
      <c r="F145" s="79">
        <v>6464</v>
      </c>
      <c r="G145" s="79">
        <v>2973</v>
      </c>
      <c r="H145" s="79">
        <f t="shared" si="18"/>
        <v>9437</v>
      </c>
    </row>
    <row r="146" spans="1:8" ht="15" customHeight="1" x14ac:dyDescent="0.3">
      <c r="A146" s="78" t="s">
        <v>35</v>
      </c>
      <c r="B146" s="79">
        <v>0</v>
      </c>
      <c r="C146" s="79">
        <v>109</v>
      </c>
      <c r="D146" s="79">
        <f t="shared" si="17"/>
        <v>109</v>
      </c>
      <c r="E146" s="78" t="s">
        <v>35</v>
      </c>
      <c r="F146" s="79">
        <v>5768</v>
      </c>
      <c r="G146" s="79">
        <v>3032</v>
      </c>
      <c r="H146" s="79">
        <f t="shared" si="18"/>
        <v>8800</v>
      </c>
    </row>
    <row r="147" spans="1:8" ht="15" customHeight="1" x14ac:dyDescent="0.3">
      <c r="A147" s="78" t="s">
        <v>36</v>
      </c>
      <c r="B147" s="79">
        <v>0</v>
      </c>
      <c r="C147" s="79">
        <v>6</v>
      </c>
      <c r="D147" s="79">
        <f t="shared" si="17"/>
        <v>6</v>
      </c>
      <c r="E147" s="78" t="s">
        <v>36</v>
      </c>
      <c r="F147" s="79">
        <v>5930</v>
      </c>
      <c r="G147" s="79">
        <v>3033</v>
      </c>
      <c r="H147" s="79">
        <f t="shared" si="18"/>
        <v>8963</v>
      </c>
    </row>
    <row r="148" spans="1:8" ht="15" customHeight="1" x14ac:dyDescent="0.3">
      <c r="A148" s="88">
        <v>2014</v>
      </c>
      <c r="B148" s="103">
        <f>SUM(B149:B160)</f>
        <v>448</v>
      </c>
      <c r="C148" s="103">
        <f>SUM(C149:C160)</f>
        <v>75370</v>
      </c>
      <c r="D148" s="103">
        <f>SUM(D149:D160)</f>
        <v>75818</v>
      </c>
      <c r="E148" s="88">
        <v>2014</v>
      </c>
      <c r="F148" s="103">
        <f>SUM(F149:F160)</f>
        <v>78506</v>
      </c>
      <c r="G148" s="103">
        <f>SUM(G149:G160)</f>
        <v>36423</v>
      </c>
      <c r="H148" s="103">
        <f>SUM(H149:H160)</f>
        <v>114929</v>
      </c>
    </row>
    <row r="149" spans="1:8" ht="15" customHeight="1" x14ac:dyDescent="0.3">
      <c r="A149" s="78" t="s">
        <v>25</v>
      </c>
      <c r="B149" s="79">
        <v>0</v>
      </c>
      <c r="C149" s="79">
        <v>113</v>
      </c>
      <c r="D149" s="79">
        <f>SUM(B149:C149)</f>
        <v>113</v>
      </c>
      <c r="E149" s="78" t="s">
        <v>25</v>
      </c>
      <c r="F149" s="79">
        <v>5532</v>
      </c>
      <c r="G149" s="79">
        <v>2713</v>
      </c>
      <c r="H149" s="79">
        <f>SUM(F149:G149)</f>
        <v>8245</v>
      </c>
    </row>
    <row r="150" spans="1:8" ht="15" customHeight="1" x14ac:dyDescent="0.3">
      <c r="A150" s="78" t="s">
        <v>26</v>
      </c>
      <c r="B150" s="79">
        <v>0</v>
      </c>
      <c r="C150" s="79">
        <v>292</v>
      </c>
      <c r="D150" s="79">
        <f t="shared" ref="D150:D160" si="19">SUM(B150:C150)</f>
        <v>292</v>
      </c>
      <c r="E150" s="78" t="s">
        <v>26</v>
      </c>
      <c r="F150" s="79">
        <v>5570</v>
      </c>
      <c r="G150" s="79">
        <v>2607</v>
      </c>
      <c r="H150" s="79">
        <f t="shared" ref="H150:H160" si="20">SUM(F150:G150)</f>
        <v>8177</v>
      </c>
    </row>
    <row r="151" spans="1:8" ht="15" customHeight="1" x14ac:dyDescent="0.3">
      <c r="A151" s="78" t="s">
        <v>27</v>
      </c>
      <c r="B151" s="79">
        <v>0</v>
      </c>
      <c r="C151" s="79">
        <v>0</v>
      </c>
      <c r="D151" s="79">
        <f t="shared" si="19"/>
        <v>0</v>
      </c>
      <c r="E151" s="78" t="s">
        <v>27</v>
      </c>
      <c r="F151" s="79">
        <v>6019</v>
      </c>
      <c r="G151" s="79">
        <v>2651</v>
      </c>
      <c r="H151" s="79">
        <f t="shared" si="20"/>
        <v>8670</v>
      </c>
    </row>
    <row r="152" spans="1:8" ht="15" customHeight="1" x14ac:dyDescent="0.3">
      <c r="A152" s="78" t="s">
        <v>28</v>
      </c>
      <c r="B152" s="79">
        <v>0</v>
      </c>
      <c r="C152" s="79">
        <v>1366</v>
      </c>
      <c r="D152" s="79">
        <f t="shared" si="19"/>
        <v>1366</v>
      </c>
      <c r="E152" s="78" t="s">
        <v>28</v>
      </c>
      <c r="F152" s="79">
        <v>7288</v>
      </c>
      <c r="G152" s="79">
        <v>3052</v>
      </c>
      <c r="H152" s="79">
        <f t="shared" si="20"/>
        <v>10340</v>
      </c>
    </row>
    <row r="153" spans="1:8" ht="15" customHeight="1" x14ac:dyDescent="0.3">
      <c r="A153" s="78" t="s">
        <v>29</v>
      </c>
      <c r="B153" s="79">
        <v>0</v>
      </c>
      <c r="C153" s="79">
        <v>8447</v>
      </c>
      <c r="D153" s="79">
        <f t="shared" si="19"/>
        <v>8447</v>
      </c>
      <c r="E153" s="78" t="s">
        <v>29</v>
      </c>
      <c r="F153" s="79">
        <v>7111</v>
      </c>
      <c r="G153" s="79">
        <v>3080</v>
      </c>
      <c r="H153" s="79">
        <f t="shared" si="20"/>
        <v>10191</v>
      </c>
    </row>
    <row r="154" spans="1:8" ht="15" customHeight="1" x14ac:dyDescent="0.3">
      <c r="A154" s="78" t="s">
        <v>30</v>
      </c>
      <c r="B154" s="79">
        <v>0</v>
      </c>
      <c r="C154" s="79">
        <v>14926</v>
      </c>
      <c r="D154" s="79">
        <f t="shared" si="19"/>
        <v>14926</v>
      </c>
      <c r="E154" s="78" t="s">
        <v>30</v>
      </c>
      <c r="F154" s="79">
        <v>7134</v>
      </c>
      <c r="G154" s="79">
        <v>3320</v>
      </c>
      <c r="H154" s="79">
        <f t="shared" si="20"/>
        <v>10454</v>
      </c>
    </row>
    <row r="155" spans="1:8" ht="15" customHeight="1" x14ac:dyDescent="0.3">
      <c r="A155" s="78" t="s">
        <v>31</v>
      </c>
      <c r="B155" s="79">
        <v>0</v>
      </c>
      <c r="C155" s="79">
        <v>18603</v>
      </c>
      <c r="D155" s="79">
        <f t="shared" si="19"/>
        <v>18603</v>
      </c>
      <c r="E155" s="78" t="s">
        <v>31</v>
      </c>
      <c r="F155" s="79">
        <v>7579</v>
      </c>
      <c r="G155" s="79">
        <v>3796</v>
      </c>
      <c r="H155" s="79">
        <f t="shared" si="20"/>
        <v>11375</v>
      </c>
    </row>
    <row r="156" spans="1:8" ht="15" customHeight="1" x14ac:dyDescent="0.3">
      <c r="A156" s="78" t="s">
        <v>32</v>
      </c>
      <c r="B156" s="79">
        <v>438</v>
      </c>
      <c r="C156" s="79">
        <v>17605</v>
      </c>
      <c r="D156" s="79">
        <f t="shared" si="19"/>
        <v>18043</v>
      </c>
      <c r="E156" s="78" t="s">
        <v>32</v>
      </c>
      <c r="F156" s="79">
        <v>7002</v>
      </c>
      <c r="G156" s="79">
        <v>2987</v>
      </c>
      <c r="H156" s="79">
        <f t="shared" si="20"/>
        <v>9989</v>
      </c>
    </row>
    <row r="157" spans="1:8" ht="15" customHeight="1" x14ac:dyDescent="0.3">
      <c r="A157" s="78" t="s">
        <v>33</v>
      </c>
      <c r="B157" s="79">
        <v>10</v>
      </c>
      <c r="C157" s="79">
        <v>11534</v>
      </c>
      <c r="D157" s="79">
        <f t="shared" si="19"/>
        <v>11544</v>
      </c>
      <c r="E157" s="78" t="s">
        <v>33</v>
      </c>
      <c r="F157" s="79">
        <v>6746</v>
      </c>
      <c r="G157" s="79">
        <v>2833</v>
      </c>
      <c r="H157" s="79">
        <f t="shared" si="20"/>
        <v>9579</v>
      </c>
    </row>
    <row r="158" spans="1:8" ht="15" customHeight="1" x14ac:dyDescent="0.3">
      <c r="A158" s="78" t="s">
        <v>34</v>
      </c>
      <c r="B158" s="79">
        <v>0</v>
      </c>
      <c r="C158" s="79">
        <v>2116</v>
      </c>
      <c r="D158" s="79">
        <f t="shared" si="19"/>
        <v>2116</v>
      </c>
      <c r="E158" s="78" t="s">
        <v>34</v>
      </c>
      <c r="F158" s="79">
        <v>6784</v>
      </c>
      <c r="G158" s="79">
        <v>2975</v>
      </c>
      <c r="H158" s="79">
        <f t="shared" si="20"/>
        <v>9759</v>
      </c>
    </row>
    <row r="159" spans="1:8" ht="15" customHeight="1" x14ac:dyDescent="0.3">
      <c r="A159" s="78" t="s">
        <v>35</v>
      </c>
      <c r="B159" s="79">
        <v>0</v>
      </c>
      <c r="C159" s="79">
        <v>90</v>
      </c>
      <c r="D159" s="79">
        <f t="shared" si="19"/>
        <v>90</v>
      </c>
      <c r="E159" s="78" t="s">
        <v>35</v>
      </c>
      <c r="F159" s="79">
        <v>5340</v>
      </c>
      <c r="G159" s="79">
        <v>2754</v>
      </c>
      <c r="H159" s="79">
        <f t="shared" si="20"/>
        <v>8094</v>
      </c>
    </row>
    <row r="160" spans="1:8" ht="15" customHeight="1" x14ac:dyDescent="0.3">
      <c r="A160" s="78" t="s">
        <v>36</v>
      </c>
      <c r="B160" s="79">
        <v>0</v>
      </c>
      <c r="C160" s="79">
        <v>278</v>
      </c>
      <c r="D160" s="79">
        <f t="shared" si="19"/>
        <v>278</v>
      </c>
      <c r="E160" s="78" t="s">
        <v>36</v>
      </c>
      <c r="F160" s="79">
        <v>6401</v>
      </c>
      <c r="G160" s="79">
        <v>3655</v>
      </c>
      <c r="H160" s="79">
        <f t="shared" si="20"/>
        <v>10056</v>
      </c>
    </row>
    <row r="161" spans="1:8" ht="15" customHeight="1" x14ac:dyDescent="0.3">
      <c r="A161" s="88">
        <v>2013</v>
      </c>
      <c r="B161" s="103">
        <f>SUM(B162:B173)</f>
        <v>3302</v>
      </c>
      <c r="C161" s="103">
        <f>SUM(C162:C173)</f>
        <v>72512</v>
      </c>
      <c r="D161" s="103">
        <f>SUM(D162:D173)</f>
        <v>75814</v>
      </c>
      <c r="E161" s="88">
        <v>2013</v>
      </c>
      <c r="F161" s="103">
        <f>SUM(F162:F173)</f>
        <v>80442</v>
      </c>
      <c r="G161" s="103">
        <f>SUM(G162:G173)</f>
        <v>31542</v>
      </c>
      <c r="H161" s="103">
        <f>SUM(H162:H173)</f>
        <v>111984</v>
      </c>
    </row>
    <row r="162" spans="1:8" ht="15" customHeight="1" x14ac:dyDescent="0.3">
      <c r="A162" s="78" t="s">
        <v>25</v>
      </c>
      <c r="B162" s="79">
        <v>0</v>
      </c>
      <c r="C162" s="79">
        <v>0</v>
      </c>
      <c r="D162" s="79">
        <v>0</v>
      </c>
      <c r="E162" s="78" t="s">
        <v>25</v>
      </c>
      <c r="F162" s="79">
        <v>6346</v>
      </c>
      <c r="G162" s="79">
        <v>2214</v>
      </c>
      <c r="H162" s="79">
        <f>SUM(F162:G162)</f>
        <v>8560</v>
      </c>
    </row>
    <row r="163" spans="1:8" ht="15" customHeight="1" x14ac:dyDescent="0.3">
      <c r="A163" s="78" t="s">
        <v>26</v>
      </c>
      <c r="B163" s="79">
        <v>0</v>
      </c>
      <c r="C163" s="79">
        <v>0</v>
      </c>
      <c r="D163" s="79">
        <v>0</v>
      </c>
      <c r="E163" s="78" t="s">
        <v>26</v>
      </c>
      <c r="F163" s="79">
        <v>5924</v>
      </c>
      <c r="G163" s="79">
        <v>2396</v>
      </c>
      <c r="H163" s="79">
        <f t="shared" ref="H163:H173" si="21">SUM(F163:G163)</f>
        <v>8320</v>
      </c>
    </row>
    <row r="164" spans="1:8" ht="15" customHeight="1" x14ac:dyDescent="0.3">
      <c r="A164" s="78" t="s">
        <v>27</v>
      </c>
      <c r="B164" s="79">
        <v>0</v>
      </c>
      <c r="C164" s="79">
        <v>592</v>
      </c>
      <c r="D164" s="79">
        <v>592</v>
      </c>
      <c r="E164" s="78" t="s">
        <v>27</v>
      </c>
      <c r="F164" s="79">
        <v>7575</v>
      </c>
      <c r="G164" s="79">
        <v>2472</v>
      </c>
      <c r="H164" s="79">
        <f t="shared" si="21"/>
        <v>10047</v>
      </c>
    </row>
    <row r="165" spans="1:8" ht="15" customHeight="1" x14ac:dyDescent="0.3">
      <c r="A165" s="78" t="s">
        <v>28</v>
      </c>
      <c r="B165" s="79">
        <v>0</v>
      </c>
      <c r="C165" s="79">
        <v>1188</v>
      </c>
      <c r="D165" s="79">
        <v>1188</v>
      </c>
      <c r="E165" s="78" t="s">
        <v>28</v>
      </c>
      <c r="F165" s="79">
        <v>6847</v>
      </c>
      <c r="G165" s="79">
        <v>2438</v>
      </c>
      <c r="H165" s="79">
        <f t="shared" si="21"/>
        <v>9285</v>
      </c>
    </row>
    <row r="166" spans="1:8" ht="15" customHeight="1" x14ac:dyDescent="0.3">
      <c r="A166" s="78" t="s">
        <v>29</v>
      </c>
      <c r="B166" s="79">
        <v>0</v>
      </c>
      <c r="C166" s="79">
        <v>8268</v>
      </c>
      <c r="D166" s="79">
        <v>8268</v>
      </c>
      <c r="E166" s="78" t="s">
        <v>29</v>
      </c>
      <c r="F166" s="79">
        <v>7739</v>
      </c>
      <c r="G166" s="79">
        <v>2435</v>
      </c>
      <c r="H166" s="79">
        <f t="shared" si="21"/>
        <v>10174</v>
      </c>
    </row>
    <row r="167" spans="1:8" ht="15" customHeight="1" x14ac:dyDescent="0.3">
      <c r="A167" s="78" t="s">
        <v>30</v>
      </c>
      <c r="B167" s="79">
        <v>546</v>
      </c>
      <c r="C167" s="79">
        <v>13921</v>
      </c>
      <c r="D167" s="79">
        <v>14467</v>
      </c>
      <c r="E167" s="78" t="s">
        <v>30</v>
      </c>
      <c r="F167" s="79">
        <v>7287</v>
      </c>
      <c r="G167" s="79">
        <v>2721</v>
      </c>
      <c r="H167" s="79">
        <f t="shared" si="21"/>
        <v>10008</v>
      </c>
    </row>
    <row r="168" spans="1:8" ht="15" customHeight="1" x14ac:dyDescent="0.3">
      <c r="A168" s="78" t="s">
        <v>31</v>
      </c>
      <c r="B168" s="79">
        <v>621</v>
      </c>
      <c r="C168" s="79">
        <v>17245</v>
      </c>
      <c r="D168" s="79">
        <v>17866</v>
      </c>
      <c r="E168" s="78" t="s">
        <v>31</v>
      </c>
      <c r="F168" s="79">
        <v>7564</v>
      </c>
      <c r="G168" s="79">
        <v>3332</v>
      </c>
      <c r="H168" s="79">
        <f t="shared" si="21"/>
        <v>10896</v>
      </c>
    </row>
    <row r="169" spans="1:8" ht="15" customHeight="1" x14ac:dyDescent="0.3">
      <c r="A169" s="78" t="s">
        <v>32</v>
      </c>
      <c r="B169" s="79">
        <v>1585</v>
      </c>
      <c r="C169" s="79">
        <v>16435</v>
      </c>
      <c r="D169" s="79">
        <v>18020</v>
      </c>
      <c r="E169" s="78" t="s">
        <v>32</v>
      </c>
      <c r="F169" s="79">
        <v>6618</v>
      </c>
      <c r="G169" s="79">
        <v>2735</v>
      </c>
      <c r="H169" s="79">
        <f t="shared" si="21"/>
        <v>9353</v>
      </c>
    </row>
    <row r="170" spans="1:8" ht="15" customHeight="1" x14ac:dyDescent="0.3">
      <c r="A170" s="78" t="s">
        <v>33</v>
      </c>
      <c r="B170" s="79">
        <v>550</v>
      </c>
      <c r="C170" s="79">
        <v>11760</v>
      </c>
      <c r="D170" s="79">
        <v>12310</v>
      </c>
      <c r="E170" s="78" t="s">
        <v>33</v>
      </c>
      <c r="F170" s="79">
        <v>6419</v>
      </c>
      <c r="G170" s="79">
        <v>2598</v>
      </c>
      <c r="H170" s="79">
        <f t="shared" si="21"/>
        <v>9017</v>
      </c>
    </row>
    <row r="171" spans="1:8" ht="15" customHeight="1" x14ac:dyDescent="0.3">
      <c r="A171" s="78" t="s">
        <v>34</v>
      </c>
      <c r="B171" s="79">
        <v>0</v>
      </c>
      <c r="C171" s="79">
        <v>2749</v>
      </c>
      <c r="D171" s="79">
        <v>2749</v>
      </c>
      <c r="E171" s="78" t="s">
        <v>34</v>
      </c>
      <c r="F171" s="79">
        <v>6203</v>
      </c>
      <c r="G171" s="79">
        <v>2910</v>
      </c>
      <c r="H171" s="79">
        <f t="shared" si="21"/>
        <v>9113</v>
      </c>
    </row>
    <row r="172" spans="1:8" ht="15" customHeight="1" x14ac:dyDescent="0.3">
      <c r="A172" s="78" t="s">
        <v>35</v>
      </c>
      <c r="B172" s="79">
        <v>0</v>
      </c>
      <c r="C172" s="79">
        <v>178</v>
      </c>
      <c r="D172" s="79">
        <v>178</v>
      </c>
      <c r="E172" s="78" t="s">
        <v>35</v>
      </c>
      <c r="F172" s="79">
        <v>5724</v>
      </c>
      <c r="G172" s="79">
        <v>2409</v>
      </c>
      <c r="H172" s="79">
        <f t="shared" si="21"/>
        <v>8133</v>
      </c>
    </row>
    <row r="173" spans="1:8" ht="15" customHeight="1" x14ac:dyDescent="0.3">
      <c r="A173" s="78" t="s">
        <v>36</v>
      </c>
      <c r="B173" s="79">
        <v>0</v>
      </c>
      <c r="C173" s="79">
        <v>176</v>
      </c>
      <c r="D173" s="79">
        <v>176</v>
      </c>
      <c r="E173" s="78" t="s">
        <v>36</v>
      </c>
      <c r="F173" s="79">
        <v>6196</v>
      </c>
      <c r="G173" s="79">
        <v>2882</v>
      </c>
      <c r="H173" s="79">
        <f t="shared" si="21"/>
        <v>9078</v>
      </c>
    </row>
    <row r="174" spans="1:8" ht="15" customHeight="1" x14ac:dyDescent="0.3">
      <c r="A174" s="88">
        <v>2012</v>
      </c>
      <c r="B174" s="103">
        <f>SUM(B175:B186)</f>
        <v>679</v>
      </c>
      <c r="C174" s="103">
        <f t="shared" ref="C174:D174" si="22">SUM(C175:C186)</f>
        <v>67933</v>
      </c>
      <c r="D174" s="103">
        <f t="shared" si="22"/>
        <v>68612</v>
      </c>
      <c r="E174" s="88">
        <v>2012</v>
      </c>
      <c r="F174" s="103">
        <f>SUM(F175:F186)</f>
        <v>104197</v>
      </c>
      <c r="G174" s="103">
        <f>SUM(G175:G186)</f>
        <v>33792</v>
      </c>
      <c r="H174" s="103">
        <f>SUM(H175:H186)</f>
        <v>137989</v>
      </c>
    </row>
    <row r="175" spans="1:8" ht="15" customHeight="1" x14ac:dyDescent="0.3">
      <c r="A175" s="78" t="s">
        <v>25</v>
      </c>
      <c r="B175" s="79">
        <v>0</v>
      </c>
      <c r="C175" s="79">
        <v>0</v>
      </c>
      <c r="D175" s="79">
        <v>0</v>
      </c>
      <c r="E175" s="78" t="s">
        <v>25</v>
      </c>
      <c r="F175" s="79">
        <v>8821</v>
      </c>
      <c r="G175" s="79">
        <v>2810</v>
      </c>
      <c r="H175" s="79">
        <f>SUM(F175:G175)</f>
        <v>11631</v>
      </c>
    </row>
    <row r="176" spans="1:8" ht="15" customHeight="1" x14ac:dyDescent="0.3">
      <c r="A176" s="78" t="s">
        <v>26</v>
      </c>
      <c r="B176" s="79">
        <v>3</v>
      </c>
      <c r="C176" s="79">
        <v>0</v>
      </c>
      <c r="D176" s="79">
        <v>3</v>
      </c>
      <c r="E176" s="78" t="s">
        <v>26</v>
      </c>
      <c r="F176" s="79">
        <v>8463</v>
      </c>
      <c r="G176" s="79">
        <v>2521</v>
      </c>
      <c r="H176" s="79">
        <f t="shared" ref="H176:H186" si="23">SUM(F176:G176)</f>
        <v>10984</v>
      </c>
    </row>
    <row r="177" spans="1:8" ht="15" customHeight="1" x14ac:dyDescent="0.3">
      <c r="A177" s="78" t="s">
        <v>27</v>
      </c>
      <c r="B177" s="79">
        <v>0</v>
      </c>
      <c r="C177" s="79">
        <v>145</v>
      </c>
      <c r="D177" s="79">
        <v>145</v>
      </c>
      <c r="E177" s="78" t="s">
        <v>27</v>
      </c>
      <c r="F177" s="79">
        <v>9692</v>
      </c>
      <c r="G177" s="79">
        <v>3053</v>
      </c>
      <c r="H177" s="79">
        <f t="shared" si="23"/>
        <v>12745</v>
      </c>
    </row>
    <row r="178" spans="1:8" ht="15" customHeight="1" x14ac:dyDescent="0.3">
      <c r="A178" s="78" t="s">
        <v>28</v>
      </c>
      <c r="B178" s="79">
        <v>0</v>
      </c>
      <c r="C178" s="79">
        <v>1719</v>
      </c>
      <c r="D178" s="79">
        <v>1719</v>
      </c>
      <c r="E178" s="78" t="s">
        <v>28</v>
      </c>
      <c r="F178" s="79">
        <v>10840</v>
      </c>
      <c r="G178" s="79">
        <v>3083</v>
      </c>
      <c r="H178" s="79">
        <f t="shared" si="23"/>
        <v>13923</v>
      </c>
    </row>
    <row r="179" spans="1:8" ht="15" customHeight="1" x14ac:dyDescent="0.3">
      <c r="A179" s="78" t="s">
        <v>29</v>
      </c>
      <c r="B179" s="79">
        <v>0</v>
      </c>
      <c r="C179" s="79">
        <v>8165</v>
      </c>
      <c r="D179" s="79">
        <v>8165</v>
      </c>
      <c r="E179" s="78" t="s">
        <v>29</v>
      </c>
      <c r="F179" s="79">
        <v>8733</v>
      </c>
      <c r="G179" s="79">
        <v>2667</v>
      </c>
      <c r="H179" s="79">
        <f t="shared" si="23"/>
        <v>11400</v>
      </c>
    </row>
    <row r="180" spans="1:8" ht="15" customHeight="1" x14ac:dyDescent="0.3">
      <c r="A180" s="78" t="s">
        <v>30</v>
      </c>
      <c r="B180" s="79">
        <v>0</v>
      </c>
      <c r="C180" s="79">
        <v>12024</v>
      </c>
      <c r="D180" s="79">
        <v>12024</v>
      </c>
      <c r="E180" s="78" t="s">
        <v>30</v>
      </c>
      <c r="F180" s="79">
        <v>8700</v>
      </c>
      <c r="G180" s="79">
        <v>2774</v>
      </c>
      <c r="H180" s="79">
        <f t="shared" si="23"/>
        <v>11474</v>
      </c>
    </row>
    <row r="181" spans="1:8" ht="15" customHeight="1" x14ac:dyDescent="0.3">
      <c r="A181" s="78" t="s">
        <v>31</v>
      </c>
      <c r="B181" s="79">
        <v>0</v>
      </c>
      <c r="C181" s="79">
        <v>18127</v>
      </c>
      <c r="D181" s="79">
        <v>18127</v>
      </c>
      <c r="E181" s="78" t="s">
        <v>31</v>
      </c>
      <c r="F181" s="79">
        <v>10363</v>
      </c>
      <c r="G181" s="79">
        <v>3166</v>
      </c>
      <c r="H181" s="79">
        <f t="shared" si="23"/>
        <v>13529</v>
      </c>
    </row>
    <row r="182" spans="1:8" ht="15" customHeight="1" x14ac:dyDescent="0.3">
      <c r="A182" s="78" t="s">
        <v>32</v>
      </c>
      <c r="B182" s="79">
        <v>669</v>
      </c>
      <c r="C182" s="79">
        <v>15720</v>
      </c>
      <c r="D182" s="79">
        <v>16389</v>
      </c>
      <c r="E182" s="78" t="s">
        <v>32</v>
      </c>
      <c r="F182" s="79">
        <v>8388</v>
      </c>
      <c r="G182" s="79">
        <v>2899</v>
      </c>
      <c r="H182" s="79">
        <f t="shared" si="23"/>
        <v>11287</v>
      </c>
    </row>
    <row r="183" spans="1:8" ht="15" customHeight="1" x14ac:dyDescent="0.3">
      <c r="A183" s="78" t="s">
        <v>33</v>
      </c>
      <c r="B183" s="79">
        <v>3</v>
      </c>
      <c r="C183" s="79">
        <v>9843</v>
      </c>
      <c r="D183" s="79">
        <v>9846</v>
      </c>
      <c r="E183" s="78" t="s">
        <v>33</v>
      </c>
      <c r="F183" s="79">
        <v>8474</v>
      </c>
      <c r="G183" s="79">
        <v>3056</v>
      </c>
      <c r="H183" s="79">
        <f t="shared" si="23"/>
        <v>11530</v>
      </c>
    </row>
    <row r="184" spans="1:8" ht="15" customHeight="1" x14ac:dyDescent="0.3">
      <c r="A184" s="78" t="s">
        <v>34</v>
      </c>
      <c r="B184" s="79">
        <v>4</v>
      </c>
      <c r="C184" s="79">
        <v>1952</v>
      </c>
      <c r="D184" s="79">
        <v>1956</v>
      </c>
      <c r="E184" s="78" t="s">
        <v>34</v>
      </c>
      <c r="F184" s="79">
        <v>7842</v>
      </c>
      <c r="G184" s="79">
        <v>2910</v>
      </c>
      <c r="H184" s="79">
        <f t="shared" si="23"/>
        <v>10752</v>
      </c>
    </row>
    <row r="185" spans="1:8" ht="15" customHeight="1" x14ac:dyDescent="0.3">
      <c r="A185" s="78" t="s">
        <v>35</v>
      </c>
      <c r="B185" s="79">
        <v>0</v>
      </c>
      <c r="C185" s="79">
        <v>95</v>
      </c>
      <c r="D185" s="79">
        <v>95</v>
      </c>
      <c r="E185" s="78" t="s">
        <v>35</v>
      </c>
      <c r="F185" s="79">
        <v>7020</v>
      </c>
      <c r="G185" s="79">
        <v>2548</v>
      </c>
      <c r="H185" s="79">
        <f t="shared" si="23"/>
        <v>9568</v>
      </c>
    </row>
    <row r="186" spans="1:8" ht="15" customHeight="1" x14ac:dyDescent="0.3">
      <c r="A186" s="78" t="s">
        <v>36</v>
      </c>
      <c r="B186" s="79">
        <v>0</v>
      </c>
      <c r="C186" s="79">
        <v>143</v>
      </c>
      <c r="D186" s="79">
        <v>143</v>
      </c>
      <c r="E186" s="78" t="s">
        <v>36</v>
      </c>
      <c r="F186" s="79">
        <v>6861</v>
      </c>
      <c r="G186" s="79">
        <v>2305</v>
      </c>
      <c r="H186" s="79">
        <f t="shared" si="23"/>
        <v>9166</v>
      </c>
    </row>
    <row r="187" spans="1:8" ht="15" customHeight="1" x14ac:dyDescent="0.3">
      <c r="A187" s="88">
        <v>2011</v>
      </c>
      <c r="B187" s="103">
        <f>SUM(B188:B199)</f>
        <v>1173</v>
      </c>
      <c r="C187" s="103">
        <f t="shared" ref="C187:D187" si="24">SUM(C188:C199)</f>
        <v>79651</v>
      </c>
      <c r="D187" s="103">
        <f t="shared" si="24"/>
        <v>80824</v>
      </c>
      <c r="E187" s="88">
        <v>2011</v>
      </c>
      <c r="F187" s="103">
        <f>SUM(F188:F199)</f>
        <v>116642</v>
      </c>
      <c r="G187" s="103">
        <f>SUM(G188:G199)</f>
        <v>45742</v>
      </c>
      <c r="H187" s="103">
        <f>SUM(H188:H199)</f>
        <v>162384</v>
      </c>
    </row>
    <row r="188" spans="1:8" ht="15" customHeight="1" x14ac:dyDescent="0.3">
      <c r="A188" s="78" t="s">
        <v>25</v>
      </c>
      <c r="B188" s="79">
        <v>0</v>
      </c>
      <c r="C188" s="79">
        <v>0</v>
      </c>
      <c r="D188" s="79">
        <v>0</v>
      </c>
      <c r="E188" s="78" t="s">
        <v>25</v>
      </c>
      <c r="F188" s="79">
        <v>9604</v>
      </c>
      <c r="G188" s="79">
        <v>4170</v>
      </c>
      <c r="H188" s="79">
        <f>SUM(F188:G188)</f>
        <v>13774</v>
      </c>
    </row>
    <row r="189" spans="1:8" ht="15" customHeight="1" x14ac:dyDescent="0.3">
      <c r="A189" s="78" t="s">
        <v>26</v>
      </c>
      <c r="B189" s="79">
        <v>0</v>
      </c>
      <c r="C189" s="79">
        <v>0</v>
      </c>
      <c r="D189" s="79">
        <v>0</v>
      </c>
      <c r="E189" s="78" t="s">
        <v>26</v>
      </c>
      <c r="F189" s="79">
        <v>8923</v>
      </c>
      <c r="G189" s="79">
        <v>3810</v>
      </c>
      <c r="H189" s="79">
        <f t="shared" ref="H189:H199" si="25">SUM(F189:G189)</f>
        <v>12733</v>
      </c>
    </row>
    <row r="190" spans="1:8" ht="15" customHeight="1" x14ac:dyDescent="0.3">
      <c r="A190" s="78" t="s">
        <v>27</v>
      </c>
      <c r="B190" s="79">
        <v>0</v>
      </c>
      <c r="C190" s="79">
        <v>0</v>
      </c>
      <c r="D190" s="79">
        <v>0</v>
      </c>
      <c r="E190" s="78" t="s">
        <v>27</v>
      </c>
      <c r="F190" s="79">
        <v>10240</v>
      </c>
      <c r="G190" s="79">
        <v>4212</v>
      </c>
      <c r="H190" s="79">
        <f t="shared" si="25"/>
        <v>14452</v>
      </c>
    </row>
    <row r="191" spans="1:8" ht="15" customHeight="1" x14ac:dyDescent="0.3">
      <c r="A191" s="78" t="s">
        <v>28</v>
      </c>
      <c r="B191" s="79">
        <v>0</v>
      </c>
      <c r="C191" s="79">
        <v>889</v>
      </c>
      <c r="D191" s="79">
        <v>889</v>
      </c>
      <c r="E191" s="78" t="s">
        <v>28</v>
      </c>
      <c r="F191" s="79">
        <v>9920</v>
      </c>
      <c r="G191" s="79">
        <v>4064</v>
      </c>
      <c r="H191" s="79">
        <f t="shared" si="25"/>
        <v>13984</v>
      </c>
    </row>
    <row r="192" spans="1:8" ht="15" customHeight="1" x14ac:dyDescent="0.3">
      <c r="A192" s="78" t="s">
        <v>29</v>
      </c>
      <c r="B192" s="79">
        <v>13</v>
      </c>
      <c r="C192" s="79">
        <v>9837</v>
      </c>
      <c r="D192" s="79">
        <v>9850</v>
      </c>
      <c r="E192" s="78" t="s">
        <v>29</v>
      </c>
      <c r="F192" s="79">
        <v>10748</v>
      </c>
      <c r="G192" s="79">
        <v>3988</v>
      </c>
      <c r="H192" s="79">
        <f t="shared" si="25"/>
        <v>14736</v>
      </c>
    </row>
    <row r="193" spans="1:8" ht="15" customHeight="1" x14ac:dyDescent="0.3">
      <c r="A193" s="78" t="s">
        <v>30</v>
      </c>
      <c r="B193" s="79">
        <v>274</v>
      </c>
      <c r="C193" s="79">
        <v>15763</v>
      </c>
      <c r="D193" s="79">
        <v>16037</v>
      </c>
      <c r="E193" s="78" t="s">
        <v>30</v>
      </c>
      <c r="F193" s="79">
        <v>10081</v>
      </c>
      <c r="G193" s="79">
        <v>4007</v>
      </c>
      <c r="H193" s="79">
        <f t="shared" si="25"/>
        <v>14088</v>
      </c>
    </row>
    <row r="194" spans="1:8" ht="15" customHeight="1" x14ac:dyDescent="0.3">
      <c r="A194" s="78" t="s">
        <v>31</v>
      </c>
      <c r="B194" s="79">
        <v>351</v>
      </c>
      <c r="C194" s="79">
        <v>20027</v>
      </c>
      <c r="D194" s="79">
        <v>20378</v>
      </c>
      <c r="E194" s="78" t="s">
        <v>31</v>
      </c>
      <c r="F194" s="79">
        <v>11582</v>
      </c>
      <c r="G194" s="79">
        <v>4627</v>
      </c>
      <c r="H194" s="79">
        <f t="shared" si="25"/>
        <v>16209</v>
      </c>
    </row>
    <row r="195" spans="1:8" ht="15" customHeight="1" x14ac:dyDescent="0.3">
      <c r="A195" s="78" t="s">
        <v>32</v>
      </c>
      <c r="B195" s="79">
        <v>526</v>
      </c>
      <c r="C195" s="79">
        <v>19384</v>
      </c>
      <c r="D195" s="79">
        <v>19910</v>
      </c>
      <c r="E195" s="78" t="s">
        <v>32</v>
      </c>
      <c r="F195" s="79">
        <v>10682</v>
      </c>
      <c r="G195" s="79">
        <v>4024</v>
      </c>
      <c r="H195" s="79">
        <f t="shared" si="25"/>
        <v>14706</v>
      </c>
    </row>
    <row r="196" spans="1:8" ht="15" customHeight="1" x14ac:dyDescent="0.3">
      <c r="A196" s="78" t="s">
        <v>33</v>
      </c>
      <c r="B196" s="79">
        <v>9</v>
      </c>
      <c r="C196" s="79">
        <v>11370</v>
      </c>
      <c r="D196" s="79">
        <v>11379</v>
      </c>
      <c r="E196" s="78" t="s">
        <v>33</v>
      </c>
      <c r="F196" s="79">
        <v>9806</v>
      </c>
      <c r="G196" s="79">
        <v>3845</v>
      </c>
      <c r="H196" s="79">
        <f t="shared" si="25"/>
        <v>13651</v>
      </c>
    </row>
    <row r="197" spans="1:8" ht="15" customHeight="1" x14ac:dyDescent="0.3">
      <c r="A197" s="78" t="s">
        <v>34</v>
      </c>
      <c r="B197" s="79">
        <v>0</v>
      </c>
      <c r="C197" s="79">
        <v>2041</v>
      </c>
      <c r="D197" s="79">
        <v>2041</v>
      </c>
      <c r="E197" s="78" t="s">
        <v>34</v>
      </c>
      <c r="F197" s="79">
        <v>8326</v>
      </c>
      <c r="G197" s="79">
        <v>3140</v>
      </c>
      <c r="H197" s="79">
        <f t="shared" si="25"/>
        <v>11466</v>
      </c>
    </row>
    <row r="198" spans="1:8" ht="15" customHeight="1" x14ac:dyDescent="0.3">
      <c r="A198" s="78" t="s">
        <v>35</v>
      </c>
      <c r="B198" s="79">
        <v>0</v>
      </c>
      <c r="C198" s="79">
        <v>161</v>
      </c>
      <c r="D198" s="79">
        <v>161</v>
      </c>
      <c r="E198" s="78" t="s">
        <v>35</v>
      </c>
      <c r="F198" s="79">
        <v>7671</v>
      </c>
      <c r="G198" s="79">
        <v>2922</v>
      </c>
      <c r="H198" s="79">
        <f t="shared" si="25"/>
        <v>10593</v>
      </c>
    </row>
    <row r="199" spans="1:8" ht="15" customHeight="1" x14ac:dyDescent="0.3">
      <c r="A199" s="78" t="s">
        <v>36</v>
      </c>
      <c r="B199" s="79">
        <v>0</v>
      </c>
      <c r="C199" s="79">
        <v>179</v>
      </c>
      <c r="D199" s="79">
        <v>179</v>
      </c>
      <c r="E199" s="78" t="s">
        <v>36</v>
      </c>
      <c r="F199" s="79">
        <v>9059</v>
      </c>
      <c r="G199" s="79">
        <v>2933</v>
      </c>
      <c r="H199" s="79">
        <f t="shared" si="25"/>
        <v>11992</v>
      </c>
    </row>
    <row r="200" spans="1:8" ht="15" customHeight="1" x14ac:dyDescent="0.3">
      <c r="A200" s="88">
        <v>2010</v>
      </c>
      <c r="B200" s="103">
        <f>SUM(B201:B212)</f>
        <v>2027</v>
      </c>
      <c r="C200" s="103">
        <f t="shared" ref="C200:D200" si="26">SUM(C201:C212)</f>
        <v>76429</v>
      </c>
      <c r="D200" s="103">
        <f t="shared" si="26"/>
        <v>78456</v>
      </c>
      <c r="E200" s="88">
        <v>2010</v>
      </c>
      <c r="F200" s="103">
        <f>SUM(F201:F212)</f>
        <v>140196</v>
      </c>
      <c r="G200" s="103">
        <f>SUM(G201:G212)</f>
        <v>70613</v>
      </c>
      <c r="H200" s="103">
        <f>SUM(H201:H212)</f>
        <v>210809</v>
      </c>
    </row>
    <row r="201" spans="1:8" ht="15" customHeight="1" x14ac:dyDescent="0.3">
      <c r="A201" s="78" t="s">
        <v>25</v>
      </c>
      <c r="B201" s="79">
        <v>10</v>
      </c>
      <c r="C201" s="79">
        <v>0</v>
      </c>
      <c r="D201" s="79">
        <v>10</v>
      </c>
      <c r="E201" s="78" t="s">
        <v>25</v>
      </c>
      <c r="F201" s="79">
        <v>13668</v>
      </c>
      <c r="G201" s="79">
        <v>7415</v>
      </c>
      <c r="H201" s="79">
        <f>SUM(F201:G201)</f>
        <v>21083</v>
      </c>
    </row>
    <row r="202" spans="1:8" ht="15" customHeight="1" x14ac:dyDescent="0.3">
      <c r="A202" s="78" t="s">
        <v>26</v>
      </c>
      <c r="B202" s="79">
        <v>4</v>
      </c>
      <c r="C202" s="79">
        <v>0</v>
      </c>
      <c r="D202" s="79">
        <v>4</v>
      </c>
      <c r="E202" s="78" t="s">
        <v>26</v>
      </c>
      <c r="F202" s="79">
        <v>12520</v>
      </c>
      <c r="G202" s="79">
        <v>5975</v>
      </c>
      <c r="H202" s="79">
        <f t="shared" ref="H202:H212" si="27">SUM(F202:G202)</f>
        <v>18495</v>
      </c>
    </row>
    <row r="203" spans="1:8" ht="15" customHeight="1" x14ac:dyDescent="0.3">
      <c r="A203" s="78" t="s">
        <v>27</v>
      </c>
      <c r="B203" s="79">
        <v>0</v>
      </c>
      <c r="C203" s="79">
        <v>287</v>
      </c>
      <c r="D203" s="79">
        <v>287</v>
      </c>
      <c r="E203" s="78" t="s">
        <v>27</v>
      </c>
      <c r="F203" s="79">
        <v>12818</v>
      </c>
      <c r="G203" s="79">
        <v>6799</v>
      </c>
      <c r="H203" s="79">
        <f t="shared" si="27"/>
        <v>19617</v>
      </c>
    </row>
    <row r="204" spans="1:8" ht="15" customHeight="1" x14ac:dyDescent="0.3">
      <c r="A204" s="78" t="s">
        <v>28</v>
      </c>
      <c r="B204" s="79">
        <v>271</v>
      </c>
      <c r="C204" s="79">
        <v>1089</v>
      </c>
      <c r="D204" s="79">
        <v>1360</v>
      </c>
      <c r="E204" s="78" t="s">
        <v>28</v>
      </c>
      <c r="F204" s="79">
        <v>13076</v>
      </c>
      <c r="G204" s="79">
        <v>6411</v>
      </c>
      <c r="H204" s="79">
        <f t="shared" si="27"/>
        <v>19487</v>
      </c>
    </row>
    <row r="205" spans="1:8" ht="15" customHeight="1" x14ac:dyDescent="0.3">
      <c r="A205" s="78" t="s">
        <v>29</v>
      </c>
      <c r="B205" s="79">
        <v>0</v>
      </c>
      <c r="C205" s="79">
        <v>9296</v>
      </c>
      <c r="D205" s="79">
        <v>9296</v>
      </c>
      <c r="E205" s="78" t="s">
        <v>29</v>
      </c>
      <c r="F205" s="79">
        <v>11400</v>
      </c>
      <c r="G205" s="79">
        <v>6416</v>
      </c>
      <c r="H205" s="79">
        <f t="shared" si="27"/>
        <v>17816</v>
      </c>
    </row>
    <row r="206" spans="1:8" ht="15" customHeight="1" x14ac:dyDescent="0.3">
      <c r="A206" s="78" t="s">
        <v>30</v>
      </c>
      <c r="B206" s="79">
        <v>0</v>
      </c>
      <c r="C206" s="79">
        <v>13749</v>
      </c>
      <c r="D206" s="79">
        <v>13749</v>
      </c>
      <c r="E206" s="78" t="s">
        <v>30</v>
      </c>
      <c r="F206" s="79">
        <v>11642</v>
      </c>
      <c r="G206" s="79">
        <v>5748</v>
      </c>
      <c r="H206" s="79">
        <f t="shared" si="27"/>
        <v>17390</v>
      </c>
    </row>
    <row r="207" spans="1:8" ht="15" customHeight="1" x14ac:dyDescent="0.3">
      <c r="A207" s="78" t="s">
        <v>31</v>
      </c>
      <c r="B207" s="79">
        <v>644</v>
      </c>
      <c r="C207" s="79">
        <v>19319</v>
      </c>
      <c r="D207" s="79">
        <v>19963</v>
      </c>
      <c r="E207" s="78" t="s">
        <v>31</v>
      </c>
      <c r="F207" s="79">
        <v>12857</v>
      </c>
      <c r="G207" s="79">
        <v>6756</v>
      </c>
      <c r="H207" s="79">
        <f t="shared" si="27"/>
        <v>19613</v>
      </c>
    </row>
    <row r="208" spans="1:8" ht="15" customHeight="1" x14ac:dyDescent="0.3">
      <c r="A208" s="78" t="s">
        <v>32</v>
      </c>
      <c r="B208" s="79">
        <v>1098</v>
      </c>
      <c r="C208" s="79">
        <v>19064</v>
      </c>
      <c r="D208" s="79">
        <v>20162</v>
      </c>
      <c r="E208" s="78" t="s">
        <v>32</v>
      </c>
      <c r="F208" s="79">
        <v>11309</v>
      </c>
      <c r="G208" s="79">
        <v>5912</v>
      </c>
      <c r="H208" s="79">
        <f t="shared" si="27"/>
        <v>17221</v>
      </c>
    </row>
    <row r="209" spans="1:8" ht="15" customHeight="1" x14ac:dyDescent="0.3">
      <c r="A209" s="78" t="s">
        <v>33</v>
      </c>
      <c r="B209" s="79">
        <v>0</v>
      </c>
      <c r="C209" s="79">
        <v>11201</v>
      </c>
      <c r="D209" s="79">
        <v>11201</v>
      </c>
      <c r="E209" s="78" t="s">
        <v>33</v>
      </c>
      <c r="F209" s="79">
        <v>11064</v>
      </c>
      <c r="G209" s="79">
        <v>5639</v>
      </c>
      <c r="H209" s="79">
        <f t="shared" si="27"/>
        <v>16703</v>
      </c>
    </row>
    <row r="210" spans="1:8" ht="15" customHeight="1" x14ac:dyDescent="0.3">
      <c r="A210" s="78" t="s">
        <v>34</v>
      </c>
      <c r="B210" s="79">
        <v>0</v>
      </c>
      <c r="C210" s="79">
        <v>2278</v>
      </c>
      <c r="D210" s="79">
        <v>2278</v>
      </c>
      <c r="E210" s="78" t="s">
        <v>34</v>
      </c>
      <c r="F210" s="79">
        <v>10296</v>
      </c>
      <c r="G210" s="79">
        <v>5307</v>
      </c>
      <c r="H210" s="79">
        <f t="shared" si="27"/>
        <v>15603</v>
      </c>
    </row>
    <row r="211" spans="1:8" ht="15" customHeight="1" x14ac:dyDescent="0.3">
      <c r="A211" s="78" t="s">
        <v>35</v>
      </c>
      <c r="B211" s="79">
        <v>0</v>
      </c>
      <c r="C211" s="79">
        <v>0</v>
      </c>
      <c r="D211" s="79">
        <v>0</v>
      </c>
      <c r="E211" s="78" t="s">
        <v>35</v>
      </c>
      <c r="F211" s="79">
        <v>10173</v>
      </c>
      <c r="G211" s="79">
        <v>4102</v>
      </c>
      <c r="H211" s="79">
        <f t="shared" si="27"/>
        <v>14275</v>
      </c>
    </row>
    <row r="212" spans="1:8" ht="15" customHeight="1" x14ac:dyDescent="0.3">
      <c r="A212" s="78" t="s">
        <v>36</v>
      </c>
      <c r="B212" s="79">
        <v>0</v>
      </c>
      <c r="C212" s="79">
        <v>146</v>
      </c>
      <c r="D212" s="79">
        <v>146</v>
      </c>
      <c r="E212" s="78" t="s">
        <v>36</v>
      </c>
      <c r="F212" s="79">
        <v>9373</v>
      </c>
      <c r="G212" s="79">
        <v>4133</v>
      </c>
      <c r="H212" s="79">
        <f t="shared" si="27"/>
        <v>13506</v>
      </c>
    </row>
    <row r="213" spans="1:8" ht="15" customHeight="1" x14ac:dyDescent="0.3">
      <c r="A213" s="163" t="s">
        <v>114</v>
      </c>
      <c r="B213" s="163"/>
      <c r="C213" s="163"/>
      <c r="D213" s="163"/>
      <c r="E213" s="2"/>
      <c r="F213" s="2"/>
      <c r="G213" s="2"/>
      <c r="H213" s="2"/>
    </row>
    <row r="214" spans="1:8" ht="15" customHeight="1" x14ac:dyDescent="0.3">
      <c r="A214" s="2"/>
      <c r="B214" s="2"/>
      <c r="C214" s="2"/>
      <c r="D214" s="2"/>
      <c r="E214" s="2"/>
      <c r="F214" s="2"/>
      <c r="G214" s="2"/>
      <c r="H214" s="2"/>
    </row>
  </sheetData>
  <mergeCells count="3">
    <mergeCell ref="A3:D3"/>
    <mergeCell ref="E3:H3"/>
    <mergeCell ref="A213:D213"/>
  </mergeCells>
  <pageMargins left="0.70866141732283472" right="0.70866141732283472" top="0.74803149606299213" bottom="0.74803149606299213" header="0.31496062992125984" footer="0.31496062992125984"/>
  <pageSetup paperSize="9" fitToHeight="0" orientation="landscape" r:id="rId1"/>
  <headerFooter>
    <oddHeader>&amp;R&amp;G</oddHeader>
    <oddFooter>&amp;L&amp;F &amp;C&amp;P / &amp;N&amp;R&amp;A</oddFooter>
  </headerFooter>
  <rowBreaks count="3" manualBreakCount="3">
    <brk id="134" max="7" man="1"/>
    <brk id="160" max="7" man="1"/>
    <brk id="186" max="7"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pageSetUpPr fitToPage="1"/>
  </sheetPr>
  <dimension ref="A2:F101"/>
  <sheetViews>
    <sheetView showGridLines="0" zoomScaleNormal="100" workbookViewId="0">
      <selection activeCell="D5" sqref="D5:F12"/>
    </sheetView>
  </sheetViews>
  <sheetFormatPr defaultRowHeight="15" customHeight="1" x14ac:dyDescent="0.3"/>
  <cols>
    <col min="1" max="1" width="6.33203125" style="12" bestFit="1" customWidth="1"/>
    <col min="2" max="2" width="15.44140625" style="12" bestFit="1" customWidth="1"/>
    <col min="3" max="3" width="12.33203125" style="12" bestFit="1" customWidth="1"/>
    <col min="4" max="4" width="20.88671875" style="12" customWidth="1"/>
    <col min="5" max="5" width="20.44140625" style="12" customWidth="1"/>
    <col min="6" max="6" width="21.33203125" style="12" customWidth="1"/>
    <col min="7" max="7" width="18.44140625" style="12" customWidth="1"/>
    <col min="8" max="8" width="18.33203125" style="12" customWidth="1"/>
    <col min="9" max="16384" width="8.88671875" style="12"/>
  </cols>
  <sheetData>
    <row r="2" spans="1:6" ht="15" customHeight="1" x14ac:dyDescent="0.3">
      <c r="A2" s="174" t="s">
        <v>145</v>
      </c>
      <c r="B2" s="175"/>
      <c r="C2" s="175"/>
      <c r="D2" s="175"/>
      <c r="E2" s="175"/>
      <c r="F2" s="175"/>
    </row>
    <row r="3" spans="1:6" ht="20.399999999999999" x14ac:dyDescent="0.3">
      <c r="A3" s="94"/>
      <c r="B3" s="95"/>
      <c r="C3" s="95"/>
      <c r="D3" s="96" t="s">
        <v>44</v>
      </c>
      <c r="E3" s="97" t="s">
        <v>45</v>
      </c>
      <c r="F3" s="97" t="s">
        <v>43</v>
      </c>
    </row>
    <row r="4" spans="1:6" ht="20.399999999999999" x14ac:dyDescent="0.3">
      <c r="A4" s="98" t="s">
        <v>17</v>
      </c>
      <c r="B4" s="99" t="s">
        <v>103</v>
      </c>
      <c r="C4" s="100" t="s">
        <v>18</v>
      </c>
      <c r="D4" s="101" t="s">
        <v>19</v>
      </c>
      <c r="E4" s="101" t="s">
        <v>19</v>
      </c>
      <c r="F4" s="101" t="s">
        <v>19</v>
      </c>
    </row>
    <row r="5" spans="1:6" ht="15" customHeight="1" x14ac:dyDescent="0.3">
      <c r="A5" s="179">
        <v>2024</v>
      </c>
      <c r="B5" s="176" t="s">
        <v>4</v>
      </c>
      <c r="C5" s="20" t="s">
        <v>24</v>
      </c>
      <c r="D5" s="21">
        <v>0</v>
      </c>
      <c r="E5" s="74">
        <v>0</v>
      </c>
      <c r="F5" s="74">
        <v>0</v>
      </c>
    </row>
    <row r="6" spans="1:6" ht="15" customHeight="1" x14ac:dyDescent="0.3">
      <c r="A6" s="180"/>
      <c r="B6" s="177"/>
      <c r="C6" s="116" t="s">
        <v>10</v>
      </c>
      <c r="D6" s="117">
        <v>1209633</v>
      </c>
      <c r="E6" s="118">
        <v>1206905</v>
      </c>
      <c r="F6" s="118">
        <v>2416538</v>
      </c>
    </row>
    <row r="7" spans="1:6" ht="15" customHeight="1" x14ac:dyDescent="0.3">
      <c r="A7" s="180"/>
      <c r="B7" s="177"/>
      <c r="C7" s="22" t="s">
        <v>4</v>
      </c>
      <c r="D7" s="23">
        <v>197297</v>
      </c>
      <c r="E7" s="75">
        <v>197621</v>
      </c>
      <c r="F7" s="75">
        <v>394918</v>
      </c>
    </row>
    <row r="8" spans="1:6" ht="15" customHeight="1" x14ac:dyDescent="0.3">
      <c r="A8" s="180"/>
      <c r="B8" s="177"/>
      <c r="C8" s="116" t="s">
        <v>23</v>
      </c>
      <c r="D8" s="117">
        <v>1110469</v>
      </c>
      <c r="E8" s="118">
        <v>1112661</v>
      </c>
      <c r="F8" s="118">
        <v>2223130</v>
      </c>
    </row>
    <row r="9" spans="1:6" ht="15" customHeight="1" x14ac:dyDescent="0.3">
      <c r="A9" s="180"/>
      <c r="B9" s="178"/>
      <c r="C9" s="24" t="s">
        <v>22</v>
      </c>
      <c r="D9" s="25">
        <v>0</v>
      </c>
      <c r="E9" s="76">
        <v>0</v>
      </c>
      <c r="F9" s="76">
        <v>0</v>
      </c>
    </row>
    <row r="10" spans="1:6" ht="15" customHeight="1" x14ac:dyDescent="0.3">
      <c r="A10" s="180"/>
      <c r="B10" s="176" t="s">
        <v>3</v>
      </c>
      <c r="C10" s="119" t="s">
        <v>20</v>
      </c>
      <c r="D10" s="120">
        <v>90407</v>
      </c>
      <c r="E10" s="120">
        <v>90425</v>
      </c>
      <c r="F10" s="121">
        <v>180832</v>
      </c>
    </row>
    <row r="11" spans="1:6" ht="15" customHeight="1" x14ac:dyDescent="0.3">
      <c r="A11" s="180"/>
      <c r="B11" s="177"/>
      <c r="C11" s="24" t="s">
        <v>21</v>
      </c>
      <c r="D11" s="25">
        <v>87507</v>
      </c>
      <c r="E11" s="76">
        <v>87237</v>
      </c>
      <c r="F11" s="76">
        <v>174744</v>
      </c>
    </row>
    <row r="12" spans="1:6" ht="15" customHeight="1" thickBot="1" x14ac:dyDescent="0.35">
      <c r="A12" s="181"/>
      <c r="B12" s="122"/>
      <c r="C12" s="123"/>
      <c r="D12" s="124">
        <v>2695313</v>
      </c>
      <c r="E12" s="124">
        <v>2694849</v>
      </c>
      <c r="F12" s="125">
        <v>5390162</v>
      </c>
    </row>
    <row r="13" spans="1:6" ht="15" customHeight="1" x14ac:dyDescent="0.3">
      <c r="A13" s="179">
        <v>2023</v>
      </c>
      <c r="B13" s="176" t="s">
        <v>4</v>
      </c>
      <c r="C13" s="20" t="s">
        <v>24</v>
      </c>
      <c r="D13" s="21">
        <v>0</v>
      </c>
      <c r="E13" s="74">
        <v>0</v>
      </c>
      <c r="F13" s="74">
        <v>0</v>
      </c>
    </row>
    <row r="14" spans="1:6" ht="15" customHeight="1" x14ac:dyDescent="0.3">
      <c r="A14" s="180"/>
      <c r="B14" s="177"/>
      <c r="C14" s="116" t="s">
        <v>10</v>
      </c>
      <c r="D14" s="117">
        <v>1106402</v>
      </c>
      <c r="E14" s="118">
        <v>1094334</v>
      </c>
      <c r="F14" s="118">
        <v>2200736</v>
      </c>
    </row>
    <row r="15" spans="1:6" ht="15" customHeight="1" x14ac:dyDescent="0.3">
      <c r="A15" s="180"/>
      <c r="B15" s="177"/>
      <c r="C15" s="22" t="s">
        <v>4</v>
      </c>
      <c r="D15" s="23">
        <v>187550</v>
      </c>
      <c r="E15" s="75">
        <v>188205</v>
      </c>
      <c r="F15" s="75">
        <v>375755</v>
      </c>
    </row>
    <row r="16" spans="1:6" ht="15" customHeight="1" x14ac:dyDescent="0.3">
      <c r="A16" s="180"/>
      <c r="B16" s="177"/>
      <c r="C16" s="116" t="s">
        <v>23</v>
      </c>
      <c r="D16" s="117">
        <v>1001770</v>
      </c>
      <c r="E16" s="118">
        <v>1012307</v>
      </c>
      <c r="F16" s="118">
        <v>2014077</v>
      </c>
    </row>
    <row r="17" spans="1:6" ht="15" customHeight="1" x14ac:dyDescent="0.3">
      <c r="A17" s="180"/>
      <c r="B17" s="178"/>
      <c r="C17" s="24" t="s">
        <v>22</v>
      </c>
      <c r="D17" s="25">
        <v>0</v>
      </c>
      <c r="E17" s="76">
        <v>0</v>
      </c>
      <c r="F17" s="76">
        <v>0</v>
      </c>
    </row>
    <row r="18" spans="1:6" ht="15" customHeight="1" x14ac:dyDescent="0.3">
      <c r="A18" s="180"/>
      <c r="B18" s="176" t="s">
        <v>3</v>
      </c>
      <c r="C18" s="119" t="s">
        <v>20</v>
      </c>
      <c r="D18" s="120">
        <v>89403</v>
      </c>
      <c r="E18" s="120">
        <v>88865</v>
      </c>
      <c r="F18" s="121">
        <v>178268</v>
      </c>
    </row>
    <row r="19" spans="1:6" ht="15" customHeight="1" x14ac:dyDescent="0.3">
      <c r="A19" s="180"/>
      <c r="B19" s="177"/>
      <c r="C19" s="24" t="s">
        <v>21</v>
      </c>
      <c r="D19" s="25">
        <v>85949</v>
      </c>
      <c r="E19" s="76">
        <v>86072</v>
      </c>
      <c r="F19" s="76">
        <v>172021</v>
      </c>
    </row>
    <row r="20" spans="1:6" ht="15" customHeight="1" thickBot="1" x14ac:dyDescent="0.35">
      <c r="A20" s="181"/>
      <c r="B20" s="122" t="s">
        <v>106</v>
      </c>
      <c r="C20" s="123"/>
      <c r="D20" s="124">
        <v>2471074</v>
      </c>
      <c r="E20" s="124">
        <v>2469783</v>
      </c>
      <c r="F20" s="125">
        <v>4940857</v>
      </c>
    </row>
    <row r="21" spans="1:6" ht="15" customHeight="1" x14ac:dyDescent="0.3">
      <c r="A21" s="179">
        <v>2022</v>
      </c>
      <c r="B21" s="176" t="s">
        <v>4</v>
      </c>
      <c r="C21" s="20" t="s">
        <v>24</v>
      </c>
      <c r="D21" s="21">
        <v>0</v>
      </c>
      <c r="E21" s="74">
        <v>0</v>
      </c>
      <c r="F21" s="74">
        <v>0</v>
      </c>
    </row>
    <row r="22" spans="1:6" ht="15" customHeight="1" x14ac:dyDescent="0.3">
      <c r="A22" s="180"/>
      <c r="B22" s="177"/>
      <c r="C22" s="116" t="s">
        <v>10</v>
      </c>
      <c r="D22" s="117">
        <v>955934</v>
      </c>
      <c r="E22" s="118">
        <v>947226</v>
      </c>
      <c r="F22" s="118">
        <v>1903160</v>
      </c>
    </row>
    <row r="23" spans="1:6" ht="15" customHeight="1" x14ac:dyDescent="0.3">
      <c r="A23" s="180"/>
      <c r="B23" s="177"/>
      <c r="C23" s="22" t="s">
        <v>4</v>
      </c>
      <c r="D23" s="23">
        <v>186193</v>
      </c>
      <c r="E23" s="75">
        <v>193029</v>
      </c>
      <c r="F23" s="75">
        <v>379222</v>
      </c>
    </row>
    <row r="24" spans="1:6" ht="15" customHeight="1" x14ac:dyDescent="0.3">
      <c r="A24" s="180"/>
      <c r="B24" s="177"/>
      <c r="C24" s="116" t="s">
        <v>23</v>
      </c>
      <c r="D24" s="117">
        <v>855261</v>
      </c>
      <c r="E24" s="118">
        <v>862687</v>
      </c>
      <c r="F24" s="118">
        <v>1717948</v>
      </c>
    </row>
    <row r="25" spans="1:6" ht="15" customHeight="1" x14ac:dyDescent="0.3">
      <c r="A25" s="180"/>
      <c r="B25" s="178"/>
      <c r="C25" s="24" t="s">
        <v>22</v>
      </c>
      <c r="D25" s="25">
        <v>0</v>
      </c>
      <c r="E25" s="76">
        <v>0</v>
      </c>
      <c r="F25" s="76">
        <v>0</v>
      </c>
    </row>
    <row r="26" spans="1:6" ht="15" customHeight="1" x14ac:dyDescent="0.3">
      <c r="A26" s="180"/>
      <c r="B26" s="176" t="s">
        <v>3</v>
      </c>
      <c r="C26" s="119" t="s">
        <v>20</v>
      </c>
      <c r="D26" s="120">
        <v>82958</v>
      </c>
      <c r="E26" s="120">
        <v>81841</v>
      </c>
      <c r="F26" s="121">
        <v>164799</v>
      </c>
    </row>
    <row r="27" spans="1:6" ht="15" customHeight="1" x14ac:dyDescent="0.3">
      <c r="A27" s="180"/>
      <c r="B27" s="177"/>
      <c r="C27" s="24" t="s">
        <v>21</v>
      </c>
      <c r="D27" s="25">
        <v>80535</v>
      </c>
      <c r="E27" s="76">
        <v>80704</v>
      </c>
      <c r="F27" s="76">
        <v>161239</v>
      </c>
    </row>
    <row r="28" spans="1:6" ht="15" customHeight="1" thickBot="1" x14ac:dyDescent="0.35">
      <c r="A28" s="181"/>
      <c r="B28" s="122" t="s">
        <v>106</v>
      </c>
      <c r="C28" s="123"/>
      <c r="D28" s="124">
        <v>2160881</v>
      </c>
      <c r="E28" s="124">
        <v>2165487</v>
      </c>
      <c r="F28" s="125">
        <v>4326368</v>
      </c>
    </row>
    <row r="29" spans="1:6" ht="15" customHeight="1" x14ac:dyDescent="0.3">
      <c r="A29" s="179">
        <v>2021</v>
      </c>
      <c r="B29" s="176" t="s">
        <v>4</v>
      </c>
      <c r="C29" s="20" t="s">
        <v>24</v>
      </c>
      <c r="D29" s="21">
        <v>0</v>
      </c>
      <c r="E29" s="74">
        <v>0</v>
      </c>
      <c r="F29" s="74">
        <v>0</v>
      </c>
    </row>
    <row r="30" spans="1:6" ht="15" customHeight="1" x14ac:dyDescent="0.3">
      <c r="A30" s="180"/>
      <c r="B30" s="177"/>
      <c r="C30" s="116" t="s">
        <v>4</v>
      </c>
      <c r="D30" s="117">
        <v>127187</v>
      </c>
      <c r="E30" s="118">
        <v>125677</v>
      </c>
      <c r="F30" s="118">
        <v>252864</v>
      </c>
    </row>
    <row r="31" spans="1:6" ht="15" customHeight="1" x14ac:dyDescent="0.3">
      <c r="A31" s="180"/>
      <c r="B31" s="177"/>
      <c r="C31" s="22" t="s">
        <v>23</v>
      </c>
      <c r="D31" s="23">
        <v>582337</v>
      </c>
      <c r="E31" s="75">
        <v>539752</v>
      </c>
      <c r="F31" s="75">
        <v>1122089</v>
      </c>
    </row>
    <row r="32" spans="1:6" ht="15" customHeight="1" x14ac:dyDescent="0.3">
      <c r="A32" s="180"/>
      <c r="B32" s="177"/>
      <c r="C32" s="116" t="s">
        <v>10</v>
      </c>
      <c r="D32" s="117">
        <v>585836</v>
      </c>
      <c r="E32" s="118">
        <v>634333</v>
      </c>
      <c r="F32" s="118">
        <v>1220169</v>
      </c>
    </row>
    <row r="33" spans="1:6" ht="15" customHeight="1" x14ac:dyDescent="0.3">
      <c r="A33" s="180"/>
      <c r="B33" s="178"/>
      <c r="C33" s="24" t="s">
        <v>22</v>
      </c>
      <c r="D33" s="25">
        <v>0</v>
      </c>
      <c r="E33" s="76">
        <v>0</v>
      </c>
      <c r="F33" s="76">
        <v>0</v>
      </c>
    </row>
    <row r="34" spans="1:6" ht="15" customHeight="1" x14ac:dyDescent="0.3">
      <c r="A34" s="180"/>
      <c r="B34" s="176" t="s">
        <v>3</v>
      </c>
      <c r="C34" s="119" t="s">
        <v>21</v>
      </c>
      <c r="D34" s="120">
        <v>67698</v>
      </c>
      <c r="E34" s="120">
        <v>63910</v>
      </c>
      <c r="F34" s="121">
        <v>131608</v>
      </c>
    </row>
    <row r="35" spans="1:6" ht="15" customHeight="1" x14ac:dyDescent="0.3">
      <c r="A35" s="180"/>
      <c r="B35" s="177"/>
      <c r="C35" s="24" t="s">
        <v>20</v>
      </c>
      <c r="D35" s="25">
        <v>65313</v>
      </c>
      <c r="E35" s="76">
        <v>62143</v>
      </c>
      <c r="F35" s="76">
        <v>127456</v>
      </c>
    </row>
    <row r="36" spans="1:6" ht="15" customHeight="1" thickBot="1" x14ac:dyDescent="0.35">
      <c r="A36" s="181"/>
      <c r="B36" s="122" t="s">
        <v>106</v>
      </c>
      <c r="C36" s="123"/>
      <c r="D36" s="124">
        <v>1428371</v>
      </c>
      <c r="E36" s="124">
        <v>1425815</v>
      </c>
      <c r="F36" s="125">
        <v>2854186</v>
      </c>
    </row>
    <row r="37" spans="1:6" ht="15" customHeight="1" x14ac:dyDescent="0.3">
      <c r="A37" s="179">
        <v>2020</v>
      </c>
      <c r="B37" s="176" t="s">
        <v>4</v>
      </c>
      <c r="C37" s="20" t="s">
        <v>24</v>
      </c>
      <c r="D37" s="21">
        <v>0</v>
      </c>
      <c r="E37" s="74">
        <v>0</v>
      </c>
      <c r="F37" s="74">
        <f>SUM(D37:E37)</f>
        <v>0</v>
      </c>
    </row>
    <row r="38" spans="1:6" ht="15" customHeight="1" x14ac:dyDescent="0.3">
      <c r="A38" s="180"/>
      <c r="B38" s="177"/>
      <c r="C38" s="116" t="s">
        <v>4</v>
      </c>
      <c r="D38" s="117">
        <v>110736</v>
      </c>
      <c r="E38" s="118">
        <v>111752</v>
      </c>
      <c r="F38" s="118">
        <f t="shared" ref="F38:F43" si="0">SUM(D38:E38)</f>
        <v>222488</v>
      </c>
    </row>
    <row r="39" spans="1:6" ht="15" customHeight="1" x14ac:dyDescent="0.3">
      <c r="A39" s="180"/>
      <c r="B39" s="177"/>
      <c r="C39" s="22" t="s">
        <v>23</v>
      </c>
      <c r="D39" s="23">
        <v>382063</v>
      </c>
      <c r="E39" s="75">
        <v>380138</v>
      </c>
      <c r="F39" s="75">
        <f t="shared" si="0"/>
        <v>762201</v>
      </c>
    </row>
    <row r="40" spans="1:6" ht="15" customHeight="1" x14ac:dyDescent="0.3">
      <c r="A40" s="180"/>
      <c r="B40" s="177"/>
      <c r="C40" s="116" t="s">
        <v>10</v>
      </c>
      <c r="D40" s="117">
        <v>425136</v>
      </c>
      <c r="E40" s="118">
        <v>426826</v>
      </c>
      <c r="F40" s="118">
        <f t="shared" si="0"/>
        <v>851962</v>
      </c>
    </row>
    <row r="41" spans="1:6" ht="15" customHeight="1" x14ac:dyDescent="0.3">
      <c r="A41" s="180"/>
      <c r="B41" s="178"/>
      <c r="C41" s="24" t="s">
        <v>22</v>
      </c>
      <c r="D41" s="25">
        <v>0</v>
      </c>
      <c r="E41" s="76">
        <v>0</v>
      </c>
      <c r="F41" s="76">
        <f t="shared" si="0"/>
        <v>0</v>
      </c>
    </row>
    <row r="42" spans="1:6" ht="15" customHeight="1" x14ac:dyDescent="0.3">
      <c r="A42" s="180"/>
      <c r="B42" s="176" t="s">
        <v>3</v>
      </c>
      <c r="C42" s="119" t="s">
        <v>21</v>
      </c>
      <c r="D42" s="120">
        <v>49908</v>
      </c>
      <c r="E42" s="120">
        <v>50278</v>
      </c>
      <c r="F42" s="121">
        <f t="shared" si="0"/>
        <v>100186</v>
      </c>
    </row>
    <row r="43" spans="1:6" ht="15" customHeight="1" x14ac:dyDescent="0.3">
      <c r="A43" s="180"/>
      <c r="B43" s="177"/>
      <c r="C43" s="24" t="s">
        <v>20</v>
      </c>
      <c r="D43" s="25">
        <v>49730</v>
      </c>
      <c r="E43" s="76">
        <v>49423</v>
      </c>
      <c r="F43" s="76">
        <f t="shared" si="0"/>
        <v>99153</v>
      </c>
    </row>
    <row r="44" spans="1:6" ht="15" customHeight="1" thickBot="1" x14ac:dyDescent="0.35">
      <c r="A44" s="181"/>
      <c r="B44" s="122" t="s">
        <v>106</v>
      </c>
      <c r="C44" s="123"/>
      <c r="D44" s="124">
        <f>SUM(D37:D43)</f>
        <v>1017573</v>
      </c>
      <c r="E44" s="124">
        <f>SUM(E37:E43)</f>
        <v>1018417</v>
      </c>
      <c r="F44" s="125">
        <f>SUM(F37:F43)</f>
        <v>2035990</v>
      </c>
    </row>
    <row r="45" spans="1:6" ht="15" customHeight="1" x14ac:dyDescent="0.3">
      <c r="A45" s="182">
        <v>2019</v>
      </c>
      <c r="B45" s="176" t="s">
        <v>4</v>
      </c>
      <c r="C45" s="20" t="s">
        <v>24</v>
      </c>
      <c r="D45" s="21">
        <v>0</v>
      </c>
      <c r="E45" s="74">
        <v>0</v>
      </c>
      <c r="F45" s="74">
        <f>SUM(D45:E45)</f>
        <v>0</v>
      </c>
    </row>
    <row r="46" spans="1:6" ht="15" customHeight="1" x14ac:dyDescent="0.3">
      <c r="A46" s="180"/>
      <c r="B46" s="177"/>
      <c r="C46" s="116" t="s">
        <v>4</v>
      </c>
      <c r="D46" s="117">
        <v>225895</v>
      </c>
      <c r="E46" s="118">
        <v>227012</v>
      </c>
      <c r="F46" s="118">
        <f t="shared" ref="F46:F51" si="1">SUM(D46:E46)</f>
        <v>452907</v>
      </c>
    </row>
    <row r="47" spans="1:6" ht="15" customHeight="1" x14ac:dyDescent="0.3">
      <c r="A47" s="180"/>
      <c r="B47" s="177"/>
      <c r="C47" s="22" t="s">
        <v>23</v>
      </c>
      <c r="D47" s="23">
        <v>896767</v>
      </c>
      <c r="E47" s="75">
        <v>896652</v>
      </c>
      <c r="F47" s="75">
        <f t="shared" si="1"/>
        <v>1793419</v>
      </c>
    </row>
    <row r="48" spans="1:6" ht="15" customHeight="1" x14ac:dyDescent="0.3">
      <c r="A48" s="180"/>
      <c r="B48" s="177"/>
      <c r="C48" s="116" t="s">
        <v>10</v>
      </c>
      <c r="D48" s="117">
        <v>1020985</v>
      </c>
      <c r="E48" s="118">
        <v>1021987</v>
      </c>
      <c r="F48" s="118">
        <f t="shared" si="1"/>
        <v>2042972</v>
      </c>
    </row>
    <row r="49" spans="1:6" ht="15" customHeight="1" x14ac:dyDescent="0.3">
      <c r="A49" s="180"/>
      <c r="B49" s="178"/>
      <c r="C49" s="24" t="s">
        <v>22</v>
      </c>
      <c r="D49" s="25">
        <v>0</v>
      </c>
      <c r="E49" s="76">
        <v>0</v>
      </c>
      <c r="F49" s="76">
        <f t="shared" si="1"/>
        <v>0</v>
      </c>
    </row>
    <row r="50" spans="1:6" ht="15" customHeight="1" x14ac:dyDescent="0.3">
      <c r="A50" s="180"/>
      <c r="B50" s="176" t="s">
        <v>3</v>
      </c>
      <c r="C50" s="119" t="s">
        <v>21</v>
      </c>
      <c r="D50" s="120">
        <v>68079</v>
      </c>
      <c r="E50" s="120">
        <v>67343</v>
      </c>
      <c r="F50" s="121">
        <f t="shared" si="1"/>
        <v>135422</v>
      </c>
    </row>
    <row r="51" spans="1:6" ht="15" customHeight="1" x14ac:dyDescent="0.3">
      <c r="A51" s="180"/>
      <c r="B51" s="177"/>
      <c r="C51" s="24" t="s">
        <v>20</v>
      </c>
      <c r="D51" s="25">
        <v>67343</v>
      </c>
      <c r="E51" s="76">
        <v>68079</v>
      </c>
      <c r="F51" s="76">
        <f t="shared" si="1"/>
        <v>135422</v>
      </c>
    </row>
    <row r="52" spans="1:6" ht="15" customHeight="1" thickBot="1" x14ac:dyDescent="0.35">
      <c r="A52" s="181"/>
      <c r="B52" s="122" t="s">
        <v>106</v>
      </c>
      <c r="C52" s="123"/>
      <c r="D52" s="124">
        <f>SUM(D45:D51)</f>
        <v>2279069</v>
      </c>
      <c r="E52" s="124">
        <f>SUM(E45:E51)</f>
        <v>2281073</v>
      </c>
      <c r="F52" s="125">
        <f>SUM(F45:F51)</f>
        <v>4560142</v>
      </c>
    </row>
    <row r="53" spans="1:6" ht="15" customHeight="1" x14ac:dyDescent="0.3">
      <c r="A53" s="182">
        <v>2018</v>
      </c>
      <c r="B53" s="176" t="s">
        <v>4</v>
      </c>
      <c r="C53" s="20" t="s">
        <v>24</v>
      </c>
      <c r="D53" s="21">
        <v>200001</v>
      </c>
      <c r="E53" s="74">
        <v>201879</v>
      </c>
      <c r="F53" s="74">
        <f t="shared" ref="F53:F58" si="2">SUM(D53:E53)</f>
        <v>401880</v>
      </c>
    </row>
    <row r="54" spans="1:6" ht="15" customHeight="1" x14ac:dyDescent="0.3">
      <c r="A54" s="180"/>
      <c r="B54" s="177"/>
      <c r="C54" s="116" t="s">
        <v>4</v>
      </c>
      <c r="D54" s="117">
        <v>899563</v>
      </c>
      <c r="E54" s="118">
        <v>885838</v>
      </c>
      <c r="F54" s="118">
        <f t="shared" si="2"/>
        <v>1785401</v>
      </c>
    </row>
    <row r="55" spans="1:6" ht="15" customHeight="1" x14ac:dyDescent="0.3">
      <c r="A55" s="180"/>
      <c r="B55" s="177"/>
      <c r="C55" s="22" t="s">
        <v>23</v>
      </c>
      <c r="D55" s="23">
        <v>975275</v>
      </c>
      <c r="E55" s="75">
        <v>987691</v>
      </c>
      <c r="F55" s="75">
        <f t="shared" si="2"/>
        <v>1962966</v>
      </c>
    </row>
    <row r="56" spans="1:6" ht="15" customHeight="1" x14ac:dyDescent="0.3">
      <c r="A56" s="180"/>
      <c r="B56" s="177"/>
      <c r="C56" s="116" t="s">
        <v>10</v>
      </c>
      <c r="D56" s="117">
        <v>0</v>
      </c>
      <c r="E56" s="118">
        <v>0</v>
      </c>
      <c r="F56" s="118">
        <f t="shared" si="2"/>
        <v>0</v>
      </c>
    </row>
    <row r="57" spans="1:6" ht="15" customHeight="1" x14ac:dyDescent="0.3">
      <c r="A57" s="180"/>
      <c r="B57" s="178"/>
      <c r="C57" s="24" t="s">
        <v>22</v>
      </c>
      <c r="D57" s="25">
        <v>70621</v>
      </c>
      <c r="E57" s="76">
        <v>70581</v>
      </c>
      <c r="F57" s="76">
        <f t="shared" si="2"/>
        <v>141202</v>
      </c>
    </row>
    <row r="58" spans="1:6" ht="15" customHeight="1" x14ac:dyDescent="0.3">
      <c r="A58" s="180"/>
      <c r="B58" s="176" t="s">
        <v>3</v>
      </c>
      <c r="C58" s="119" t="s">
        <v>21</v>
      </c>
      <c r="D58" s="120">
        <v>70581</v>
      </c>
      <c r="E58" s="120">
        <v>70621</v>
      </c>
      <c r="F58" s="121">
        <f t="shared" si="2"/>
        <v>141202</v>
      </c>
    </row>
    <row r="59" spans="1:6" ht="15" customHeight="1" x14ac:dyDescent="0.3">
      <c r="A59" s="180"/>
      <c r="B59" s="177"/>
      <c r="C59" s="24" t="s">
        <v>20</v>
      </c>
      <c r="D59" s="25">
        <v>0</v>
      </c>
      <c r="E59" s="76">
        <v>0</v>
      </c>
      <c r="F59" s="76">
        <v>0</v>
      </c>
    </row>
    <row r="60" spans="1:6" ht="15" customHeight="1" thickBot="1" x14ac:dyDescent="0.35">
      <c r="A60" s="181"/>
      <c r="B60" s="122" t="s">
        <v>106</v>
      </c>
      <c r="C60" s="123"/>
      <c r="D60" s="124">
        <f>SUM(D53:D59)</f>
        <v>2216041</v>
      </c>
      <c r="E60" s="124">
        <f>SUM(E53:E59)</f>
        <v>2216610</v>
      </c>
      <c r="F60" s="125">
        <f>SUM(F53:F59)</f>
        <v>4432651</v>
      </c>
    </row>
    <row r="61" spans="1:6" ht="15" customHeight="1" x14ac:dyDescent="0.3">
      <c r="A61" s="182">
        <v>2017</v>
      </c>
      <c r="B61" s="176" t="s">
        <v>4</v>
      </c>
      <c r="C61" s="20" t="s">
        <v>24</v>
      </c>
      <c r="D61" s="21">
        <v>0</v>
      </c>
      <c r="E61" s="74">
        <v>0</v>
      </c>
      <c r="F61" s="74">
        <f>SUM(D61:E61)</f>
        <v>0</v>
      </c>
    </row>
    <row r="62" spans="1:6" ht="15" customHeight="1" x14ac:dyDescent="0.3">
      <c r="A62" s="180"/>
      <c r="B62" s="177"/>
      <c r="C62" s="116" t="s">
        <v>4</v>
      </c>
      <c r="D62" s="117">
        <v>211436</v>
      </c>
      <c r="E62" s="118">
        <v>206738</v>
      </c>
      <c r="F62" s="118">
        <f t="shared" ref="F62:F63" si="3">SUM(D62:E62)</f>
        <v>418174</v>
      </c>
    </row>
    <row r="63" spans="1:6" ht="15" customHeight="1" x14ac:dyDescent="0.3">
      <c r="A63" s="180"/>
      <c r="B63" s="177"/>
      <c r="C63" s="22" t="s">
        <v>23</v>
      </c>
      <c r="D63" s="23">
        <v>878332</v>
      </c>
      <c r="E63" s="75">
        <v>874752</v>
      </c>
      <c r="F63" s="75">
        <f t="shared" si="3"/>
        <v>1753084</v>
      </c>
    </row>
    <row r="64" spans="1:6" ht="15" customHeight="1" x14ac:dyDescent="0.3">
      <c r="A64" s="180"/>
      <c r="B64" s="177"/>
      <c r="C64" s="116" t="s">
        <v>10</v>
      </c>
      <c r="D64" s="117">
        <v>982481</v>
      </c>
      <c r="E64" s="118">
        <v>989459</v>
      </c>
      <c r="F64" s="118">
        <f>SUM(D64:E64)</f>
        <v>1971940</v>
      </c>
    </row>
    <row r="65" spans="1:6" ht="15" customHeight="1" x14ac:dyDescent="0.3">
      <c r="A65" s="180"/>
      <c r="B65" s="178"/>
      <c r="C65" s="24" t="s">
        <v>22</v>
      </c>
      <c r="D65" s="25">
        <v>0</v>
      </c>
      <c r="E65" s="76">
        <v>0</v>
      </c>
      <c r="F65" s="76">
        <f>SUM(D65:E65)</f>
        <v>0</v>
      </c>
    </row>
    <row r="66" spans="1:6" ht="15" customHeight="1" x14ac:dyDescent="0.3">
      <c r="A66" s="180"/>
      <c r="B66" s="176" t="s">
        <v>3</v>
      </c>
      <c r="C66" s="119" t="s">
        <v>21</v>
      </c>
      <c r="D66" s="120">
        <v>64137</v>
      </c>
      <c r="E66" s="120">
        <v>62238</v>
      </c>
      <c r="F66" s="121">
        <f>SUM(D66:E66)</f>
        <v>126375</v>
      </c>
    </row>
    <row r="67" spans="1:6" ht="15" customHeight="1" x14ac:dyDescent="0.3">
      <c r="A67" s="180"/>
      <c r="B67" s="177"/>
      <c r="C67" s="24" t="s">
        <v>20</v>
      </c>
      <c r="D67" s="25">
        <v>60482</v>
      </c>
      <c r="E67" s="76">
        <v>62266</v>
      </c>
      <c r="F67" s="76">
        <f>SUM(D67:E67)</f>
        <v>122748</v>
      </c>
    </row>
    <row r="68" spans="1:6" s="40" customFormat="1" ht="15" customHeight="1" thickBot="1" x14ac:dyDescent="0.35">
      <c r="A68" s="181"/>
      <c r="B68" s="122" t="s">
        <v>106</v>
      </c>
      <c r="C68" s="123"/>
      <c r="D68" s="124">
        <f>SUM(D61:D67)</f>
        <v>2196868</v>
      </c>
      <c r="E68" s="124">
        <f>SUM(E61:E67)</f>
        <v>2195453</v>
      </c>
      <c r="F68" s="125">
        <f>SUM(F61:F67)</f>
        <v>4392321</v>
      </c>
    </row>
    <row r="69" spans="1:6" ht="15" customHeight="1" x14ac:dyDescent="0.3">
      <c r="A69" s="182">
        <v>2016</v>
      </c>
      <c r="B69" s="176" t="s">
        <v>4</v>
      </c>
      <c r="C69" s="20" t="s">
        <v>24</v>
      </c>
      <c r="D69" s="21">
        <v>0</v>
      </c>
      <c r="E69" s="74">
        <v>0</v>
      </c>
      <c r="F69" s="74">
        <f>SUM(D69:E69)</f>
        <v>0</v>
      </c>
    </row>
    <row r="70" spans="1:6" ht="15" customHeight="1" x14ac:dyDescent="0.3">
      <c r="A70" s="180"/>
      <c r="B70" s="177"/>
      <c r="C70" s="116" t="s">
        <v>4</v>
      </c>
      <c r="D70" s="117">
        <v>222938</v>
      </c>
      <c r="E70" s="118">
        <v>229524</v>
      </c>
      <c r="F70" s="118">
        <f t="shared" ref="F70:F71" si="4">SUM(D70:E70)</f>
        <v>452462</v>
      </c>
    </row>
    <row r="71" spans="1:6" ht="15" customHeight="1" x14ac:dyDescent="0.3">
      <c r="A71" s="180"/>
      <c r="B71" s="177"/>
      <c r="C71" s="22" t="s">
        <v>23</v>
      </c>
      <c r="D71" s="23">
        <v>804483</v>
      </c>
      <c r="E71" s="75">
        <v>800297</v>
      </c>
      <c r="F71" s="75">
        <f t="shared" si="4"/>
        <v>1604780</v>
      </c>
    </row>
    <row r="72" spans="1:6" ht="15" customHeight="1" x14ac:dyDescent="0.3">
      <c r="A72" s="180"/>
      <c r="B72" s="177"/>
      <c r="C72" s="116" t="s">
        <v>10</v>
      </c>
      <c r="D72" s="117">
        <v>926823</v>
      </c>
      <c r="E72" s="118">
        <v>934393</v>
      </c>
      <c r="F72" s="118">
        <f>SUM(D72:E72)</f>
        <v>1861216</v>
      </c>
    </row>
    <row r="73" spans="1:6" ht="15" customHeight="1" x14ac:dyDescent="0.3">
      <c r="A73" s="180"/>
      <c r="B73" s="178"/>
      <c r="C73" s="24" t="s">
        <v>22</v>
      </c>
      <c r="D73" s="25">
        <v>0</v>
      </c>
      <c r="E73" s="76">
        <v>0</v>
      </c>
      <c r="F73" s="76">
        <f>SUM(D73:E73)</f>
        <v>0</v>
      </c>
    </row>
    <row r="74" spans="1:6" ht="15" customHeight="1" x14ac:dyDescent="0.3">
      <c r="A74" s="180"/>
      <c r="B74" s="176" t="s">
        <v>3</v>
      </c>
      <c r="C74" s="119" t="s">
        <v>21</v>
      </c>
      <c r="D74" s="120">
        <v>70954</v>
      </c>
      <c r="E74" s="120">
        <v>70158</v>
      </c>
      <c r="F74" s="121">
        <f>SUM(D74:E74)</f>
        <v>141112</v>
      </c>
    </row>
    <row r="75" spans="1:6" ht="15" customHeight="1" x14ac:dyDescent="0.3">
      <c r="A75" s="180"/>
      <c r="B75" s="177"/>
      <c r="C75" s="24" t="s">
        <v>20</v>
      </c>
      <c r="D75" s="25">
        <v>70158</v>
      </c>
      <c r="E75" s="76">
        <v>70954</v>
      </c>
      <c r="F75" s="76">
        <v>141112</v>
      </c>
    </row>
    <row r="76" spans="1:6" s="40" customFormat="1" ht="15" customHeight="1" thickBot="1" x14ac:dyDescent="0.35">
      <c r="A76" s="26"/>
      <c r="B76" s="122" t="s">
        <v>106</v>
      </c>
      <c r="C76" s="123"/>
      <c r="D76" s="124">
        <f>SUM(D69:D75)</f>
        <v>2095356</v>
      </c>
      <c r="E76" s="124">
        <f>SUM(E69:E75)</f>
        <v>2105326</v>
      </c>
      <c r="F76" s="125">
        <f>SUM(F69:F75)</f>
        <v>4200682</v>
      </c>
    </row>
    <row r="77" spans="1:6" s="40" customFormat="1" ht="15" customHeight="1" x14ac:dyDescent="0.3">
      <c r="A77" s="182">
        <v>2015</v>
      </c>
      <c r="B77" s="176" t="s">
        <v>4</v>
      </c>
      <c r="C77" s="20" t="s">
        <v>24</v>
      </c>
      <c r="D77" s="21">
        <v>0</v>
      </c>
      <c r="E77" s="74">
        <v>0</v>
      </c>
      <c r="F77" s="74">
        <f>SUM(D77:E77)</f>
        <v>0</v>
      </c>
    </row>
    <row r="78" spans="1:6" s="40" customFormat="1" ht="15" customHeight="1" x14ac:dyDescent="0.3">
      <c r="A78" s="180"/>
      <c r="B78" s="177"/>
      <c r="C78" s="116" t="s">
        <v>4</v>
      </c>
      <c r="D78" s="117">
        <v>240928</v>
      </c>
      <c r="E78" s="118">
        <v>199575</v>
      </c>
      <c r="F78" s="118">
        <f t="shared" ref="F78:F79" si="5">SUM(D78:E78)</f>
        <v>440503</v>
      </c>
    </row>
    <row r="79" spans="1:6" s="40" customFormat="1" ht="15" customHeight="1" x14ac:dyDescent="0.3">
      <c r="A79" s="180"/>
      <c r="B79" s="177"/>
      <c r="C79" s="22" t="s">
        <v>23</v>
      </c>
      <c r="D79" s="23">
        <v>762033</v>
      </c>
      <c r="E79" s="75">
        <v>719595</v>
      </c>
      <c r="F79" s="75">
        <f t="shared" si="5"/>
        <v>1481628</v>
      </c>
    </row>
    <row r="80" spans="1:6" s="40" customFormat="1" ht="15" customHeight="1" x14ac:dyDescent="0.3">
      <c r="A80" s="180"/>
      <c r="B80" s="177"/>
      <c r="C80" s="116" t="s">
        <v>10</v>
      </c>
      <c r="D80" s="117">
        <v>848465</v>
      </c>
      <c r="E80" s="118">
        <v>894101</v>
      </c>
      <c r="F80" s="118">
        <f>SUM(D80:E80)</f>
        <v>1742566</v>
      </c>
    </row>
    <row r="81" spans="1:6" s="40" customFormat="1" ht="15" customHeight="1" x14ac:dyDescent="0.3">
      <c r="A81" s="180"/>
      <c r="B81" s="178"/>
      <c r="C81" s="24" t="s">
        <v>22</v>
      </c>
      <c r="D81" s="25">
        <v>0</v>
      </c>
      <c r="E81" s="76">
        <v>0</v>
      </c>
      <c r="F81" s="76">
        <f>SUM(D81:E81)</f>
        <v>0</v>
      </c>
    </row>
    <row r="82" spans="1:6" s="40" customFormat="1" ht="15" customHeight="1" x14ac:dyDescent="0.3">
      <c r="A82" s="180"/>
      <c r="B82" s="176" t="s">
        <v>3</v>
      </c>
      <c r="C82" s="119" t="s">
        <v>21</v>
      </c>
      <c r="D82" s="120">
        <v>69151</v>
      </c>
      <c r="E82" s="120">
        <v>69518</v>
      </c>
      <c r="F82" s="121">
        <f>SUM(D82:E82)</f>
        <v>138669</v>
      </c>
    </row>
    <row r="83" spans="1:6" s="40" customFormat="1" ht="15" customHeight="1" x14ac:dyDescent="0.3">
      <c r="A83" s="180"/>
      <c r="B83" s="177"/>
      <c r="C83" s="24" t="s">
        <v>20</v>
      </c>
      <c r="D83" s="25">
        <v>69518</v>
      </c>
      <c r="E83" s="76">
        <v>69151</v>
      </c>
      <c r="F83" s="76">
        <v>138669</v>
      </c>
    </row>
    <row r="84" spans="1:6" s="40" customFormat="1" ht="15" customHeight="1" thickBot="1" x14ac:dyDescent="0.35">
      <c r="A84" s="181"/>
      <c r="B84" s="122" t="s">
        <v>106</v>
      </c>
      <c r="C84" s="123"/>
      <c r="D84" s="124">
        <f>SUM(D77:D83)</f>
        <v>1990095</v>
      </c>
      <c r="E84" s="124">
        <f>SUM(E77:E83)</f>
        <v>1951940</v>
      </c>
      <c r="F84" s="125">
        <f>SUM(F77:F83)</f>
        <v>3942035</v>
      </c>
    </row>
    <row r="85" spans="1:6" ht="15" customHeight="1" x14ac:dyDescent="0.3">
      <c r="A85" s="182">
        <v>2014</v>
      </c>
      <c r="B85" s="176" t="s">
        <v>4</v>
      </c>
      <c r="C85" s="20" t="s">
        <v>24</v>
      </c>
      <c r="D85" s="21">
        <v>0</v>
      </c>
      <c r="E85" s="74">
        <v>0</v>
      </c>
      <c r="F85" s="74">
        <f>SUM(D85:E85)</f>
        <v>0</v>
      </c>
    </row>
    <row r="86" spans="1:6" ht="15" customHeight="1" x14ac:dyDescent="0.3">
      <c r="A86" s="180"/>
      <c r="B86" s="177"/>
      <c r="C86" s="116" t="s">
        <v>4</v>
      </c>
      <c r="D86" s="117">
        <v>203760</v>
      </c>
      <c r="E86" s="118">
        <v>190031</v>
      </c>
      <c r="F86" s="118">
        <f t="shared" ref="F86:F87" si="6">SUM(D86:E86)</f>
        <v>393791</v>
      </c>
    </row>
    <row r="87" spans="1:6" ht="15" customHeight="1" x14ac:dyDescent="0.3">
      <c r="A87" s="180"/>
      <c r="B87" s="177"/>
      <c r="C87" s="22" t="s">
        <v>23</v>
      </c>
      <c r="D87" s="23">
        <v>730655</v>
      </c>
      <c r="E87" s="75">
        <v>701066</v>
      </c>
      <c r="F87" s="75">
        <f t="shared" si="6"/>
        <v>1431721</v>
      </c>
    </row>
    <row r="88" spans="1:6" ht="15" customHeight="1" x14ac:dyDescent="0.3">
      <c r="A88" s="180"/>
      <c r="B88" s="177"/>
      <c r="C88" s="116" t="s">
        <v>10</v>
      </c>
      <c r="D88" s="117">
        <v>836285</v>
      </c>
      <c r="E88" s="118">
        <v>736152</v>
      </c>
      <c r="F88" s="118">
        <f t="shared" ref="F88:F90" si="7">SUM(D88:E88)</f>
        <v>1572437</v>
      </c>
    </row>
    <row r="89" spans="1:6" ht="15" customHeight="1" x14ac:dyDescent="0.3">
      <c r="A89" s="180"/>
      <c r="B89" s="178"/>
      <c r="C89" s="24" t="s">
        <v>22</v>
      </c>
      <c r="D89" s="25">
        <v>0</v>
      </c>
      <c r="E89" s="76">
        <v>0</v>
      </c>
      <c r="F89" s="76">
        <f t="shared" si="7"/>
        <v>0</v>
      </c>
    </row>
    <row r="90" spans="1:6" ht="15" customHeight="1" x14ac:dyDescent="0.3">
      <c r="A90" s="180"/>
      <c r="B90" s="176" t="s">
        <v>3</v>
      </c>
      <c r="C90" s="119" t="s">
        <v>21</v>
      </c>
      <c r="D90" s="120">
        <v>70795</v>
      </c>
      <c r="E90" s="120">
        <v>70898</v>
      </c>
      <c r="F90" s="121">
        <f t="shared" si="7"/>
        <v>141693</v>
      </c>
    </row>
    <row r="91" spans="1:6" ht="15" customHeight="1" x14ac:dyDescent="0.3">
      <c r="A91" s="180"/>
      <c r="B91" s="177"/>
      <c r="C91" s="24" t="s">
        <v>20</v>
      </c>
      <c r="D91" s="25">
        <v>70898</v>
      </c>
      <c r="E91" s="76">
        <v>70795</v>
      </c>
      <c r="F91" s="76">
        <v>141693</v>
      </c>
    </row>
    <row r="92" spans="1:6" ht="15" customHeight="1" thickBot="1" x14ac:dyDescent="0.35">
      <c r="A92" s="181"/>
      <c r="B92" s="122" t="s">
        <v>106</v>
      </c>
      <c r="C92" s="123"/>
      <c r="D92" s="124">
        <f>SUM(D85:D91)</f>
        <v>1912393</v>
      </c>
      <c r="E92" s="124">
        <f>SUM(E85:E91)</f>
        <v>1768942</v>
      </c>
      <c r="F92" s="125">
        <f>SUM(F85:F91)</f>
        <v>3681335</v>
      </c>
    </row>
    <row r="93" spans="1:6" ht="15" customHeight="1" x14ac:dyDescent="0.3">
      <c r="A93" s="182">
        <v>2013</v>
      </c>
      <c r="B93" s="176" t="s">
        <v>4</v>
      </c>
      <c r="C93" s="20" t="s">
        <v>24</v>
      </c>
      <c r="D93" s="21">
        <v>0</v>
      </c>
      <c r="E93" s="74">
        <v>0</v>
      </c>
      <c r="F93" s="74">
        <f t="shared" ref="F93:F96" si="8">SUM(D93:E93)</f>
        <v>0</v>
      </c>
    </row>
    <row r="94" spans="1:6" ht="15" customHeight="1" x14ac:dyDescent="0.3">
      <c r="A94" s="180"/>
      <c r="B94" s="177"/>
      <c r="C94" s="116" t="s">
        <v>4</v>
      </c>
      <c r="D94" s="117">
        <v>191734</v>
      </c>
      <c r="E94" s="118">
        <v>188105</v>
      </c>
      <c r="F94" s="118">
        <f t="shared" si="8"/>
        <v>379839</v>
      </c>
    </row>
    <row r="95" spans="1:6" ht="15" customHeight="1" x14ac:dyDescent="0.3">
      <c r="A95" s="180"/>
      <c r="B95" s="177"/>
      <c r="C95" s="22" t="s">
        <v>23</v>
      </c>
      <c r="D95" s="23">
        <v>653772</v>
      </c>
      <c r="E95" s="75">
        <v>659429</v>
      </c>
      <c r="F95" s="75">
        <f t="shared" si="8"/>
        <v>1313201</v>
      </c>
    </row>
    <row r="96" spans="1:6" ht="15" customHeight="1" x14ac:dyDescent="0.3">
      <c r="A96" s="180"/>
      <c r="B96" s="177"/>
      <c r="C96" s="116" t="s">
        <v>10</v>
      </c>
      <c r="D96" s="117">
        <v>794046</v>
      </c>
      <c r="E96" s="118">
        <v>529135</v>
      </c>
      <c r="F96" s="118">
        <f t="shared" si="8"/>
        <v>1323181</v>
      </c>
    </row>
    <row r="97" spans="1:6" ht="15" customHeight="1" x14ac:dyDescent="0.3">
      <c r="A97" s="180"/>
      <c r="B97" s="178"/>
      <c r="C97" s="24" t="s">
        <v>22</v>
      </c>
      <c r="D97" s="25">
        <v>0</v>
      </c>
      <c r="E97" s="76">
        <v>0</v>
      </c>
      <c r="F97" s="76">
        <f>SUM(D97:E97)</f>
        <v>0</v>
      </c>
    </row>
    <row r="98" spans="1:6" ht="15" customHeight="1" x14ac:dyDescent="0.3">
      <c r="A98" s="180"/>
      <c r="B98" s="176" t="s">
        <v>3</v>
      </c>
      <c r="C98" s="119" t="s">
        <v>21</v>
      </c>
      <c r="D98" s="120">
        <v>68281</v>
      </c>
      <c r="E98" s="120">
        <v>68331</v>
      </c>
      <c r="F98" s="121">
        <f>SUM(D98:E98)</f>
        <v>136612</v>
      </c>
    </row>
    <row r="99" spans="1:6" ht="15" customHeight="1" x14ac:dyDescent="0.3">
      <c r="A99" s="180"/>
      <c r="B99" s="177"/>
      <c r="C99" s="24" t="s">
        <v>20</v>
      </c>
      <c r="D99" s="25">
        <v>68331</v>
      </c>
      <c r="E99" s="76">
        <v>68281</v>
      </c>
      <c r="F99" s="76">
        <v>136612</v>
      </c>
    </row>
    <row r="100" spans="1:6" ht="15" customHeight="1" thickBot="1" x14ac:dyDescent="0.35">
      <c r="A100" s="181"/>
      <c r="B100" s="122" t="s">
        <v>106</v>
      </c>
      <c r="C100" s="123"/>
      <c r="D100" s="124">
        <f>SUM(D93:D99)</f>
        <v>1776164</v>
      </c>
      <c r="E100" s="124">
        <f>SUM(E93:E99)</f>
        <v>1513281</v>
      </c>
      <c r="F100" s="125">
        <f>SUM(F93:F99)</f>
        <v>3289445</v>
      </c>
    </row>
    <row r="101" spans="1:6" ht="15" customHeight="1" x14ac:dyDescent="0.3">
      <c r="A101" s="126" t="s">
        <v>115</v>
      </c>
      <c r="B101" s="77"/>
      <c r="C101" s="77"/>
      <c r="D101" s="77"/>
    </row>
  </sheetData>
  <mergeCells count="37">
    <mergeCell ref="A5:A12"/>
    <mergeCell ref="B5:B9"/>
    <mergeCell ref="B10:B11"/>
    <mergeCell ref="A13:A20"/>
    <mergeCell ref="B13:B17"/>
    <mergeCell ref="B18:B19"/>
    <mergeCell ref="A21:A28"/>
    <mergeCell ref="B21:B25"/>
    <mergeCell ref="B26:B27"/>
    <mergeCell ref="A29:A36"/>
    <mergeCell ref="B29:B33"/>
    <mergeCell ref="B34:B35"/>
    <mergeCell ref="B50:B51"/>
    <mergeCell ref="A45:A52"/>
    <mergeCell ref="B42:B43"/>
    <mergeCell ref="B74:B75"/>
    <mergeCell ref="A69:A75"/>
    <mergeCell ref="A61:A68"/>
    <mergeCell ref="B58:B59"/>
    <mergeCell ref="A53:A60"/>
    <mergeCell ref="B66:B67"/>
    <mergeCell ref="A2:F2"/>
    <mergeCell ref="B53:B57"/>
    <mergeCell ref="B61:B65"/>
    <mergeCell ref="B93:B97"/>
    <mergeCell ref="B85:B89"/>
    <mergeCell ref="B77:B81"/>
    <mergeCell ref="B69:B73"/>
    <mergeCell ref="B45:B49"/>
    <mergeCell ref="A37:A44"/>
    <mergeCell ref="B37:B41"/>
    <mergeCell ref="A93:A100"/>
    <mergeCell ref="B98:B99"/>
    <mergeCell ref="B90:B91"/>
    <mergeCell ref="A85:A92"/>
    <mergeCell ref="B82:B83"/>
    <mergeCell ref="A77:A84"/>
  </mergeCells>
  <pageMargins left="0.70866141732283472" right="0.70866141732283472" top="0.74803149606299213" bottom="0.74803149606299213" header="0.31496062992125984" footer="0.31496062992125984"/>
  <pageSetup paperSize="9" scale="71" orientation="landscape" r:id="rId1"/>
  <headerFooter>
    <oddHeader>&amp;R&amp;G</oddHeader>
    <oddFooter>&amp;L&amp;F&amp;C&amp;P / &amp;N&amp;R&amp;A</oddFooter>
  </headerFooter>
  <colBreaks count="1" manualBreakCount="1">
    <brk id="6" max="1048575" man="1"/>
  </colBreaks>
  <ignoredErrors>
    <ignoredError sqref="F68 F44" formula="1"/>
    <ignoredError sqref="D60:E60 D52:F52"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sheetPr>
  <dimension ref="A3:O11"/>
  <sheetViews>
    <sheetView showGridLines="0" zoomScaleNormal="100" workbookViewId="0">
      <pane xSplit="1" topLeftCell="B1" activePane="topRight" state="frozen"/>
      <selection pane="topRight" activeCell="N13" sqref="N13"/>
    </sheetView>
  </sheetViews>
  <sheetFormatPr defaultRowHeight="15" customHeight="1" x14ac:dyDescent="0.3"/>
  <cols>
    <col min="1" max="1" width="18.44140625" style="12" customWidth="1"/>
    <col min="2" max="2" width="10.77734375" style="12" customWidth="1"/>
    <col min="3" max="16384" width="8.88671875" style="12"/>
  </cols>
  <sheetData>
    <row r="3" spans="1:15" ht="15" customHeight="1" x14ac:dyDescent="0.3">
      <c r="A3" s="188" t="s">
        <v>148</v>
      </c>
      <c r="B3" s="188"/>
      <c r="C3" s="188"/>
      <c r="D3" s="188"/>
      <c r="E3" s="188"/>
      <c r="F3" s="188"/>
      <c r="G3" s="188"/>
      <c r="H3" s="188"/>
      <c r="I3" s="188"/>
      <c r="J3" s="188"/>
      <c r="K3" s="188"/>
      <c r="L3" s="188"/>
      <c r="M3" s="188"/>
      <c r="N3" s="188"/>
      <c r="O3" s="188"/>
    </row>
    <row r="4" spans="1:15" ht="15" customHeight="1" x14ac:dyDescent="0.3">
      <c r="A4" s="15" t="s">
        <v>18</v>
      </c>
      <c r="B4" s="15"/>
      <c r="C4" s="16">
        <v>2013</v>
      </c>
      <c r="D4" s="16">
        <v>2014</v>
      </c>
      <c r="E4" s="16">
        <v>2015</v>
      </c>
      <c r="F4" s="16">
        <v>2016</v>
      </c>
      <c r="G4" s="16">
        <v>2017</v>
      </c>
      <c r="H4" s="16">
        <v>2018</v>
      </c>
      <c r="I4" s="16">
        <v>2019</v>
      </c>
      <c r="J4" s="16">
        <v>2020</v>
      </c>
      <c r="K4" s="16">
        <v>2021</v>
      </c>
      <c r="L4" s="16">
        <v>2022</v>
      </c>
      <c r="M4" s="16">
        <v>2023</v>
      </c>
      <c r="N4" s="16">
        <v>2024</v>
      </c>
      <c r="O4" s="16">
        <v>2025</v>
      </c>
    </row>
    <row r="5" spans="1:15" ht="15" customHeight="1" x14ac:dyDescent="0.3">
      <c r="A5" s="183" t="s">
        <v>4</v>
      </c>
      <c r="B5" s="17" t="s">
        <v>80</v>
      </c>
      <c r="C5" s="129">
        <v>14</v>
      </c>
      <c r="D5" s="129">
        <v>26</v>
      </c>
      <c r="E5" s="18">
        <v>22</v>
      </c>
      <c r="F5" s="18">
        <v>19</v>
      </c>
      <c r="G5" s="18">
        <v>6</v>
      </c>
      <c r="H5" s="18">
        <v>5</v>
      </c>
      <c r="I5" s="18">
        <v>7</v>
      </c>
      <c r="J5" s="18">
        <v>1</v>
      </c>
      <c r="K5" s="18">
        <v>3</v>
      </c>
      <c r="L5" s="18">
        <v>35</v>
      </c>
      <c r="M5" s="18">
        <v>36</v>
      </c>
      <c r="N5" s="18">
        <v>28</v>
      </c>
      <c r="O5" s="18">
        <v>43</v>
      </c>
    </row>
    <row r="6" spans="1:15" ht="15" customHeight="1" x14ac:dyDescent="0.3">
      <c r="A6" s="184"/>
      <c r="B6" s="130" t="s">
        <v>81</v>
      </c>
      <c r="C6" s="131">
        <v>6995</v>
      </c>
      <c r="D6" s="131">
        <v>13087</v>
      </c>
      <c r="E6" s="131">
        <v>12783</v>
      </c>
      <c r="F6" s="131">
        <v>6042</v>
      </c>
      <c r="G6" s="131">
        <v>3226</v>
      </c>
      <c r="H6" s="131">
        <v>1954</v>
      </c>
      <c r="I6" s="131">
        <v>2699</v>
      </c>
      <c r="J6" s="131">
        <v>45</v>
      </c>
      <c r="K6" s="131">
        <v>938</v>
      </c>
      <c r="L6" s="131">
        <v>13315</v>
      </c>
      <c r="M6" s="131">
        <v>21052</v>
      </c>
      <c r="N6" s="131">
        <v>43538</v>
      </c>
      <c r="O6" s="131">
        <v>47277</v>
      </c>
    </row>
    <row r="7" spans="1:15" ht="15" customHeight="1" x14ac:dyDescent="0.3">
      <c r="A7" s="185" t="s">
        <v>20</v>
      </c>
      <c r="B7" s="132" t="s">
        <v>80</v>
      </c>
      <c r="C7" s="133">
        <v>1</v>
      </c>
      <c r="D7" s="133">
        <v>0</v>
      </c>
      <c r="E7" s="134">
        <v>1</v>
      </c>
      <c r="F7" s="134">
        <v>0</v>
      </c>
      <c r="G7" s="134">
        <v>0</v>
      </c>
      <c r="H7" s="134">
        <v>2</v>
      </c>
      <c r="I7" s="134">
        <v>0</v>
      </c>
      <c r="J7" s="134">
        <v>0</v>
      </c>
      <c r="K7" s="134">
        <v>0</v>
      </c>
      <c r="L7" s="134">
        <v>0</v>
      </c>
      <c r="M7" s="134">
        <v>0</v>
      </c>
      <c r="N7" s="134">
        <v>0</v>
      </c>
      <c r="O7" s="134">
        <v>0</v>
      </c>
    </row>
    <row r="8" spans="1:15" ht="15" customHeight="1" x14ac:dyDescent="0.3">
      <c r="A8" s="186"/>
      <c r="B8" s="135" t="s">
        <v>81</v>
      </c>
      <c r="C8" s="136">
        <v>474</v>
      </c>
      <c r="D8" s="136">
        <v>0</v>
      </c>
      <c r="E8" s="136">
        <v>278</v>
      </c>
      <c r="F8" s="136">
        <v>0</v>
      </c>
      <c r="G8" s="136">
        <v>0</v>
      </c>
      <c r="H8" s="136">
        <v>584</v>
      </c>
      <c r="I8" s="136">
        <v>0</v>
      </c>
      <c r="J8" s="136">
        <v>0</v>
      </c>
      <c r="K8" s="136">
        <v>0</v>
      </c>
      <c r="L8" s="136">
        <v>0</v>
      </c>
      <c r="M8" s="136">
        <v>0</v>
      </c>
      <c r="N8" s="136">
        <v>0</v>
      </c>
      <c r="O8" s="136">
        <v>0</v>
      </c>
    </row>
    <row r="9" spans="1:15" ht="15" customHeight="1" x14ac:dyDescent="0.3">
      <c r="A9" s="187" t="s">
        <v>106</v>
      </c>
      <c r="B9" s="127" t="s">
        <v>80</v>
      </c>
      <c r="C9" s="128">
        <f>C5+C7</f>
        <v>15</v>
      </c>
      <c r="D9" s="128">
        <f t="shared" ref="D9:K10" si="0">D5+D7</f>
        <v>26</v>
      </c>
      <c r="E9" s="128">
        <f t="shared" si="0"/>
        <v>23</v>
      </c>
      <c r="F9" s="128">
        <f t="shared" si="0"/>
        <v>19</v>
      </c>
      <c r="G9" s="128">
        <f t="shared" si="0"/>
        <v>6</v>
      </c>
      <c r="H9" s="128">
        <f t="shared" si="0"/>
        <v>7</v>
      </c>
      <c r="I9" s="128">
        <f t="shared" si="0"/>
        <v>7</v>
      </c>
      <c r="J9" s="128">
        <f t="shared" si="0"/>
        <v>1</v>
      </c>
      <c r="K9" s="128">
        <f t="shared" si="0"/>
        <v>3</v>
      </c>
      <c r="L9" s="128">
        <f t="shared" ref="L9:M9" si="1">L5+L7</f>
        <v>35</v>
      </c>
      <c r="M9" s="128">
        <f t="shared" si="1"/>
        <v>36</v>
      </c>
      <c r="N9" s="128">
        <f t="shared" ref="N9:O9" si="2">N5+N7</f>
        <v>28</v>
      </c>
      <c r="O9" s="128">
        <f t="shared" si="2"/>
        <v>43</v>
      </c>
    </row>
    <row r="10" spans="1:15" ht="15" customHeight="1" x14ac:dyDescent="0.3">
      <c r="A10" s="187"/>
      <c r="B10" s="128" t="s">
        <v>81</v>
      </c>
      <c r="C10" s="128">
        <f>C6+C8</f>
        <v>7469</v>
      </c>
      <c r="D10" s="128">
        <f t="shared" si="0"/>
        <v>13087</v>
      </c>
      <c r="E10" s="128">
        <f t="shared" si="0"/>
        <v>13061</v>
      </c>
      <c r="F10" s="128">
        <f t="shared" si="0"/>
        <v>6042</v>
      </c>
      <c r="G10" s="128">
        <f t="shared" si="0"/>
        <v>3226</v>
      </c>
      <c r="H10" s="128">
        <f t="shared" si="0"/>
        <v>2538</v>
      </c>
      <c r="I10" s="128">
        <f t="shared" si="0"/>
        <v>2699</v>
      </c>
      <c r="J10" s="128">
        <f t="shared" si="0"/>
        <v>45</v>
      </c>
      <c r="K10" s="128">
        <f t="shared" si="0"/>
        <v>938</v>
      </c>
      <c r="L10" s="128">
        <f t="shared" ref="L10:M10" si="3">L6+L8</f>
        <v>13315</v>
      </c>
      <c r="M10" s="128">
        <f t="shared" si="3"/>
        <v>21052</v>
      </c>
      <c r="N10" s="128">
        <f t="shared" ref="N10:O10" si="4">N6+N8</f>
        <v>43538</v>
      </c>
      <c r="O10" s="128">
        <f t="shared" si="4"/>
        <v>47277</v>
      </c>
    </row>
    <row r="11" spans="1:15" ht="15" customHeight="1" x14ac:dyDescent="0.3">
      <c r="A11" s="19" t="s">
        <v>105</v>
      </c>
      <c r="B11" s="19"/>
      <c r="C11" s="19"/>
      <c r="D11" s="19"/>
    </row>
  </sheetData>
  <mergeCells count="4">
    <mergeCell ref="A5:A6"/>
    <mergeCell ref="A7:A8"/>
    <mergeCell ref="A9:A10"/>
    <mergeCell ref="A3:O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3:S19"/>
  <sheetViews>
    <sheetView showGridLines="0" zoomScaleNormal="100" workbookViewId="0">
      <pane xSplit="1" topLeftCell="B1" activePane="topRight" state="frozen"/>
      <selection activeCell="A4" sqref="A4:XFD4"/>
      <selection pane="topRight" activeCell="R5" sqref="R5:R18"/>
    </sheetView>
  </sheetViews>
  <sheetFormatPr defaultRowHeight="15" customHeight="1" x14ac:dyDescent="0.3"/>
  <cols>
    <col min="1" max="1" width="15.88671875" style="12" customWidth="1"/>
    <col min="2" max="2" width="17.33203125" style="12" bestFit="1" customWidth="1"/>
    <col min="3" max="8" width="8.33203125" style="12" bestFit="1" customWidth="1"/>
    <col min="9" max="13" width="9.109375" style="12" bestFit="1" customWidth="1"/>
    <col min="14" max="18" width="9.109375" style="12" customWidth="1"/>
    <col min="19" max="16384" width="8.88671875" style="12"/>
  </cols>
  <sheetData>
    <row r="3" spans="1:19" ht="15" customHeight="1" x14ac:dyDescent="0.3">
      <c r="A3" s="146" t="s">
        <v>151</v>
      </c>
      <c r="B3" s="146"/>
      <c r="C3" s="146"/>
      <c r="D3" s="146"/>
      <c r="E3" s="146"/>
      <c r="F3" s="146"/>
      <c r="G3" s="146"/>
      <c r="H3" s="146"/>
      <c r="I3" s="146"/>
      <c r="J3" s="146"/>
      <c r="K3" s="146"/>
      <c r="L3" s="146"/>
      <c r="M3" s="146"/>
      <c r="N3" s="146"/>
      <c r="O3" s="146"/>
      <c r="P3" s="146"/>
      <c r="Q3" s="146"/>
      <c r="R3" s="146"/>
    </row>
    <row r="4" spans="1:19" ht="15" customHeight="1" x14ac:dyDescent="0.3">
      <c r="A4" s="91" t="s">
        <v>103</v>
      </c>
      <c r="B4" s="92"/>
      <c r="C4" s="93">
        <v>2010</v>
      </c>
      <c r="D4" s="93">
        <v>2011</v>
      </c>
      <c r="E4" s="93">
        <v>2012</v>
      </c>
      <c r="F4" s="93">
        <v>2013</v>
      </c>
      <c r="G4" s="93">
        <v>2014</v>
      </c>
      <c r="H4" s="93">
        <v>2015</v>
      </c>
      <c r="I4" s="93">
        <v>2016</v>
      </c>
      <c r="J4" s="93">
        <v>2017</v>
      </c>
      <c r="K4" s="93">
        <v>2018</v>
      </c>
      <c r="L4" s="93">
        <v>2019</v>
      </c>
      <c r="M4" s="93">
        <v>2020</v>
      </c>
      <c r="N4" s="93">
        <v>2021</v>
      </c>
      <c r="O4" s="93">
        <v>2022</v>
      </c>
      <c r="P4" s="93">
        <v>2023</v>
      </c>
      <c r="Q4" s="93">
        <v>2024</v>
      </c>
      <c r="R4" s="93">
        <v>2025</v>
      </c>
      <c r="S4" s="73"/>
    </row>
    <row r="5" spans="1:19" ht="15" customHeight="1" x14ac:dyDescent="0.3">
      <c r="A5" s="147" t="s">
        <v>2</v>
      </c>
      <c r="B5" s="10" t="s">
        <v>11</v>
      </c>
      <c r="C5" s="11">
        <v>2126</v>
      </c>
      <c r="D5" s="11">
        <v>2670</v>
      </c>
      <c r="E5" s="11">
        <v>2651</v>
      </c>
      <c r="F5" s="11">
        <v>2774</v>
      </c>
      <c r="G5" s="11">
        <v>2258</v>
      </c>
      <c r="H5" s="11">
        <v>1703</v>
      </c>
      <c r="I5" s="11">
        <v>1018</v>
      </c>
      <c r="J5" s="11">
        <v>1526</v>
      </c>
      <c r="K5" s="11">
        <v>2039</v>
      </c>
      <c r="L5" s="11">
        <v>1536</v>
      </c>
      <c r="M5" s="11">
        <v>489</v>
      </c>
      <c r="N5" s="11">
        <v>895</v>
      </c>
      <c r="O5" s="11">
        <v>1719</v>
      </c>
      <c r="P5" s="11">
        <v>2525</v>
      </c>
      <c r="Q5" s="11">
        <v>3729</v>
      </c>
      <c r="R5" s="11">
        <v>4373</v>
      </c>
    </row>
    <row r="6" spans="1:19" ht="15" customHeight="1" x14ac:dyDescent="0.3">
      <c r="A6" s="147"/>
      <c r="B6" s="10" t="s">
        <v>99</v>
      </c>
      <c r="C6" s="11">
        <v>0</v>
      </c>
      <c r="D6" s="11">
        <v>0</v>
      </c>
      <c r="E6" s="11">
        <v>0</v>
      </c>
      <c r="F6" s="11">
        <v>0</v>
      </c>
      <c r="G6" s="11">
        <v>0</v>
      </c>
      <c r="H6" s="11">
        <v>0</v>
      </c>
      <c r="I6" s="11">
        <v>0</v>
      </c>
      <c r="J6" s="11">
        <v>0</v>
      </c>
      <c r="K6" s="11">
        <v>0</v>
      </c>
      <c r="L6" s="11">
        <v>0</v>
      </c>
      <c r="M6" s="11">
        <v>0</v>
      </c>
      <c r="N6" s="11">
        <v>0</v>
      </c>
      <c r="O6" s="11">
        <v>0</v>
      </c>
      <c r="P6" s="11">
        <v>0</v>
      </c>
      <c r="Q6" s="11">
        <v>0</v>
      </c>
      <c r="R6" s="11">
        <v>0</v>
      </c>
    </row>
    <row r="7" spans="1:19" ht="15" customHeight="1" x14ac:dyDescent="0.3">
      <c r="A7" s="148" t="s">
        <v>3</v>
      </c>
      <c r="B7" s="12" t="s">
        <v>11</v>
      </c>
      <c r="C7" s="13">
        <v>6095</v>
      </c>
      <c r="D7" s="13">
        <v>6415</v>
      </c>
      <c r="E7" s="13">
        <v>5383</v>
      </c>
      <c r="F7" s="13">
        <v>6032</v>
      </c>
      <c r="G7" s="13">
        <v>8360</v>
      </c>
      <c r="H7" s="13">
        <v>0</v>
      </c>
      <c r="I7" s="13">
        <v>0</v>
      </c>
      <c r="J7" s="13">
        <v>2438</v>
      </c>
      <c r="K7" s="13">
        <v>1345</v>
      </c>
      <c r="L7" s="13">
        <v>1788</v>
      </c>
      <c r="M7" s="13">
        <v>248</v>
      </c>
      <c r="N7" s="13">
        <v>827</v>
      </c>
      <c r="O7" s="13">
        <v>8262</v>
      </c>
      <c r="P7" s="13">
        <v>9708</v>
      </c>
      <c r="Q7" s="13">
        <v>20880</v>
      </c>
      <c r="R7" s="13">
        <v>27954</v>
      </c>
    </row>
    <row r="8" spans="1:19" ht="15" customHeight="1" x14ac:dyDescent="0.3">
      <c r="A8" s="148"/>
      <c r="B8" s="12" t="s">
        <v>99</v>
      </c>
      <c r="C8" s="13">
        <v>5571</v>
      </c>
      <c r="D8" s="13">
        <v>4337</v>
      </c>
      <c r="E8" s="13">
        <v>11103</v>
      </c>
      <c r="F8" s="13">
        <v>15871</v>
      </c>
      <c r="G8" s="13">
        <v>13231</v>
      </c>
      <c r="H8" s="13">
        <v>13609</v>
      </c>
      <c r="I8" s="13">
        <v>12285</v>
      </c>
      <c r="J8" s="13">
        <v>12643</v>
      </c>
      <c r="K8" s="13">
        <v>12555</v>
      </c>
      <c r="L8" s="13">
        <v>16622</v>
      </c>
      <c r="M8" s="13">
        <v>7237</v>
      </c>
      <c r="N8" s="13">
        <v>11643</v>
      </c>
      <c r="O8" s="13">
        <v>21289</v>
      </c>
      <c r="P8" s="13">
        <v>20325</v>
      </c>
      <c r="Q8" s="13">
        <v>13515</v>
      </c>
      <c r="R8" s="13">
        <v>5468</v>
      </c>
    </row>
    <row r="9" spans="1:19" ht="15" customHeight="1" x14ac:dyDescent="0.3">
      <c r="A9" s="147" t="s">
        <v>10</v>
      </c>
      <c r="B9" s="10" t="s">
        <v>11</v>
      </c>
      <c r="C9" s="11">
        <v>12152</v>
      </c>
      <c r="D9" s="11">
        <v>11548</v>
      </c>
      <c r="E9" s="11">
        <v>12680</v>
      </c>
      <c r="F9" s="11">
        <v>13420</v>
      </c>
      <c r="G9" s="11">
        <v>16529</v>
      </c>
      <c r="H9" s="11">
        <v>17103</v>
      </c>
      <c r="I9" s="11">
        <v>15609</v>
      </c>
      <c r="J9" s="11">
        <v>21652</v>
      </c>
      <c r="K9" s="11">
        <v>26776</v>
      </c>
      <c r="L9" s="11">
        <v>20265</v>
      </c>
      <c r="M9" s="11">
        <v>4316</v>
      </c>
      <c r="N9" s="11">
        <v>10392</v>
      </c>
      <c r="O9" s="11">
        <v>20662</v>
      </c>
      <c r="P9" s="11">
        <v>21828</v>
      </c>
      <c r="Q9" s="11">
        <v>20093</v>
      </c>
      <c r="R9" s="11">
        <v>15307</v>
      </c>
    </row>
    <row r="10" spans="1:19" ht="15" customHeight="1" x14ac:dyDescent="0.3">
      <c r="A10" s="147"/>
      <c r="B10" s="10" t="s">
        <v>99</v>
      </c>
      <c r="C10" s="11">
        <v>0</v>
      </c>
      <c r="D10" s="11">
        <v>0</v>
      </c>
      <c r="E10" s="11">
        <v>0</v>
      </c>
      <c r="F10" s="11">
        <v>0</v>
      </c>
      <c r="G10" s="11">
        <v>0</v>
      </c>
      <c r="H10" s="11">
        <v>0</v>
      </c>
      <c r="I10" s="11">
        <v>0</v>
      </c>
      <c r="J10" s="11">
        <v>0</v>
      </c>
      <c r="K10" s="11">
        <v>0</v>
      </c>
      <c r="L10" s="11">
        <v>0</v>
      </c>
      <c r="M10" s="11">
        <v>0</v>
      </c>
      <c r="N10" s="11">
        <v>0</v>
      </c>
      <c r="O10" s="11">
        <v>0</v>
      </c>
      <c r="P10" s="11">
        <v>0</v>
      </c>
      <c r="Q10" s="11">
        <v>0</v>
      </c>
      <c r="R10" s="11"/>
    </row>
    <row r="11" spans="1:19" ht="15" customHeight="1" x14ac:dyDescent="0.3">
      <c r="A11" s="148" t="s">
        <v>4</v>
      </c>
      <c r="B11" s="12" t="s">
        <v>11</v>
      </c>
      <c r="C11" s="13">
        <v>2369</v>
      </c>
      <c r="D11" s="13">
        <v>2556</v>
      </c>
      <c r="E11" s="13">
        <v>3703</v>
      </c>
      <c r="F11" s="13">
        <v>3903</v>
      </c>
      <c r="G11" s="13">
        <v>5543</v>
      </c>
      <c r="H11" s="13">
        <v>6399</v>
      </c>
      <c r="I11" s="13">
        <v>5016</v>
      </c>
      <c r="J11" s="13">
        <v>6988</v>
      </c>
      <c r="K11" s="13">
        <v>8607</v>
      </c>
      <c r="L11" s="13">
        <v>13444</v>
      </c>
      <c r="M11" s="13">
        <v>5053</v>
      </c>
      <c r="N11" s="13">
        <v>4115</v>
      </c>
      <c r="O11" s="13">
        <v>9164</v>
      </c>
      <c r="P11" s="13">
        <v>12837</v>
      </c>
      <c r="Q11" s="13">
        <v>15592</v>
      </c>
      <c r="R11" s="13">
        <v>19407</v>
      </c>
    </row>
    <row r="12" spans="1:19" ht="15" customHeight="1" x14ac:dyDescent="0.3">
      <c r="A12" s="148"/>
      <c r="B12" s="12" t="s">
        <v>99</v>
      </c>
      <c r="C12" s="13">
        <v>32200</v>
      </c>
      <c r="D12" s="13">
        <v>29166</v>
      </c>
      <c r="E12" s="13">
        <v>27744</v>
      </c>
      <c r="F12" s="13">
        <v>36619</v>
      </c>
      <c r="G12" s="13">
        <v>48380</v>
      </c>
      <c r="H12" s="13">
        <v>47810</v>
      </c>
      <c r="I12" s="13">
        <v>45925</v>
      </c>
      <c r="J12" s="13">
        <v>48962</v>
      </c>
      <c r="K12" s="13">
        <v>58370</v>
      </c>
      <c r="L12" s="13">
        <v>60475</v>
      </c>
      <c r="M12" s="13">
        <v>9794</v>
      </c>
      <c r="N12" s="13">
        <v>16564</v>
      </c>
      <c r="O12" s="13">
        <v>59891</v>
      </c>
      <c r="P12" s="13">
        <v>73366</v>
      </c>
      <c r="Q12" s="13">
        <v>100587</v>
      </c>
      <c r="R12" s="13">
        <v>106601</v>
      </c>
    </row>
    <row r="13" spans="1:19" ht="15" customHeight="1" x14ac:dyDescent="0.3">
      <c r="A13" s="147" t="s">
        <v>5</v>
      </c>
      <c r="B13" s="10" t="s">
        <v>11</v>
      </c>
      <c r="C13" s="11">
        <v>0</v>
      </c>
      <c r="D13" s="11">
        <v>0</v>
      </c>
      <c r="E13" s="11">
        <v>0</v>
      </c>
      <c r="F13" s="11">
        <v>0</v>
      </c>
      <c r="G13" s="11">
        <v>363</v>
      </c>
      <c r="H13" s="11">
        <v>8350</v>
      </c>
      <c r="I13" s="11">
        <v>8030</v>
      </c>
      <c r="J13" s="11">
        <v>7563</v>
      </c>
      <c r="K13" s="11">
        <v>7673</v>
      </c>
      <c r="L13" s="11">
        <v>9094</v>
      </c>
      <c r="M13" s="11">
        <v>0</v>
      </c>
      <c r="N13" s="11">
        <v>0</v>
      </c>
      <c r="O13" s="11">
        <v>0</v>
      </c>
      <c r="P13" s="11">
        <v>0</v>
      </c>
      <c r="Q13" s="11">
        <v>0</v>
      </c>
      <c r="R13" s="11">
        <v>3307</v>
      </c>
    </row>
    <row r="14" spans="1:19" ht="15" customHeight="1" x14ac:dyDescent="0.3">
      <c r="A14" s="147"/>
      <c r="B14" s="10" t="s">
        <v>99</v>
      </c>
      <c r="C14" s="11">
        <v>0</v>
      </c>
      <c r="D14" s="11">
        <v>0</v>
      </c>
      <c r="E14" s="11">
        <v>0</v>
      </c>
      <c r="F14" s="11">
        <v>0</v>
      </c>
      <c r="G14" s="11">
        <v>0</v>
      </c>
      <c r="H14" s="11">
        <v>0</v>
      </c>
      <c r="I14" s="11">
        <v>0</v>
      </c>
      <c r="J14" s="11">
        <v>0</v>
      </c>
      <c r="K14" s="11">
        <v>0</v>
      </c>
      <c r="L14" s="11">
        <v>0</v>
      </c>
      <c r="M14" s="11">
        <v>2040</v>
      </c>
      <c r="N14" s="11">
        <v>2346</v>
      </c>
      <c r="O14" s="11">
        <v>6496</v>
      </c>
      <c r="P14" s="11">
        <v>7610</v>
      </c>
      <c r="Q14" s="11">
        <v>7957</v>
      </c>
      <c r="R14" s="11">
        <v>5895</v>
      </c>
    </row>
    <row r="15" spans="1:19" ht="15" customHeight="1" x14ac:dyDescent="0.3">
      <c r="A15" s="189" t="s">
        <v>6</v>
      </c>
      <c r="B15" s="12" t="s">
        <v>11</v>
      </c>
      <c r="C15" s="14">
        <v>0</v>
      </c>
      <c r="D15" s="14">
        <v>0</v>
      </c>
      <c r="E15" s="14">
        <v>868</v>
      </c>
      <c r="F15" s="14">
        <v>6240</v>
      </c>
      <c r="G15" s="14">
        <v>7541</v>
      </c>
      <c r="H15" s="14">
        <v>7947</v>
      </c>
      <c r="I15" s="14">
        <v>5364</v>
      </c>
      <c r="J15" s="14">
        <v>5773</v>
      </c>
      <c r="K15" s="14">
        <v>4624</v>
      </c>
      <c r="L15" s="14">
        <v>4572</v>
      </c>
      <c r="M15" s="14">
        <v>649</v>
      </c>
      <c r="N15" s="14">
        <v>1194</v>
      </c>
      <c r="O15" s="14">
        <v>3157</v>
      </c>
      <c r="P15" s="14">
        <v>3890</v>
      </c>
      <c r="Q15" s="14">
        <v>4214</v>
      </c>
      <c r="R15" s="14">
        <v>5412</v>
      </c>
    </row>
    <row r="16" spans="1:19" ht="15" customHeight="1" x14ac:dyDescent="0.3">
      <c r="A16" s="189"/>
      <c r="B16" s="12" t="s">
        <v>99</v>
      </c>
      <c r="C16" s="14">
        <v>0</v>
      </c>
      <c r="D16" s="14">
        <v>0</v>
      </c>
      <c r="E16" s="14">
        <v>0</v>
      </c>
      <c r="F16" s="14">
        <v>574</v>
      </c>
      <c r="G16" s="14">
        <v>575</v>
      </c>
      <c r="H16" s="14">
        <v>1790</v>
      </c>
      <c r="I16" s="14">
        <v>1423</v>
      </c>
      <c r="J16" s="14">
        <v>1608</v>
      </c>
      <c r="K16" s="14">
        <v>2013</v>
      </c>
      <c r="L16" s="14">
        <v>1541</v>
      </c>
      <c r="M16" s="14">
        <v>809</v>
      </c>
      <c r="N16" s="14">
        <v>785</v>
      </c>
      <c r="O16" s="14">
        <v>2260</v>
      </c>
      <c r="P16" s="14">
        <v>1935</v>
      </c>
      <c r="Q16" s="14">
        <v>2640</v>
      </c>
      <c r="R16" s="14">
        <v>3022</v>
      </c>
    </row>
    <row r="17" spans="1:18" ht="15" customHeight="1" x14ac:dyDescent="0.3">
      <c r="A17" s="149" t="s">
        <v>1</v>
      </c>
      <c r="B17" s="109" t="s">
        <v>11</v>
      </c>
      <c r="C17" s="114">
        <f>C5+C7+C9+C11+C13+C15</f>
        <v>22742</v>
      </c>
      <c r="D17" s="114">
        <f t="shared" ref="D17:I18" si="0">D5+D7+D9+D11+D13+D15</f>
        <v>23189</v>
      </c>
      <c r="E17" s="114">
        <f t="shared" si="0"/>
        <v>25285</v>
      </c>
      <c r="F17" s="114">
        <f t="shared" si="0"/>
        <v>32369</v>
      </c>
      <c r="G17" s="114">
        <f t="shared" si="0"/>
        <v>40594</v>
      </c>
      <c r="H17" s="114">
        <f t="shared" si="0"/>
        <v>41502</v>
      </c>
      <c r="I17" s="114">
        <f t="shared" si="0"/>
        <v>35037</v>
      </c>
      <c r="J17" s="114">
        <f t="shared" ref="J17:K18" si="1">J5+J7+J9+J11+J13+J15</f>
        <v>45940</v>
      </c>
      <c r="K17" s="114">
        <f t="shared" si="1"/>
        <v>51064</v>
      </c>
      <c r="L17" s="114">
        <f t="shared" ref="L17:M17" si="2">L5+L7+L9+L11+L13+L15</f>
        <v>50699</v>
      </c>
      <c r="M17" s="114">
        <f t="shared" si="2"/>
        <v>10755</v>
      </c>
      <c r="N17" s="114">
        <f t="shared" ref="N17:O17" si="3">N5+N7+N9+N11+N13+N15</f>
        <v>17423</v>
      </c>
      <c r="O17" s="114">
        <f t="shared" si="3"/>
        <v>42964</v>
      </c>
      <c r="P17" s="114">
        <f t="shared" ref="P17" si="4">P5+P7+P9+P11+P13+P15</f>
        <v>50788</v>
      </c>
      <c r="Q17" s="114">
        <v>64508</v>
      </c>
      <c r="R17" s="114">
        <v>75760</v>
      </c>
    </row>
    <row r="18" spans="1:18" ht="15" customHeight="1" x14ac:dyDescent="0.3">
      <c r="A18" s="149"/>
      <c r="B18" s="109" t="s">
        <v>99</v>
      </c>
      <c r="C18" s="114">
        <f>C6+C8+C10+C12+C14+C16</f>
        <v>37771</v>
      </c>
      <c r="D18" s="114">
        <f t="shared" si="0"/>
        <v>33503</v>
      </c>
      <c r="E18" s="114">
        <f t="shared" si="0"/>
        <v>38847</v>
      </c>
      <c r="F18" s="114">
        <f t="shared" si="0"/>
        <v>53064</v>
      </c>
      <c r="G18" s="114">
        <f t="shared" si="0"/>
        <v>62186</v>
      </c>
      <c r="H18" s="114">
        <f t="shared" si="0"/>
        <v>63209</v>
      </c>
      <c r="I18" s="114">
        <f t="shared" si="0"/>
        <v>59633</v>
      </c>
      <c r="J18" s="114">
        <f t="shared" ref="J18" si="5">J6+J8+J10+J12+J14+J16</f>
        <v>63213</v>
      </c>
      <c r="K18" s="114">
        <f t="shared" si="1"/>
        <v>72938</v>
      </c>
      <c r="L18" s="114">
        <f t="shared" ref="L18:M18" si="6">L6+L8+L10+L12+L14+L16</f>
        <v>78638</v>
      </c>
      <c r="M18" s="114">
        <f t="shared" si="6"/>
        <v>19880</v>
      </c>
      <c r="N18" s="114">
        <f t="shared" ref="N18:O18" si="7">N6+N8+N10+N12+N14+N16</f>
        <v>31338</v>
      </c>
      <c r="O18" s="114">
        <f t="shared" si="7"/>
        <v>89936</v>
      </c>
      <c r="P18" s="114">
        <f t="shared" ref="P18" si="8">P6+P8+P10+P12+P14+P16</f>
        <v>103236</v>
      </c>
      <c r="Q18" s="114">
        <v>124699</v>
      </c>
      <c r="R18" s="114">
        <v>120986</v>
      </c>
    </row>
    <row r="19" spans="1:18" ht="15" customHeight="1" x14ac:dyDescent="0.3">
      <c r="A19" s="81" t="s">
        <v>115</v>
      </c>
    </row>
  </sheetData>
  <mergeCells count="8">
    <mergeCell ref="A3:R3"/>
    <mergeCell ref="A13:A14"/>
    <mergeCell ref="A15:A16"/>
    <mergeCell ref="A17:A18"/>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2018-03-01T11:36:38Z</cp:lastPrinted>
  <dcterms:created xsi:type="dcterms:W3CDTF">2016-07-19T08:35:01Z</dcterms:created>
  <dcterms:modified xsi:type="dcterms:W3CDTF">2026-05-12T08:05:08Z</dcterms:modified>
</cp:coreProperties>
</file>