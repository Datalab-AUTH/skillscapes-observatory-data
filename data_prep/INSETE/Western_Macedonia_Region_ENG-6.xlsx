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394" documentId="13_ncr:1_{3E9E0CDE-0E12-4D5D-91DB-50C50EEDAFAC}" xr6:coauthVersionLast="47" xr6:coauthVersionMax="47" xr10:uidLastSave="{43E69650-2C5D-43C2-9CAD-ABE72C769341}"/>
  <bookViews>
    <workbookView xWindow="-108" yWindow="-108" windowWidth="23256" windowHeight="12456" tabRatio="741" xr2:uid="{00000000-000D-0000-FFFF-FFFF00000000}"/>
  </bookViews>
  <sheets>
    <sheet name="Cover Page " sheetId="4" r:id="rId1"/>
    <sheet name="Explanatory Notes" sheetId="5" r:id="rId2"/>
    <sheet name="Key Figures" sheetId="8" r:id="rId3"/>
    <sheet name="Employment" sheetId="7" r:id="rId4"/>
    <sheet name="Hotel Capacity" sheetId="1" r:id="rId5"/>
    <sheet name="STR capacity" sheetId="12" r:id="rId6"/>
    <sheet name="Rooms for Rent Capacity" sheetId="10" r:id="rId7"/>
    <sheet name="Arrivals-Overnights-Occupancy" sheetId="3" r:id="rId8"/>
    <sheet name="short stay_Arriv-Overnights" sheetId="11" r:id="rId9"/>
    <sheet name="Domestic Air Arrivals" sheetId="6" r:id="rId10"/>
    <sheet name="Admissions to Museums" sheetId="2" r:id="rId11"/>
  </sheets>
  <definedNames>
    <definedName name="_xlnm.Print_Area" localSheetId="10">'Admissions to Museums'!$A$1:$J$15</definedName>
    <definedName name="_xlnm.Print_Area" localSheetId="0">'Cover Page '!$A$1:$O$27</definedName>
    <definedName name="_xlnm.Print_Area" localSheetId="1">'Explanatory Notes'!$A$1:$N$18</definedName>
    <definedName name="_xlnm.Print_Area" localSheetId="4">'Hotel Capacity'!$A$127:$H$336</definedName>
    <definedName name="_xlnm.Print_Titles" localSheetId="9">'Domestic Air Arrivals'!$3:$4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0" i="1" l="1"/>
  <c r="F20" i="1"/>
  <c r="E20" i="1"/>
  <c r="D20" i="1"/>
  <c r="C20" i="1"/>
  <c r="G19" i="1"/>
  <c r="F19" i="1"/>
  <c r="E19" i="1"/>
  <c r="D19" i="1"/>
  <c r="C19" i="1"/>
  <c r="G18" i="1"/>
  <c r="F18" i="1"/>
  <c r="E18" i="1"/>
  <c r="D18" i="1"/>
  <c r="C18" i="1"/>
  <c r="H17" i="1"/>
  <c r="H16" i="1"/>
  <c r="H15" i="1"/>
  <c r="H14" i="1"/>
  <c r="H13" i="1"/>
  <c r="H12" i="1"/>
  <c r="H18" i="1"/>
  <c r="H11" i="1"/>
  <c r="H20" i="1"/>
  <c r="H10" i="1"/>
  <c r="H9" i="1"/>
  <c r="H8" i="1"/>
  <c r="H7" i="1"/>
  <c r="H6" i="1"/>
  <c r="G41" i="1"/>
  <c r="F41" i="1"/>
  <c r="E41" i="1"/>
  <c r="D41" i="1"/>
  <c r="C41" i="1"/>
  <c r="G40" i="1"/>
  <c r="F40" i="1"/>
  <c r="E40" i="1"/>
  <c r="D40" i="1"/>
  <c r="C40" i="1"/>
  <c r="G39" i="1"/>
  <c r="F39" i="1"/>
  <c r="E39" i="1"/>
  <c r="D39" i="1"/>
  <c r="C39" i="1"/>
  <c r="H38" i="1"/>
  <c r="H37" i="1"/>
  <c r="H36" i="1"/>
  <c r="H35" i="1"/>
  <c r="H34" i="1"/>
  <c r="H33" i="1"/>
  <c r="H32" i="1"/>
  <c r="H31" i="1"/>
  <c r="H40" i="1"/>
  <c r="H30" i="1"/>
  <c r="H29" i="1"/>
  <c r="H28" i="1"/>
  <c r="H27" i="1"/>
  <c r="P13" i="2"/>
  <c r="P14" i="2"/>
  <c r="O9" i="7"/>
  <c r="N9" i="7"/>
  <c r="O6" i="7"/>
  <c r="O10" i="7"/>
  <c r="N6" i="7"/>
  <c r="N10" i="7"/>
  <c r="G62" i="1"/>
  <c r="F62" i="1"/>
  <c r="E62" i="1"/>
  <c r="D62" i="1"/>
  <c r="C62" i="1"/>
  <c r="G61" i="1"/>
  <c r="F61" i="1"/>
  <c r="E61" i="1"/>
  <c r="D61" i="1"/>
  <c r="C61" i="1"/>
  <c r="G60" i="1"/>
  <c r="F60" i="1"/>
  <c r="E60" i="1"/>
  <c r="D60" i="1"/>
  <c r="C60" i="1"/>
  <c r="H59" i="1"/>
  <c r="H50" i="1"/>
  <c r="H53" i="1"/>
  <c r="H56" i="1"/>
  <c r="H62" i="1"/>
  <c r="H58" i="1"/>
  <c r="H61" i="1"/>
  <c r="H57" i="1"/>
  <c r="H55" i="1"/>
  <c r="H54" i="1"/>
  <c r="H52" i="1"/>
  <c r="H49" i="1"/>
  <c r="H51" i="1"/>
  <c r="H48" i="1"/>
  <c r="H60" i="1"/>
  <c r="O13" i="2"/>
  <c r="O14" i="2"/>
  <c r="G83" i="1"/>
  <c r="F83" i="1"/>
  <c r="E83" i="1"/>
  <c r="D83" i="1"/>
  <c r="C83" i="1"/>
  <c r="G82" i="1"/>
  <c r="F82" i="1"/>
  <c r="E82" i="1"/>
  <c r="D82" i="1"/>
  <c r="C82" i="1"/>
  <c r="G81" i="1"/>
  <c r="F81" i="1"/>
  <c r="E81" i="1"/>
  <c r="D81" i="1"/>
  <c r="C81" i="1"/>
  <c r="H80" i="1"/>
  <c r="H79" i="1"/>
  <c r="H78" i="1"/>
  <c r="H77" i="1"/>
  <c r="H76" i="1"/>
  <c r="H82" i="1"/>
  <c r="H75" i="1"/>
  <c r="H74" i="1"/>
  <c r="H83" i="1"/>
  <c r="H73" i="1"/>
  <c r="H72" i="1"/>
  <c r="H71" i="1"/>
  <c r="H70" i="1"/>
  <c r="H69" i="1"/>
  <c r="H81" i="1"/>
  <c r="N13" i="2"/>
  <c r="N14" i="2"/>
  <c r="G58" i="8"/>
  <c r="F58" i="8"/>
  <c r="H58" i="8"/>
  <c r="E57" i="8"/>
  <c r="D57" i="8"/>
  <c r="C57" i="8"/>
  <c r="G56" i="8"/>
  <c r="F56" i="8"/>
  <c r="H56" i="8"/>
  <c r="G55" i="8"/>
  <c r="F55" i="8"/>
  <c r="H55" i="8"/>
  <c r="G54" i="8"/>
  <c r="F54" i="8"/>
  <c r="H54" i="8"/>
  <c r="G53" i="8"/>
  <c r="F53" i="8"/>
  <c r="H53" i="8"/>
  <c r="G104" i="1"/>
  <c r="F104" i="1"/>
  <c r="E104" i="1"/>
  <c r="D104" i="1"/>
  <c r="C104" i="1"/>
  <c r="G103" i="1"/>
  <c r="F103" i="1"/>
  <c r="E103" i="1"/>
  <c r="D103" i="1"/>
  <c r="C103" i="1"/>
  <c r="G102" i="1"/>
  <c r="F102" i="1"/>
  <c r="E102" i="1"/>
  <c r="D102" i="1"/>
  <c r="C102" i="1"/>
  <c r="H101" i="1"/>
  <c r="H100" i="1"/>
  <c r="H91" i="1"/>
  <c r="H103" i="1"/>
  <c r="H94" i="1"/>
  <c r="H97" i="1"/>
  <c r="H99" i="1"/>
  <c r="H98" i="1"/>
  <c r="H96" i="1"/>
  <c r="H95" i="1"/>
  <c r="H93" i="1"/>
  <c r="H90" i="1"/>
  <c r="H102" i="1"/>
  <c r="H92" i="1"/>
  <c r="H104" i="1"/>
  <c r="F69" i="6"/>
  <c r="F68" i="6"/>
  <c r="F67" i="6"/>
  <c r="F66" i="6"/>
  <c r="F65" i="6"/>
  <c r="F64" i="6"/>
  <c r="F63" i="6"/>
  <c r="F62" i="6"/>
  <c r="F61" i="6"/>
  <c r="F60" i="6"/>
  <c r="F59" i="6"/>
  <c r="F58" i="6"/>
  <c r="E57" i="6"/>
  <c r="D57" i="6"/>
  <c r="B57" i="6"/>
  <c r="M13" i="2"/>
  <c r="M14" i="2"/>
  <c r="G70" i="8"/>
  <c r="F70" i="8"/>
  <c r="E69" i="8"/>
  <c r="D69" i="8"/>
  <c r="C69" i="8"/>
  <c r="G68" i="8"/>
  <c r="F68" i="8"/>
  <c r="H68" i="8"/>
  <c r="G67" i="8"/>
  <c r="F67" i="8"/>
  <c r="G66" i="8"/>
  <c r="F66" i="8"/>
  <c r="H66" i="8"/>
  <c r="G65" i="8"/>
  <c r="F65" i="8"/>
  <c r="H65" i="8"/>
  <c r="F82" i="6"/>
  <c r="F81" i="6"/>
  <c r="F80" i="6"/>
  <c r="F79" i="6"/>
  <c r="F78" i="6"/>
  <c r="F77" i="6"/>
  <c r="F76" i="6"/>
  <c r="F75" i="6"/>
  <c r="F74" i="6"/>
  <c r="F73" i="6"/>
  <c r="F72" i="6"/>
  <c r="F71" i="6"/>
  <c r="E70" i="6"/>
  <c r="D70" i="6"/>
  <c r="B70" i="6"/>
  <c r="G125" i="1"/>
  <c r="F125" i="1"/>
  <c r="E125" i="1"/>
  <c r="D125" i="1"/>
  <c r="C125" i="1"/>
  <c r="G124" i="1"/>
  <c r="F124" i="1"/>
  <c r="E124" i="1"/>
  <c r="D124" i="1"/>
  <c r="C124" i="1"/>
  <c r="G123" i="1"/>
  <c r="F123" i="1"/>
  <c r="E123" i="1"/>
  <c r="D123" i="1"/>
  <c r="C123" i="1"/>
  <c r="H122" i="1"/>
  <c r="H121" i="1"/>
  <c r="H120" i="1"/>
  <c r="H119" i="1"/>
  <c r="H118" i="1"/>
  <c r="H124" i="1"/>
  <c r="H117" i="1"/>
  <c r="H116" i="1"/>
  <c r="H115" i="1"/>
  <c r="H114" i="1"/>
  <c r="H113" i="1"/>
  <c r="H125" i="1"/>
  <c r="H112" i="1"/>
  <c r="H111" i="1"/>
  <c r="H123" i="1"/>
  <c r="L13" i="2"/>
  <c r="L14" i="2"/>
  <c r="K9" i="7"/>
  <c r="K10" i="7"/>
  <c r="F95" i="6"/>
  <c r="F94" i="6"/>
  <c r="F93" i="6"/>
  <c r="F92" i="6"/>
  <c r="F91" i="6"/>
  <c r="F90" i="6"/>
  <c r="F89" i="6"/>
  <c r="F88" i="6"/>
  <c r="F87" i="6"/>
  <c r="F86" i="6"/>
  <c r="F85" i="6"/>
  <c r="F84" i="6"/>
  <c r="E83" i="6"/>
  <c r="D83" i="6"/>
  <c r="B83" i="6"/>
  <c r="G82" i="8"/>
  <c r="F82" i="8"/>
  <c r="H82" i="8"/>
  <c r="E81" i="8"/>
  <c r="D81" i="8"/>
  <c r="C81" i="8"/>
  <c r="G80" i="8"/>
  <c r="F80" i="8"/>
  <c r="G79" i="8"/>
  <c r="F79" i="8"/>
  <c r="G78" i="8"/>
  <c r="F78" i="8"/>
  <c r="H78" i="8"/>
  <c r="G77" i="8"/>
  <c r="F77" i="8"/>
  <c r="H80" i="8"/>
  <c r="H79" i="8"/>
  <c r="G146" i="1"/>
  <c r="F146" i="1"/>
  <c r="E146" i="1"/>
  <c r="D146" i="1"/>
  <c r="C146" i="1"/>
  <c r="G145" i="1"/>
  <c r="F145" i="1"/>
  <c r="E145" i="1"/>
  <c r="D145" i="1"/>
  <c r="C145" i="1"/>
  <c r="G144" i="1"/>
  <c r="F144" i="1"/>
  <c r="E144" i="1"/>
  <c r="D144" i="1"/>
  <c r="C144" i="1"/>
  <c r="H143" i="1"/>
  <c r="H142" i="1"/>
  <c r="H141" i="1"/>
  <c r="H140" i="1"/>
  <c r="H139" i="1"/>
  <c r="H138" i="1"/>
  <c r="H137" i="1"/>
  <c r="H136" i="1"/>
  <c r="H135" i="1"/>
  <c r="H132" i="1"/>
  <c r="H144" i="1"/>
  <c r="H134" i="1"/>
  <c r="H146" i="1"/>
  <c r="H133" i="1"/>
  <c r="H145" i="1"/>
  <c r="F20" i="10"/>
  <c r="E20" i="10"/>
  <c r="D20" i="10"/>
  <c r="C20" i="10"/>
  <c r="F19" i="10"/>
  <c r="E19" i="10"/>
  <c r="D19" i="10"/>
  <c r="C19" i="10"/>
  <c r="F18" i="10"/>
  <c r="E18" i="10"/>
  <c r="D18" i="10"/>
  <c r="C18" i="10"/>
  <c r="G17" i="10"/>
  <c r="G16" i="10"/>
  <c r="G15" i="10"/>
  <c r="G14" i="10"/>
  <c r="G13" i="10"/>
  <c r="G12" i="10"/>
  <c r="G11" i="10"/>
  <c r="G10" i="10"/>
  <c r="G9" i="10"/>
  <c r="G8" i="10"/>
  <c r="G7" i="10"/>
  <c r="G6" i="10"/>
  <c r="G19" i="10"/>
  <c r="G18" i="10"/>
  <c r="G20" i="10"/>
  <c r="K14" i="2"/>
  <c r="K13" i="2"/>
  <c r="J5" i="7"/>
  <c r="G94" i="8"/>
  <c r="F94" i="8"/>
  <c r="H94" i="8"/>
  <c r="E93" i="8"/>
  <c r="D93" i="8"/>
  <c r="C93" i="8"/>
  <c r="G92" i="8"/>
  <c r="F92" i="8"/>
  <c r="H92" i="8"/>
  <c r="G91" i="8"/>
  <c r="F91" i="8"/>
  <c r="G90" i="8"/>
  <c r="F90" i="8"/>
  <c r="H90" i="8"/>
  <c r="G89" i="8"/>
  <c r="F89" i="8"/>
  <c r="H89" i="8"/>
  <c r="E106" i="8"/>
  <c r="D106" i="8"/>
  <c r="C106" i="8"/>
  <c r="G105" i="8"/>
  <c r="F105" i="8"/>
  <c r="H105" i="8"/>
  <c r="G104" i="8"/>
  <c r="F104" i="8"/>
  <c r="G103" i="8"/>
  <c r="F103" i="8"/>
  <c r="H103" i="8"/>
  <c r="G102" i="8"/>
  <c r="F102" i="8"/>
  <c r="H102" i="8"/>
  <c r="G101" i="8"/>
  <c r="F101" i="8"/>
  <c r="E118" i="8"/>
  <c r="D118" i="8"/>
  <c r="C118" i="8"/>
  <c r="G117" i="8"/>
  <c r="F117" i="8"/>
  <c r="G116" i="8"/>
  <c r="F116" i="8"/>
  <c r="G115" i="8"/>
  <c r="F115" i="8"/>
  <c r="G114" i="8"/>
  <c r="F114" i="8"/>
  <c r="H114" i="8"/>
  <c r="G113" i="8"/>
  <c r="F113" i="8"/>
  <c r="H113" i="8"/>
  <c r="H101" i="8"/>
  <c r="H115" i="8"/>
  <c r="H116" i="8"/>
  <c r="H104" i="8"/>
  <c r="G118" i="8"/>
  <c r="H91" i="8"/>
  <c r="G167" i="1"/>
  <c r="F167" i="1"/>
  <c r="E167" i="1"/>
  <c r="D167" i="1"/>
  <c r="C167" i="1"/>
  <c r="G166" i="1"/>
  <c r="F166" i="1"/>
  <c r="E166" i="1"/>
  <c r="D166" i="1"/>
  <c r="C166" i="1"/>
  <c r="G165" i="1"/>
  <c r="F165" i="1"/>
  <c r="E165" i="1"/>
  <c r="D165" i="1"/>
  <c r="C165" i="1"/>
  <c r="H164" i="1"/>
  <c r="H163" i="1"/>
  <c r="H166" i="1"/>
  <c r="H162" i="1"/>
  <c r="H161" i="1"/>
  <c r="H160" i="1"/>
  <c r="H154" i="1"/>
  <c r="H157" i="1"/>
  <c r="H159" i="1"/>
  <c r="H158" i="1"/>
  <c r="H156" i="1"/>
  <c r="H155" i="1"/>
  <c r="H167" i="1"/>
  <c r="H153" i="1"/>
  <c r="H165" i="1"/>
  <c r="F41" i="10"/>
  <c r="E41" i="10"/>
  <c r="D41" i="10"/>
  <c r="C41" i="10"/>
  <c r="F40" i="10"/>
  <c r="E40" i="10"/>
  <c r="D40" i="10"/>
  <c r="C40" i="10"/>
  <c r="F39" i="10"/>
  <c r="E39" i="10"/>
  <c r="D39" i="10"/>
  <c r="C39" i="10"/>
  <c r="G38" i="10"/>
  <c r="G37" i="10"/>
  <c r="G36" i="10"/>
  <c r="G35" i="10"/>
  <c r="G34" i="10"/>
  <c r="G33" i="10"/>
  <c r="G32" i="10"/>
  <c r="G31" i="10"/>
  <c r="G30" i="10"/>
  <c r="G29" i="10"/>
  <c r="G28" i="10"/>
  <c r="G27" i="10"/>
  <c r="G39" i="10"/>
  <c r="G40" i="10"/>
  <c r="G41" i="10"/>
  <c r="B200" i="6"/>
  <c r="B96" i="6"/>
  <c r="F108" i="6"/>
  <c r="F107" i="6"/>
  <c r="F106" i="6"/>
  <c r="F105" i="6"/>
  <c r="F104" i="6"/>
  <c r="F103" i="6"/>
  <c r="F102" i="6"/>
  <c r="F101" i="6"/>
  <c r="F100" i="6"/>
  <c r="F99" i="6"/>
  <c r="F98" i="6"/>
  <c r="F97" i="6"/>
  <c r="E96" i="6"/>
  <c r="D96" i="6"/>
  <c r="J25" i="3"/>
  <c r="J26" i="3"/>
  <c r="J27" i="3"/>
  <c r="J28" i="3"/>
  <c r="J14" i="2"/>
  <c r="J13" i="2"/>
  <c r="I9" i="7"/>
  <c r="I6" i="7"/>
  <c r="I10" i="7"/>
  <c r="H9" i="7"/>
  <c r="G188" i="1"/>
  <c r="F188" i="1"/>
  <c r="E188" i="1"/>
  <c r="D188" i="1"/>
  <c r="C188" i="1"/>
  <c r="G187" i="1"/>
  <c r="F187" i="1"/>
  <c r="E187" i="1"/>
  <c r="D187" i="1"/>
  <c r="C187" i="1"/>
  <c r="G186" i="1"/>
  <c r="F186" i="1"/>
  <c r="E186" i="1"/>
  <c r="D186" i="1"/>
  <c r="C186" i="1"/>
  <c r="H185" i="1"/>
  <c r="H184" i="1"/>
  <c r="H175" i="1"/>
  <c r="H178" i="1"/>
  <c r="H181" i="1"/>
  <c r="H187" i="1"/>
  <c r="H183" i="1"/>
  <c r="H186" i="1"/>
  <c r="H182" i="1"/>
  <c r="H180" i="1"/>
  <c r="H179" i="1"/>
  <c r="H177" i="1"/>
  <c r="H174" i="1"/>
  <c r="H176" i="1"/>
  <c r="H188" i="1"/>
  <c r="F111" i="6"/>
  <c r="F112" i="6"/>
  <c r="F113" i="6"/>
  <c r="F114" i="6"/>
  <c r="F115" i="6"/>
  <c r="F116" i="6"/>
  <c r="F117" i="6"/>
  <c r="F118" i="6"/>
  <c r="F119" i="6"/>
  <c r="F120" i="6"/>
  <c r="F121" i="6"/>
  <c r="F110" i="6"/>
  <c r="F109" i="6"/>
  <c r="E109" i="6"/>
  <c r="D109" i="6"/>
  <c r="I28" i="3"/>
  <c r="I27" i="3"/>
  <c r="I26" i="3"/>
  <c r="I25" i="3"/>
  <c r="C61" i="10"/>
  <c r="D61" i="10"/>
  <c r="E61" i="10"/>
  <c r="F61" i="10"/>
  <c r="C62" i="10"/>
  <c r="D62" i="10"/>
  <c r="E62" i="10"/>
  <c r="F62" i="10"/>
  <c r="D60" i="10"/>
  <c r="E60" i="10"/>
  <c r="F60" i="10"/>
  <c r="C60" i="10"/>
  <c r="G56" i="10"/>
  <c r="G55" i="10"/>
  <c r="G54" i="10"/>
  <c r="G59" i="10"/>
  <c r="G58" i="10"/>
  <c r="G57" i="10"/>
  <c r="G53" i="10"/>
  <c r="G52" i="10"/>
  <c r="G51" i="10"/>
  <c r="G50" i="10"/>
  <c r="G49" i="10"/>
  <c r="G48" i="10"/>
  <c r="G62" i="10"/>
  <c r="G61" i="10"/>
  <c r="G60" i="10"/>
  <c r="C6" i="7"/>
  <c r="C10" i="7"/>
  <c r="D6" i="7"/>
  <c r="E6" i="7"/>
  <c r="F6" i="7"/>
  <c r="G6" i="7"/>
  <c r="B6" i="7"/>
  <c r="B10" i="7"/>
  <c r="G10" i="7"/>
  <c r="F10" i="7"/>
  <c r="E10" i="7"/>
  <c r="D10" i="7"/>
  <c r="G9" i="7"/>
  <c r="F9" i="7"/>
  <c r="E9" i="7"/>
  <c r="D9" i="7"/>
  <c r="C9" i="7"/>
  <c r="B9" i="7"/>
  <c r="I14" i="2"/>
  <c r="I13" i="2"/>
  <c r="F124" i="6"/>
  <c r="F125" i="6"/>
  <c r="F126" i="6"/>
  <c r="F127" i="6"/>
  <c r="F128" i="6"/>
  <c r="F129" i="6"/>
  <c r="F130" i="6"/>
  <c r="F131" i="6"/>
  <c r="F132" i="6"/>
  <c r="F133" i="6"/>
  <c r="F134" i="6"/>
  <c r="F123" i="6"/>
  <c r="E122" i="6"/>
  <c r="D122" i="6"/>
  <c r="G209" i="1"/>
  <c r="F209" i="1"/>
  <c r="E209" i="1"/>
  <c r="D209" i="1"/>
  <c r="C209" i="1"/>
  <c r="G208" i="1"/>
  <c r="F208" i="1"/>
  <c r="E208" i="1"/>
  <c r="D208" i="1"/>
  <c r="C208" i="1"/>
  <c r="G207" i="1"/>
  <c r="F207" i="1"/>
  <c r="E207" i="1"/>
  <c r="D207" i="1"/>
  <c r="C207" i="1"/>
  <c r="H206" i="1"/>
  <c r="H205" i="1"/>
  <c r="H204" i="1"/>
  <c r="H203" i="1"/>
  <c r="H202" i="1"/>
  <c r="H201" i="1"/>
  <c r="H200" i="1"/>
  <c r="H199" i="1"/>
  <c r="H208" i="1"/>
  <c r="H198" i="1"/>
  <c r="H207" i="1"/>
  <c r="H197" i="1"/>
  <c r="H209" i="1"/>
  <c r="H196" i="1"/>
  <c r="H195" i="1"/>
  <c r="H25" i="3"/>
  <c r="H26" i="3"/>
  <c r="H27" i="3"/>
  <c r="H28" i="3"/>
  <c r="F202" i="6"/>
  <c r="F203" i="6"/>
  <c r="F204" i="6"/>
  <c r="F205" i="6"/>
  <c r="F206" i="6"/>
  <c r="F207" i="6"/>
  <c r="F208" i="6"/>
  <c r="F209" i="6"/>
  <c r="F210" i="6"/>
  <c r="F211" i="6"/>
  <c r="F212" i="6"/>
  <c r="F201" i="6"/>
  <c r="E200" i="6"/>
  <c r="D200" i="6"/>
  <c r="F189" i="6"/>
  <c r="F190" i="6"/>
  <c r="F191" i="6"/>
  <c r="F192" i="6"/>
  <c r="F193" i="6"/>
  <c r="F194" i="6"/>
  <c r="F195" i="6"/>
  <c r="F196" i="6"/>
  <c r="F197" i="6"/>
  <c r="F198" i="6"/>
  <c r="F199" i="6"/>
  <c r="F188" i="6"/>
  <c r="E187" i="6"/>
  <c r="D187" i="6"/>
  <c r="F176" i="6"/>
  <c r="F177" i="6"/>
  <c r="F178" i="6"/>
  <c r="F179" i="6"/>
  <c r="F180" i="6"/>
  <c r="F181" i="6"/>
  <c r="F182" i="6"/>
  <c r="F183" i="6"/>
  <c r="F184" i="6"/>
  <c r="F185" i="6"/>
  <c r="F186" i="6"/>
  <c r="F175" i="6"/>
  <c r="E174" i="6"/>
  <c r="D174" i="6"/>
  <c r="F163" i="6"/>
  <c r="F164" i="6"/>
  <c r="F165" i="6"/>
  <c r="F166" i="6"/>
  <c r="F167" i="6"/>
  <c r="F168" i="6"/>
  <c r="F169" i="6"/>
  <c r="F170" i="6"/>
  <c r="F171" i="6"/>
  <c r="F172" i="6"/>
  <c r="F173" i="6"/>
  <c r="F162" i="6"/>
  <c r="E161" i="6"/>
  <c r="D161" i="6"/>
  <c r="F150" i="6"/>
  <c r="F151" i="6"/>
  <c r="F152" i="6"/>
  <c r="F153" i="6"/>
  <c r="F154" i="6"/>
  <c r="F155" i="6"/>
  <c r="F156" i="6"/>
  <c r="F157" i="6"/>
  <c r="F158" i="6"/>
  <c r="F159" i="6"/>
  <c r="F160" i="6"/>
  <c r="F149" i="6"/>
  <c r="E148" i="6"/>
  <c r="D148" i="6"/>
  <c r="F137" i="6"/>
  <c r="F138" i="6"/>
  <c r="F139" i="6"/>
  <c r="F140" i="6"/>
  <c r="F141" i="6"/>
  <c r="F142" i="6"/>
  <c r="F143" i="6"/>
  <c r="F144" i="6"/>
  <c r="F145" i="6"/>
  <c r="F146" i="6"/>
  <c r="F147" i="6"/>
  <c r="F136" i="6"/>
  <c r="E135" i="6"/>
  <c r="D135" i="6"/>
  <c r="D28" i="3"/>
  <c r="E28" i="3"/>
  <c r="F28" i="3"/>
  <c r="G28" i="3"/>
  <c r="C28" i="3"/>
  <c r="D26" i="3"/>
  <c r="E26" i="3"/>
  <c r="F26" i="3"/>
  <c r="G26" i="3"/>
  <c r="C26" i="3"/>
  <c r="C27" i="3"/>
  <c r="D27" i="3"/>
  <c r="E27" i="3"/>
  <c r="F27" i="3"/>
  <c r="G27" i="3"/>
  <c r="D25" i="3"/>
  <c r="E25" i="3"/>
  <c r="F25" i="3"/>
  <c r="G25" i="3"/>
  <c r="C14" i="2"/>
  <c r="D14" i="2"/>
  <c r="E14" i="2"/>
  <c r="F14" i="2"/>
  <c r="G14" i="2"/>
  <c r="H14" i="2"/>
  <c r="D13" i="2"/>
  <c r="E13" i="2"/>
  <c r="F13" i="2"/>
  <c r="G13" i="2"/>
  <c r="H13" i="2"/>
  <c r="C13" i="2"/>
  <c r="C25" i="3"/>
  <c r="D335" i="1"/>
  <c r="E335" i="1"/>
  <c r="F335" i="1"/>
  <c r="G335" i="1"/>
  <c r="C335" i="1"/>
  <c r="D334" i="1"/>
  <c r="E334" i="1"/>
  <c r="F334" i="1"/>
  <c r="G334" i="1"/>
  <c r="C334" i="1"/>
  <c r="D333" i="1"/>
  <c r="E333" i="1"/>
  <c r="F333" i="1"/>
  <c r="G333" i="1"/>
  <c r="C333" i="1"/>
  <c r="H332" i="1"/>
  <c r="H331" i="1"/>
  <c r="H334" i="1"/>
  <c r="H330" i="1"/>
  <c r="D314" i="1"/>
  <c r="E314" i="1"/>
  <c r="F314" i="1"/>
  <c r="G314" i="1"/>
  <c r="C314" i="1"/>
  <c r="D313" i="1"/>
  <c r="E313" i="1"/>
  <c r="F313" i="1"/>
  <c r="G313" i="1"/>
  <c r="C313" i="1"/>
  <c r="D312" i="1"/>
  <c r="E312" i="1"/>
  <c r="F312" i="1"/>
  <c r="G312" i="1"/>
  <c r="C312" i="1"/>
  <c r="H311" i="1"/>
  <c r="H310" i="1"/>
  <c r="H309" i="1"/>
  <c r="D293" i="1"/>
  <c r="E293" i="1"/>
  <c r="F293" i="1"/>
  <c r="G293" i="1"/>
  <c r="C293" i="1"/>
  <c r="D292" i="1"/>
  <c r="E292" i="1"/>
  <c r="F292" i="1"/>
  <c r="G292" i="1"/>
  <c r="C292" i="1"/>
  <c r="D291" i="1"/>
  <c r="E291" i="1"/>
  <c r="F291" i="1"/>
  <c r="G291" i="1"/>
  <c r="C291" i="1"/>
  <c r="H290" i="1"/>
  <c r="H289" i="1"/>
  <c r="H288" i="1"/>
  <c r="D272" i="1"/>
  <c r="E272" i="1"/>
  <c r="F272" i="1"/>
  <c r="G272" i="1"/>
  <c r="C272" i="1"/>
  <c r="D271" i="1"/>
  <c r="E271" i="1"/>
  <c r="F271" i="1"/>
  <c r="G271" i="1"/>
  <c r="C271" i="1"/>
  <c r="D270" i="1"/>
  <c r="E270" i="1"/>
  <c r="F270" i="1"/>
  <c r="G270" i="1"/>
  <c r="C270" i="1"/>
  <c r="H269" i="1"/>
  <c r="H268" i="1"/>
  <c r="H267" i="1"/>
  <c r="D251" i="1"/>
  <c r="E251" i="1"/>
  <c r="F251" i="1"/>
  <c r="G251" i="1"/>
  <c r="C251" i="1"/>
  <c r="D250" i="1"/>
  <c r="E250" i="1"/>
  <c r="F250" i="1"/>
  <c r="G250" i="1"/>
  <c r="C250" i="1"/>
  <c r="D249" i="1"/>
  <c r="E249" i="1"/>
  <c r="F249" i="1"/>
  <c r="G249" i="1"/>
  <c r="C249" i="1"/>
  <c r="H247" i="1"/>
  <c r="H248" i="1"/>
  <c r="H246" i="1"/>
  <c r="H249" i="1"/>
  <c r="D230" i="1"/>
  <c r="E230" i="1"/>
  <c r="F230" i="1"/>
  <c r="G230" i="1"/>
  <c r="D229" i="1"/>
  <c r="E229" i="1"/>
  <c r="F229" i="1"/>
  <c r="G229" i="1"/>
  <c r="D228" i="1"/>
  <c r="E228" i="1"/>
  <c r="F228" i="1"/>
  <c r="G228" i="1"/>
  <c r="C230" i="1"/>
  <c r="C229" i="1"/>
  <c r="C228" i="1"/>
  <c r="H227" i="1"/>
  <c r="H226" i="1"/>
  <c r="H225" i="1"/>
  <c r="H322" i="1"/>
  <c r="H325" i="1"/>
  <c r="H328" i="1"/>
  <c r="H323" i="1"/>
  <c r="H335" i="1"/>
  <c r="H324" i="1"/>
  <c r="H333" i="1"/>
  <c r="H326" i="1"/>
  <c r="H329" i="1"/>
  <c r="H327" i="1"/>
  <c r="H321" i="1"/>
  <c r="H301" i="1"/>
  <c r="H313" i="1"/>
  <c r="H302" i="1"/>
  <c r="H314" i="1"/>
  <c r="H303" i="1"/>
  <c r="H304" i="1"/>
  <c r="H305" i="1"/>
  <c r="H308" i="1"/>
  <c r="H306" i="1"/>
  <c r="H300" i="1"/>
  <c r="H312" i="1"/>
  <c r="H307" i="1"/>
  <c r="H280" i="1"/>
  <c r="H281" i="1"/>
  <c r="H282" i="1"/>
  <c r="H279" i="1"/>
  <c r="H285" i="1"/>
  <c r="H291" i="1"/>
  <c r="H283" i="1"/>
  <c r="H292" i="1"/>
  <c r="H286" i="1"/>
  <c r="H284" i="1"/>
  <c r="H287" i="1"/>
  <c r="H293" i="1"/>
  <c r="H259" i="1"/>
  <c r="H271" i="1"/>
  <c r="H260" i="1"/>
  <c r="H261" i="1"/>
  <c r="H258" i="1"/>
  <c r="H270" i="1"/>
  <c r="H264" i="1"/>
  <c r="H262" i="1"/>
  <c r="H263" i="1"/>
  <c r="H266" i="1"/>
  <c r="H272" i="1"/>
  <c r="H265" i="1"/>
  <c r="H238" i="1"/>
  <c r="H239" i="1"/>
  <c r="H251" i="1"/>
  <c r="H240" i="1"/>
  <c r="H241" i="1"/>
  <c r="H244" i="1"/>
  <c r="H250" i="1"/>
  <c r="H242" i="1"/>
  <c r="H245" i="1"/>
  <c r="H243" i="1"/>
  <c r="H237" i="1"/>
  <c r="H217" i="1"/>
  <c r="H220" i="1"/>
  <c r="H223" i="1"/>
  <c r="H229" i="1"/>
  <c r="H218" i="1"/>
  <c r="H230" i="1"/>
  <c r="H219" i="1"/>
  <c r="H221" i="1"/>
  <c r="H222" i="1"/>
  <c r="H224" i="1"/>
  <c r="H216" i="1"/>
  <c r="H228" i="1"/>
  <c r="H6" i="7"/>
  <c r="H10" i="7"/>
  <c r="H70" i="8"/>
  <c r="H67" i="8"/>
  <c r="F81" i="8"/>
  <c r="H77" i="8"/>
  <c r="F93" i="8"/>
  <c r="F106" i="8"/>
  <c r="F118" i="8"/>
  <c r="H118" i="8"/>
  <c r="H117" i="8"/>
  <c r="G57" i="8"/>
  <c r="F57" i="8"/>
  <c r="H57" i="8"/>
  <c r="G69" i="8"/>
  <c r="F69" i="8"/>
  <c r="H69" i="8"/>
  <c r="J9" i="7"/>
  <c r="J6" i="7"/>
  <c r="J10" i="7"/>
  <c r="F200" i="6"/>
  <c r="F135" i="6"/>
  <c r="F161" i="6"/>
  <c r="F174" i="6"/>
  <c r="F187" i="6"/>
  <c r="F83" i="6"/>
  <c r="F148" i="6"/>
  <c r="F57" i="6"/>
  <c r="F70" i="6"/>
  <c r="F122" i="6"/>
  <c r="F96" i="6"/>
  <c r="G106" i="8"/>
  <c r="G93" i="8"/>
  <c r="G81" i="8"/>
  <c r="H106" i="8"/>
  <c r="H93" i="8"/>
  <c r="H81" i="8"/>
  <c r="H19" i="1"/>
  <c r="H39" i="1"/>
  <c r="H41" i="1"/>
</calcChain>
</file>

<file path=xl/sharedStrings.xml><?xml version="1.0" encoding="utf-8"?>
<sst xmlns="http://schemas.openxmlformats.org/spreadsheetml/2006/main" count="1408" uniqueCount="133">
  <si>
    <t>1*</t>
  </si>
  <si>
    <t>Total</t>
  </si>
  <si>
    <t>Grevena</t>
  </si>
  <si>
    <t>Kastoria</t>
  </si>
  <si>
    <t>Kozani</t>
  </si>
  <si>
    <t>Florina</t>
  </si>
  <si>
    <t>Units</t>
  </si>
  <si>
    <t>Rooms</t>
  </si>
  <si>
    <t>Guest beds</t>
  </si>
  <si>
    <t>Museums</t>
  </si>
  <si>
    <t>Foreign overnights</t>
  </si>
  <si>
    <t xml:space="preserve">Domestic overnights </t>
  </si>
  <si>
    <t>Occupancy</t>
  </si>
  <si>
    <t xml:space="preserve">Foreign overnights </t>
  </si>
  <si>
    <t>5*</t>
  </si>
  <si>
    <t>4*</t>
  </si>
  <si>
    <t>3*</t>
  </si>
  <si>
    <t>2*</t>
  </si>
  <si>
    <t>January</t>
  </si>
  <si>
    <t>February</t>
  </si>
  <si>
    <t>March</t>
  </si>
  <si>
    <t>April</t>
  </si>
  <si>
    <t>May</t>
  </si>
  <si>
    <t>June</t>
  </si>
  <si>
    <t>July</t>
  </si>
  <si>
    <t>August</t>
  </si>
  <si>
    <t xml:space="preserve">September </t>
  </si>
  <si>
    <t>Οctober</t>
  </si>
  <si>
    <t>Νovember</t>
  </si>
  <si>
    <t>December</t>
  </si>
  <si>
    <t>Domestic air arrivals</t>
  </si>
  <si>
    <t>Countries of origin</t>
  </si>
  <si>
    <t>Visits (in th.)</t>
  </si>
  <si>
    <t>Receipts         (in mil. €)</t>
  </si>
  <si>
    <t>Germany</t>
  </si>
  <si>
    <t>Others</t>
  </si>
  <si>
    <t>as a percentage of the total</t>
  </si>
  <si>
    <t>Albania</t>
  </si>
  <si>
    <t>Bulgaria</t>
  </si>
  <si>
    <t>Romania</t>
  </si>
  <si>
    <t>4Κ</t>
  </si>
  <si>
    <t>3Κ</t>
  </si>
  <si>
    <t>2Κ</t>
  </si>
  <si>
    <t>1Κ</t>
  </si>
  <si>
    <t xml:space="preserve">Foreign arrivals </t>
  </si>
  <si>
    <t xml:space="preserve">Domestic arrivals </t>
  </si>
  <si>
    <t>Foreign arrivals</t>
  </si>
  <si>
    <t>Domestic Arrivlas</t>
  </si>
  <si>
    <t>Key figures of incoming tourism in Western Macedonia Region 2017</t>
  </si>
  <si>
    <t>Overnights           (in th.)</t>
  </si>
  <si>
    <t xml:space="preserve">Key Figures for Western Macedonia Region </t>
  </si>
  <si>
    <t>Western Macedonia</t>
  </si>
  <si>
    <t>Other sectors</t>
  </si>
  <si>
    <t>Total employment</t>
  </si>
  <si>
    <t>Total Greece</t>
  </si>
  <si>
    <t>Employment in the other sectors as a percentage of the total employment in the Region</t>
  </si>
  <si>
    <t>WESTERN MACEDONIA REGION</t>
  </si>
  <si>
    <t>Hotel capacity 2017</t>
  </si>
  <si>
    <t>Hotel capacity 2010</t>
  </si>
  <si>
    <t>Hotel capacity 2011</t>
  </si>
  <si>
    <t>Hotel capacity 2012</t>
  </si>
  <si>
    <t>Hotel capacity 2013</t>
  </si>
  <si>
    <t>Hotel capacity 2014</t>
  </si>
  <si>
    <t>Hotel capacity 2015</t>
  </si>
  <si>
    <t>Hotel capacity 2016</t>
  </si>
  <si>
    <t xml:space="preserve">WESTERN MACEDONIA REGION </t>
  </si>
  <si>
    <t>ROOMS FOR RENT 2017</t>
  </si>
  <si>
    <t>International air arrivals</t>
  </si>
  <si>
    <t>Μονάδες</t>
  </si>
  <si>
    <t>Δωμάτια</t>
  </si>
  <si>
    <t>Κλίνες</t>
  </si>
  <si>
    <t>ROOMS FOR RENT 2018</t>
  </si>
  <si>
    <t>Hotel capacity 2018</t>
  </si>
  <si>
    <t>Key figures of incoming tourism in Western Macedonia Region 2018</t>
  </si>
  <si>
    <t>ROOMS FOR RENT 2019</t>
  </si>
  <si>
    <t>Hotel capacity 2019</t>
  </si>
  <si>
    <t>Accommodation and catering services</t>
  </si>
  <si>
    <t xml:space="preserve">Employment in Services as a percentage of total employment in the Region </t>
  </si>
  <si>
    <t>Key figures of incoming tourism in Western Macedonia Region 2019</t>
  </si>
  <si>
    <t>Hotel capacity 2020</t>
  </si>
  <si>
    <t>Key figures of incoming tourism in Western Macedonia Region 2020</t>
  </si>
  <si>
    <t>Archaeological sites</t>
  </si>
  <si>
    <t>Average Expenditure per Journey      (in  €)</t>
  </si>
  <si>
    <t>Average Expenditure per Overnight Stay      (in €)</t>
  </si>
  <si>
    <t>Average Duration of Stay (in overnights)</t>
  </si>
  <si>
    <t>Region</t>
  </si>
  <si>
    <t>Regional Unit</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</si>
  <si>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</si>
  <si>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</si>
  <si>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</si>
  <si>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</si>
  <si>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</si>
  <si>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</si>
  <si>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</si>
  <si>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</si>
  <si>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</si>
  <si>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Hotel capacity 2021</t>
  </si>
  <si>
    <t>Key figures of incoming tourism in Western Macedonia Region 2021</t>
  </si>
  <si>
    <t>Source: ELSTAT - Processinfg INSETE Intelliegence</t>
  </si>
  <si>
    <t>Hotel capacity 2022</t>
  </si>
  <si>
    <t>Key figures of incoming tourism in Western Macedonia Region 2022</t>
  </si>
  <si>
    <t>Key figures of incoming tourism in Western Macedonia Region 2023</t>
  </si>
  <si>
    <t>Hotel capacity 2023</t>
  </si>
  <si>
    <t>01</t>
  </si>
  <si>
    <t>02</t>
  </si>
  <si>
    <t>03</t>
  </si>
  <si>
    <t>04</t>
  </si>
  <si>
    <t>05</t>
  </si>
  <si>
    <t>06</t>
  </si>
  <si>
    <t>07</t>
  </si>
  <si>
    <t>08</t>
  </si>
  <si>
    <t>09</t>
  </si>
  <si>
    <t>10</t>
  </si>
  <si>
    <t>11</t>
  </si>
  <si>
    <t>12</t>
  </si>
  <si>
    <t>Month</t>
  </si>
  <si>
    <t>(:)</t>
  </si>
  <si>
    <t>-</t>
  </si>
  <si>
    <t>*The data refer to accommodation establishments listed on the Airbnb, Vrbo, Booking.com and TripAdvisor platforms</t>
  </si>
  <si>
    <t>Kozani*</t>
  </si>
  <si>
    <t>* For reasons of statistical confidentiality regarding the protection of the indentity of the surveyed units, the data of the Regional Area of Kozani are included in the Regional Area of Grevena</t>
  </si>
  <si>
    <t>Hotel capacity 2024</t>
  </si>
  <si>
    <t>Capacity of short-term rental accommodation per month (properties)*, 2019-2024</t>
  </si>
  <si>
    <t>Capacity of short-term rental accommodation per month (rooms)*, 2019-2024</t>
  </si>
  <si>
    <t>Capacity of short-term rental accommodation per month (beds)*, 2019-20234</t>
  </si>
  <si>
    <r>
      <rPr>
        <b/>
        <sz val="7"/>
        <color rgb="FF002060"/>
        <rFont val="Verdana"/>
        <family val="2"/>
        <charset val="161"/>
      </rPr>
      <t>Source</t>
    </r>
    <r>
      <rPr>
        <sz val="7"/>
        <color rgb="FF002060"/>
        <rFont val="Verdana"/>
        <family val="2"/>
        <charset val="161"/>
      </rPr>
      <t>: The Lighthouse-Processing INSETE Intelligence</t>
    </r>
  </si>
  <si>
    <t>Key figures of incoming tourism in Western Macedonia Region 2024</t>
  </si>
  <si>
    <t>WESTERN MACEDONIA REGION: arrivals, overnights and occupancy in hotel establishments, 2010-2024</t>
  </si>
  <si>
    <t>WESTERN MACEDONIA REGION: arrivals and overnight stays in short stay accommodation establishments, 2020-2024</t>
  </si>
  <si>
    <t>WESTERN MACEDONIA REGION: Admissions to Museums / Archaelogical sites, 2010-2025</t>
  </si>
  <si>
    <t>Employment in Western Macedonia Region (in thous.), 2010-2025</t>
  </si>
  <si>
    <t>Key figures of incoming tourism in Western Macedonia Region 2025</t>
  </si>
  <si>
    <t>Hotel capacity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</si>
</sst>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0" x14ac:knownFonts="1">
    <font>
      <sz val="11"/>
      <color theme="1"/>
      <name val="Calibri"/>
      <family val="2"/>
      <charset val="161"/>
      <scheme val="minor"/>
    </font>
    <font>
      <sz val="10"/>
      <color rgb="FF000000"/>
      <name val="Times New Roman"/>
      <family val="1"/>
      <charset val="161"/>
    </font>
    <font>
      <sz val="11"/>
      <color theme="1"/>
      <name val="Calibri"/>
      <family val="2"/>
      <charset val="161"/>
      <scheme val="minor"/>
    </font>
    <font>
      <sz val="10"/>
      <name val="Arial"/>
      <family val="2"/>
      <charset val="161"/>
    </font>
    <font>
      <b/>
      <sz val="8"/>
      <color theme="4"/>
      <name val="Verdana"/>
      <family val="2"/>
      <charset val="161"/>
    </font>
    <font>
      <i/>
      <sz val="8"/>
      <color theme="4"/>
      <name val="Verdana"/>
      <family val="2"/>
      <charset val="161"/>
    </font>
    <font>
      <b/>
      <i/>
      <sz val="8"/>
      <color theme="4"/>
      <name val="Verdana"/>
      <family val="2"/>
      <charset val="161"/>
    </font>
    <font>
      <sz val="8"/>
      <color rgb="FF002060"/>
      <name val="Verdana"/>
      <family val="2"/>
      <charset val="161"/>
    </font>
    <font>
      <i/>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9">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002060"/>
        <bgColor indexed="64"/>
      </patternFill>
    </fill>
    <fill>
      <patternFill patternType="solid">
        <fgColor theme="4" tint="-0.249977111117893"/>
        <bgColor indexed="64"/>
      </patternFill>
    </fill>
    <fill>
      <patternFill patternType="solid">
        <fgColor rgb="FF002060"/>
        <bgColor theme="4"/>
      </patternFill>
    </fill>
  </fills>
  <borders count="15">
    <border>
      <left/>
      <right/>
      <top/>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thin">
        <color indexed="64"/>
      </top>
      <bottom style="thin">
        <color indexed="64"/>
      </bottom>
      <diagonal/>
    </border>
  </borders>
  <cellStyleXfs count="5">
    <xf numFmtId="0" fontId="0" fillId="0" borderId="0"/>
    <xf numFmtId="0" fontId="1" fillId="0" borderId="0"/>
    <xf numFmtId="9" fontId="2" fillId="0" borderId="0" applyFont="0" applyFill="0" applyBorder="0" applyAlignment="0" applyProtection="0"/>
    <xf numFmtId="164" fontId="2" fillId="0" borderId="0" applyFont="0" applyFill="0" applyBorder="0" applyAlignment="0" applyProtection="0"/>
    <xf numFmtId="0" fontId="3" fillId="0" borderId="0"/>
  </cellStyleXfs>
  <cellXfs count="118">
    <xf numFmtId="0" fontId="0" fillId="0" borderId="0" xfId="0"/>
    <xf numFmtId="0" fontId="4"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wrapText="1"/>
    </xf>
    <xf numFmtId="0" fontId="7" fillId="0" borderId="0" xfId="0" applyFont="1" applyAlignment="1">
      <alignment vertical="center"/>
    </xf>
    <xf numFmtId="0" fontId="8" fillId="0" borderId="0" xfId="0" applyFont="1" applyAlignment="1">
      <alignment horizontal="center" vertical="center"/>
    </xf>
    <xf numFmtId="0" fontId="13" fillId="5" borderId="9" xfId="0" applyFont="1" applyFill="1" applyBorder="1" applyAlignment="1">
      <alignment vertical="center" wrapText="1"/>
    </xf>
    <xf numFmtId="0" fontId="13" fillId="5" borderId="10" xfId="0" applyFont="1" applyFill="1" applyBorder="1" applyAlignment="1">
      <alignment vertical="center" wrapText="1"/>
    </xf>
    <xf numFmtId="0" fontId="13" fillId="5" borderId="11" xfId="0" applyFont="1" applyFill="1" applyBorder="1" applyAlignment="1">
      <alignment vertical="center" wrapText="1"/>
    </xf>
    <xf numFmtId="0" fontId="13" fillId="5" borderId="12" xfId="0" applyFont="1" applyFill="1" applyBorder="1" applyAlignment="1">
      <alignment vertical="center" wrapText="1"/>
    </xf>
    <xf numFmtId="165" fontId="13" fillId="5" borderId="12" xfId="2" applyNumberFormat="1" applyFont="1" applyFill="1" applyBorder="1" applyAlignment="1">
      <alignment horizontal="center" vertical="center"/>
    </xf>
    <xf numFmtId="165" fontId="13" fillId="5" borderId="13" xfId="2" applyNumberFormat="1" applyFont="1" applyFill="1" applyBorder="1" applyAlignment="1">
      <alignment horizontal="center" vertical="center"/>
    </xf>
    <xf numFmtId="0" fontId="12" fillId="2" borderId="0" xfId="0" applyFont="1" applyFill="1" applyAlignment="1">
      <alignment vertical="center"/>
    </xf>
    <xf numFmtId="0" fontId="12" fillId="0" borderId="0" xfId="0" applyFont="1" applyAlignment="1">
      <alignment vertical="center"/>
    </xf>
    <xf numFmtId="0" fontId="12" fillId="0" borderId="0" xfId="0" applyFont="1" applyAlignment="1">
      <alignment horizontal="left" vertical="center"/>
    </xf>
    <xf numFmtId="3" fontId="12" fillId="0" borderId="0" xfId="0" applyNumberFormat="1" applyFont="1" applyAlignment="1">
      <alignment horizontal="center" vertical="center"/>
    </xf>
    <xf numFmtId="165" fontId="12" fillId="0" borderId="0" xfId="0" applyNumberFormat="1" applyFont="1" applyAlignment="1">
      <alignment horizontal="center" vertical="center"/>
    </xf>
    <xf numFmtId="0" fontId="12" fillId="3" borderId="0" xfId="0" applyFont="1" applyFill="1" applyAlignment="1">
      <alignment horizontal="left" vertical="center"/>
    </xf>
    <xf numFmtId="3" fontId="12" fillId="3" borderId="0" xfId="0" applyNumberFormat="1" applyFont="1" applyFill="1" applyAlignment="1">
      <alignment horizontal="center" vertical="center"/>
    </xf>
    <xf numFmtId="165" fontId="12" fillId="3" borderId="0" xfId="0" applyNumberFormat="1" applyFont="1" applyFill="1" applyAlignment="1">
      <alignment horizontal="center" vertical="center"/>
    </xf>
    <xf numFmtId="3" fontId="12" fillId="0" borderId="0" xfId="0" applyNumberFormat="1" applyFont="1" applyAlignment="1">
      <alignment horizontal="right" vertical="center"/>
    </xf>
    <xf numFmtId="3" fontId="13" fillId="0" borderId="0" xfId="0" applyNumberFormat="1" applyFont="1" applyAlignment="1">
      <alignment horizontal="right" vertical="center"/>
    </xf>
    <xf numFmtId="3" fontId="12" fillId="2" borderId="0" xfId="0" applyNumberFormat="1" applyFont="1" applyFill="1" applyAlignment="1">
      <alignment horizontal="right" vertical="center"/>
    </xf>
    <xf numFmtId="3" fontId="13" fillId="2" borderId="0" xfId="0" applyNumberFormat="1" applyFont="1" applyFill="1" applyAlignment="1">
      <alignment horizontal="right" vertical="center"/>
    </xf>
    <xf numFmtId="3" fontId="12" fillId="0" borderId="0" xfId="0" applyNumberFormat="1" applyFont="1" applyAlignment="1">
      <alignment vertical="center"/>
    </xf>
    <xf numFmtId="3" fontId="13" fillId="0" borderId="0" xfId="0" applyNumberFormat="1" applyFont="1" applyAlignment="1">
      <alignment vertical="center"/>
    </xf>
    <xf numFmtId="3" fontId="12" fillId="2" borderId="0" xfId="0" applyNumberFormat="1" applyFont="1" applyFill="1" applyAlignment="1">
      <alignment vertical="center"/>
    </xf>
    <xf numFmtId="3" fontId="13" fillId="2" borderId="0" xfId="0" applyNumberFormat="1" applyFont="1" applyFill="1" applyAlignment="1">
      <alignment vertical="center"/>
    </xf>
    <xf numFmtId="0" fontId="13" fillId="0" borderId="0" xfId="0" applyFont="1" applyAlignment="1">
      <alignment vertical="center"/>
    </xf>
    <xf numFmtId="166" fontId="10" fillId="0" borderId="0" xfId="0" applyNumberFormat="1" applyFont="1" applyAlignment="1">
      <alignment horizontal="center" vertical="center"/>
    </xf>
    <xf numFmtId="167" fontId="12" fillId="0" borderId="0" xfId="0" applyNumberFormat="1" applyFont="1" applyAlignment="1">
      <alignment horizontal="center" vertical="center"/>
    </xf>
    <xf numFmtId="0" fontId="13" fillId="2" borderId="0" xfId="0" applyFont="1" applyFill="1" applyAlignment="1">
      <alignment vertical="center"/>
    </xf>
    <xf numFmtId="166" fontId="12" fillId="2" borderId="0" xfId="0" applyNumberFormat="1" applyFont="1" applyFill="1" applyAlignment="1">
      <alignment horizontal="center" vertical="center"/>
    </xf>
    <xf numFmtId="0" fontId="13" fillId="0" borderId="0" xfId="0" applyFont="1" applyAlignment="1">
      <alignment vertical="center" wrapText="1"/>
    </xf>
    <xf numFmtId="165" fontId="10" fillId="0" borderId="0" xfId="2" applyNumberFormat="1" applyFont="1" applyAlignment="1">
      <alignment horizontal="center" vertical="center"/>
    </xf>
    <xf numFmtId="165" fontId="12" fillId="0" borderId="0" xfId="2" applyNumberFormat="1" applyFont="1" applyAlignment="1">
      <alignment horizontal="center" vertical="center"/>
    </xf>
    <xf numFmtId="0" fontId="13" fillId="2" borderId="0" xfId="0" applyFont="1" applyFill="1" applyAlignment="1">
      <alignment vertical="center" wrapText="1"/>
    </xf>
    <xf numFmtId="165" fontId="12" fillId="2" borderId="0" xfId="2" applyNumberFormat="1" applyFont="1" applyFill="1" applyAlignment="1">
      <alignment horizontal="center" vertical="center"/>
    </xf>
    <xf numFmtId="0" fontId="12" fillId="5" borderId="3" xfId="0" applyFont="1" applyFill="1" applyBorder="1" applyAlignment="1">
      <alignment vertical="center"/>
    </xf>
    <xf numFmtId="166" fontId="12" fillId="5" borderId="3" xfId="0" applyNumberFormat="1" applyFont="1" applyFill="1" applyBorder="1" applyAlignment="1">
      <alignment horizontal="center" vertical="center"/>
    </xf>
    <xf numFmtId="166" fontId="12" fillId="5" borderId="4" xfId="0" applyNumberFormat="1" applyFont="1" applyFill="1" applyBorder="1" applyAlignment="1">
      <alignment horizontal="center" vertical="center"/>
    </xf>
    <xf numFmtId="167" fontId="12" fillId="5" borderId="3" xfId="0" applyNumberFormat="1" applyFont="1" applyFill="1" applyBorder="1" applyAlignment="1">
      <alignment horizontal="center" vertical="center"/>
    </xf>
    <xf numFmtId="166" fontId="12" fillId="2" borderId="1" xfId="0" applyNumberFormat="1" applyFont="1" applyFill="1" applyBorder="1" applyAlignment="1">
      <alignment horizontal="center" vertical="center"/>
    </xf>
    <xf numFmtId="167" fontId="12" fillId="2" borderId="0" xfId="0" applyNumberFormat="1" applyFont="1" applyFill="1" applyAlignment="1">
      <alignment horizontal="center" vertical="center"/>
    </xf>
    <xf numFmtId="0" fontId="12" fillId="5" borderId="0" xfId="0" applyFont="1" applyFill="1" applyAlignment="1">
      <alignment vertical="center"/>
    </xf>
    <xf numFmtId="166" fontId="12" fillId="5" borderId="0" xfId="0" applyNumberFormat="1" applyFont="1" applyFill="1" applyAlignment="1">
      <alignment horizontal="center" vertical="center"/>
    </xf>
    <xf numFmtId="166" fontId="12" fillId="5" borderId="1" xfId="0" applyNumberFormat="1" applyFont="1" applyFill="1" applyBorder="1" applyAlignment="1">
      <alignment horizontal="center" vertical="center"/>
    </xf>
    <xf numFmtId="167" fontId="12" fillId="5" borderId="0" xfId="0" applyNumberFormat="1" applyFont="1" applyFill="1" applyAlignment="1">
      <alignment horizontal="center" vertical="center"/>
    </xf>
    <xf numFmtId="0" fontId="12" fillId="5" borderId="7" xfId="0" applyFont="1" applyFill="1" applyBorder="1" applyAlignment="1">
      <alignment vertical="center"/>
    </xf>
    <xf numFmtId="166" fontId="12" fillId="5" borderId="7" xfId="0" applyNumberFormat="1" applyFont="1" applyFill="1" applyBorder="1" applyAlignment="1">
      <alignment horizontal="center" vertical="center"/>
    </xf>
    <xf numFmtId="166" fontId="12" fillId="5" borderId="8" xfId="0" applyNumberFormat="1" applyFont="1" applyFill="1" applyBorder="1" applyAlignment="1">
      <alignment horizontal="center" vertical="center"/>
    </xf>
    <xf numFmtId="167" fontId="12" fillId="5" borderId="7" xfId="0" applyNumberFormat="1" applyFont="1" applyFill="1" applyBorder="1" applyAlignment="1">
      <alignment horizontal="center" vertical="center"/>
    </xf>
    <xf numFmtId="166" fontId="13" fillId="5" borderId="0" xfId="0" applyNumberFormat="1" applyFont="1" applyFill="1" applyAlignment="1">
      <alignment horizontal="center" vertical="center"/>
    </xf>
    <xf numFmtId="166" fontId="13" fillId="5" borderId="1" xfId="0" applyNumberFormat="1" applyFont="1" applyFill="1" applyBorder="1" applyAlignment="1">
      <alignment horizontal="center" vertical="center"/>
    </xf>
    <xf numFmtId="167" fontId="13" fillId="5" borderId="0" xfId="0" applyNumberFormat="1" applyFont="1" applyFill="1" applyAlignment="1">
      <alignment horizontal="center" vertical="center"/>
    </xf>
    <xf numFmtId="167" fontId="13" fillId="5" borderId="12" xfId="0" applyNumberFormat="1" applyFont="1" applyFill="1" applyBorder="1" applyAlignment="1">
      <alignment horizontal="center" vertical="center"/>
    </xf>
    <xf numFmtId="166" fontId="13" fillId="5" borderId="12" xfId="0" applyNumberFormat="1" applyFont="1" applyFill="1" applyBorder="1" applyAlignment="1">
      <alignment horizontal="center" vertical="center"/>
    </xf>
    <xf numFmtId="166" fontId="13" fillId="5" borderId="13" xfId="0" applyNumberFormat="1" applyFont="1" applyFill="1" applyBorder="1" applyAlignment="1">
      <alignment horizontal="center" vertical="center"/>
    </xf>
    <xf numFmtId="0" fontId="12" fillId="0" borderId="0" xfId="0" applyFont="1" applyAlignment="1">
      <alignment horizontal="center" vertical="center"/>
    </xf>
    <xf numFmtId="3" fontId="12" fillId="2" borderId="0" xfId="0" applyNumberFormat="1" applyFont="1" applyFill="1" applyAlignment="1">
      <alignment horizontal="center" vertical="center"/>
    </xf>
    <xf numFmtId="0" fontId="12" fillId="4" borderId="0" xfId="0" applyFont="1" applyFill="1" applyAlignment="1">
      <alignment horizontal="left" vertical="center"/>
    </xf>
    <xf numFmtId="3" fontId="12" fillId="4" borderId="0" xfId="0" applyNumberFormat="1" applyFont="1" applyFill="1" applyAlignment="1">
      <alignment vertical="center"/>
    </xf>
    <xf numFmtId="0" fontId="8" fillId="0" borderId="0" xfId="0" applyFont="1" applyAlignment="1">
      <alignment vertical="center"/>
    </xf>
    <xf numFmtId="0" fontId="5" fillId="0" borderId="0" xfId="0" applyFont="1" applyAlignment="1">
      <alignment horizontal="left" vertical="center"/>
    </xf>
    <xf numFmtId="0" fontId="9" fillId="0" borderId="0" xfId="0" applyFont="1" applyAlignment="1">
      <alignment vertical="center" wrapText="1"/>
    </xf>
    <xf numFmtId="0" fontId="11" fillId="6" borderId="0" xfId="0" applyFont="1" applyFill="1" applyAlignment="1">
      <alignment horizontal="center" vertical="center"/>
    </xf>
    <xf numFmtId="0" fontId="11" fillId="6" borderId="0" xfId="0" applyFont="1" applyFill="1" applyAlignment="1">
      <alignment horizontal="center" vertical="center" wrapText="1"/>
    </xf>
    <xf numFmtId="0" fontId="11" fillId="6" borderId="1" xfId="0" applyFont="1" applyFill="1" applyBorder="1" applyAlignment="1">
      <alignment horizontal="center" vertical="center" wrapText="1"/>
    </xf>
    <xf numFmtId="0" fontId="14" fillId="6" borderId="0" xfId="0" applyFont="1" applyFill="1" applyAlignment="1">
      <alignment vertical="center"/>
    </xf>
    <xf numFmtId="0" fontId="11" fillId="7" borderId="14" xfId="0" applyFont="1" applyFill="1" applyBorder="1" applyAlignment="1">
      <alignment vertical="center"/>
    </xf>
    <xf numFmtId="166" fontId="11" fillId="7" borderId="14" xfId="0" applyNumberFormat="1" applyFont="1" applyFill="1" applyBorder="1" applyAlignment="1">
      <alignment horizontal="center" vertical="center"/>
    </xf>
    <xf numFmtId="0" fontId="11" fillId="8" borderId="0" xfId="0" applyFont="1" applyFill="1" applyAlignment="1">
      <alignment horizontal="left" vertical="center"/>
    </xf>
    <xf numFmtId="0" fontId="11" fillId="8" borderId="0" xfId="0" applyFont="1" applyFill="1" applyAlignment="1">
      <alignment horizontal="right" vertical="center"/>
    </xf>
    <xf numFmtId="0" fontId="11" fillId="7" borderId="0" xfId="0" applyFont="1" applyFill="1" applyAlignment="1">
      <alignment vertical="center"/>
    </xf>
    <xf numFmtId="3" fontId="11" fillId="7" borderId="0" xfId="0" applyNumberFormat="1" applyFont="1" applyFill="1" applyAlignment="1">
      <alignment horizontal="right" vertical="center"/>
    </xf>
    <xf numFmtId="3" fontId="11" fillId="7" borderId="0" xfId="0" applyNumberFormat="1" applyFont="1" applyFill="1" applyAlignment="1">
      <alignment vertical="center"/>
    </xf>
    <xf numFmtId="0" fontId="11" fillId="7" borderId="0" xfId="0" applyFont="1" applyFill="1" applyAlignment="1">
      <alignment horizontal="left" vertical="center"/>
    </xf>
    <xf numFmtId="3" fontId="11" fillId="7" borderId="0" xfId="0" applyNumberFormat="1" applyFont="1" applyFill="1" applyAlignment="1">
      <alignment horizontal="center" vertical="center"/>
    </xf>
    <xf numFmtId="165" fontId="11" fillId="7" borderId="0" xfId="0" applyNumberFormat="1" applyFont="1" applyFill="1" applyAlignment="1">
      <alignment horizontal="center" vertical="center"/>
    </xf>
    <xf numFmtId="0" fontId="11" fillId="8" borderId="0" xfId="0" applyFont="1" applyFill="1" applyAlignment="1">
      <alignment horizontal="center" vertical="center"/>
    </xf>
    <xf numFmtId="3" fontId="11" fillId="6" borderId="0" xfId="0" applyNumberFormat="1" applyFont="1" applyFill="1" applyAlignment="1">
      <alignment horizontal="left" vertical="center"/>
    </xf>
    <xf numFmtId="3" fontId="11" fillId="6" borderId="0" xfId="0" applyNumberFormat="1" applyFont="1" applyFill="1" applyAlignment="1">
      <alignment horizontal="right" vertical="center"/>
    </xf>
    <xf numFmtId="1" fontId="11" fillId="6" borderId="0" xfId="0" applyNumberFormat="1" applyFont="1" applyFill="1" applyAlignment="1">
      <alignment horizontal="center" vertical="center"/>
    </xf>
    <xf numFmtId="0" fontId="7" fillId="0" borderId="0" xfId="0" applyFont="1" applyAlignment="1">
      <alignment horizontal="left" vertical="center" wrapText="1"/>
    </xf>
    <xf numFmtId="166" fontId="11" fillId="7" borderId="0" xfId="0" applyNumberFormat="1" applyFont="1" applyFill="1" applyAlignment="1">
      <alignment horizontal="center" vertical="center"/>
    </xf>
    <xf numFmtId="0" fontId="17" fillId="0" borderId="0" xfId="0" applyFont="1" applyAlignment="1">
      <alignment vertical="center"/>
    </xf>
    <xf numFmtId="0" fontId="16" fillId="6" borderId="0" xfId="0" applyFont="1" applyFill="1" applyAlignment="1">
      <alignment vertical="center"/>
    </xf>
    <xf numFmtId="3" fontId="17" fillId="0" borderId="0" xfId="0" applyNumberFormat="1" applyFont="1" applyAlignment="1">
      <alignment vertical="center"/>
    </xf>
    <xf numFmtId="0" fontId="17" fillId="2" borderId="0" xfId="0" applyFont="1" applyFill="1" applyAlignment="1">
      <alignment vertical="center"/>
    </xf>
    <xf numFmtId="3" fontId="17" fillId="2" borderId="0" xfId="0" applyNumberFormat="1" applyFont="1" applyFill="1" applyAlignment="1">
      <alignment vertical="center"/>
    </xf>
    <xf numFmtId="0" fontId="18" fillId="0" borderId="0" xfId="0" applyFont="1" applyAlignment="1">
      <alignment vertical="center"/>
    </xf>
    <xf numFmtId="0" fontId="18" fillId="0" borderId="0" xfId="0" applyFont="1"/>
    <xf numFmtId="0" fontId="15" fillId="0" borderId="0" xfId="0" applyFont="1" applyAlignment="1">
      <alignment horizontal="center" vertical="center" wrapText="1"/>
    </xf>
    <xf numFmtId="0" fontId="0" fillId="0" borderId="0" xfId="0" applyAlignment="1">
      <alignment horizontal="center" vertical="center" wrapText="1"/>
    </xf>
    <xf numFmtId="0" fontId="11" fillId="6" borderId="0" xfId="0" applyFont="1" applyFill="1" applyAlignment="1">
      <alignment horizontal="center" vertical="center"/>
    </xf>
    <xf numFmtId="0" fontId="13" fillId="5" borderId="2" xfId="0" applyFont="1" applyFill="1" applyBorder="1" applyAlignment="1">
      <alignment horizontal="left" vertical="center" wrapText="1"/>
    </xf>
    <xf numFmtId="0" fontId="13" fillId="5" borderId="5" xfId="0" applyFont="1" applyFill="1" applyBorder="1" applyAlignment="1">
      <alignment horizontal="left" vertical="center" wrapText="1"/>
    </xf>
    <xf numFmtId="0" fontId="13" fillId="5" borderId="6" xfId="0" applyFont="1" applyFill="1" applyBorder="1" applyAlignment="1">
      <alignment horizontal="left" vertical="center" wrapText="1"/>
    </xf>
    <xf numFmtId="0" fontId="7" fillId="0" borderId="3" xfId="0" applyFont="1" applyBorder="1" applyAlignment="1">
      <alignment horizontal="left" vertical="center"/>
    </xf>
    <xf numFmtId="0" fontId="9" fillId="0" borderId="0" xfId="0" applyFont="1" applyAlignment="1">
      <alignment horizontal="left" vertical="center" wrapText="1"/>
    </xf>
    <xf numFmtId="0" fontId="9" fillId="0" borderId="0" xfId="0" applyFont="1" applyAlignment="1">
      <alignment horizontal="left" vertical="center"/>
    </xf>
    <xf numFmtId="0" fontId="7" fillId="0" borderId="0" xfId="0" applyFont="1" applyAlignment="1">
      <alignment horizontal="left" vertical="center"/>
    </xf>
    <xf numFmtId="0" fontId="11" fillId="8" borderId="0" xfId="0" applyFont="1" applyFill="1" applyAlignment="1">
      <alignment horizontal="center" vertical="center"/>
    </xf>
    <xf numFmtId="0" fontId="13" fillId="2" borderId="0" xfId="0" applyFont="1" applyFill="1" applyAlignment="1">
      <alignment horizontal="left" vertical="center"/>
    </xf>
    <xf numFmtId="0" fontId="13" fillId="0" borderId="0" xfId="0" applyFont="1" applyAlignment="1">
      <alignment horizontal="left" vertical="center"/>
    </xf>
    <xf numFmtId="0" fontId="11" fillId="7" borderId="0" xfId="0" applyFont="1" applyFill="1" applyAlignment="1">
      <alignment horizontal="left" vertical="center"/>
    </xf>
    <xf numFmtId="0" fontId="13" fillId="2" borderId="0" xfId="0" applyFont="1" applyFill="1" applyAlignment="1">
      <alignment horizontal="center" vertical="center"/>
    </xf>
    <xf numFmtId="0" fontId="13" fillId="0" borderId="0" xfId="0" applyFont="1" applyAlignment="1">
      <alignment horizontal="center" vertical="center"/>
    </xf>
    <xf numFmtId="0" fontId="11" fillId="7" borderId="0" xfId="0" applyFont="1" applyFill="1" applyAlignment="1">
      <alignment horizontal="center" vertical="center"/>
    </xf>
    <xf numFmtId="0" fontId="16" fillId="6" borderId="0" xfId="0" applyFont="1" applyFill="1" applyAlignment="1">
      <alignment horizontal="center" vertical="center"/>
    </xf>
    <xf numFmtId="0" fontId="17" fillId="0" borderId="0" xfId="0" applyFont="1" applyAlignment="1">
      <alignment horizontal="left" vertical="center"/>
    </xf>
    <xf numFmtId="0" fontId="17" fillId="2" borderId="0" xfId="0" applyFont="1" applyFill="1" applyAlignment="1">
      <alignment horizontal="left" vertical="center"/>
    </xf>
    <xf numFmtId="0" fontId="11" fillId="7" borderId="0" xfId="0" applyFont="1" applyFill="1" applyAlignment="1">
      <alignment horizontal="left" vertical="center" wrapText="1"/>
    </xf>
    <xf numFmtId="0" fontId="7" fillId="0" borderId="0" xfId="0" applyFont="1" applyAlignment="1">
      <alignment horizontal="left" vertical="center" wrapText="1"/>
    </xf>
    <xf numFmtId="0" fontId="13" fillId="3" borderId="0" xfId="0" applyFont="1" applyFill="1" applyAlignment="1">
      <alignment horizontal="center" vertical="center"/>
    </xf>
    <xf numFmtId="0" fontId="11" fillId="8" borderId="0" xfId="0" applyFont="1" applyFill="1" applyAlignment="1">
      <alignment horizontal="center" vertical="center" wrapText="1"/>
    </xf>
    <xf numFmtId="0" fontId="13" fillId="3" borderId="0" xfId="0" applyFont="1" applyFill="1" applyAlignment="1">
      <alignment horizontal="left" vertical="center"/>
    </xf>
    <xf numFmtId="3" fontId="11" fillId="6" borderId="0" xfId="0" applyNumberFormat="1" applyFont="1" applyFill="1" applyAlignment="1">
      <alignment horizontal="center" vertical="center"/>
    </xf>
  </cellXfs>
  <cellStyles count="5">
    <cellStyle name="Comma 2" xfId="3" xr:uid="{00000000-0005-0000-0000-000032000000}"/>
    <cellStyle name="Normal" xfId="0" builtinId="0"/>
    <cellStyle name="Normal 2" xfId="1" xr:uid="{00000000-0005-0000-0000-000002000000}"/>
    <cellStyle name="Normal 5" xfId="4" xr:uid="{00000000-0005-0000-0000-00003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14</xdr:col>
      <xdr:colOff>523875</xdr:colOff>
      <xdr:row>26</xdr:row>
      <xdr:rowOff>30944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0" y="3048000"/>
          <a:ext cx="89693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700" b="0" i="0" u="none" strike="noStrike" kern="1200" cap="none" spc="0" normalizeH="0" baseline="0" noProof="0">
              <a:ln>
                <a:noFill/>
              </a:ln>
              <a:solidFill>
                <a:prstClr val="black"/>
              </a:solidFill>
              <a:effectLst/>
              <a:uLnTx/>
              <a:uFillTx/>
              <a:latin typeface="Tahoma" panose="020B0604030504040204" pitchFamily="34" charset="0"/>
              <a:ea typeface="Tahoma" panose="020B0604030504040204" pitchFamily="34" charset="0"/>
              <a:cs typeface="Tahoma" panose="020B0604030504040204" pitchFamily="34" charset="0"/>
            </a:rPr>
            <a:t> </a:t>
          </a: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May 2026</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6</xdr:col>
      <xdr:colOff>9525</xdr:colOff>
      <xdr:row>5</xdr:row>
      <xdr:rowOff>19051</xdr:rowOff>
    </xdr:from>
    <xdr:to>
      <xdr:col>8</xdr:col>
      <xdr:colOff>590325</xdr:colOff>
      <xdr:row>12</xdr:row>
      <xdr:rowOff>13368</xdr:rowOff>
    </xdr:to>
    <xdr:pic>
      <xdr:nvPicPr>
        <xdr:cNvPr id="5" name="Picture 4">
          <a:extLst>
            <a:ext uri="{FF2B5EF4-FFF2-40B4-BE49-F238E27FC236}">
              <a16:creationId xmlns:a16="http://schemas.microsoft.com/office/drawing/2014/main" id="{2B05AB28-BF54-4C07-8413-D0C03201B3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7125" y="1352551"/>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15875</xdr:colOff>
      <xdr:row>0</xdr:row>
      <xdr:rowOff>155576</xdr:rowOff>
    </xdr:from>
    <xdr:to>
      <xdr:col>13</xdr:col>
      <xdr:colOff>365125</xdr:colOff>
      <xdr:row>16</xdr:row>
      <xdr:rowOff>180975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5875" y="155576"/>
          <a:ext cx="8274050" cy="3073399"/>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2017-2019,</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Regional Area</a:t>
          </a:r>
          <a:r>
            <a:rPr kumimoji="0" lang="en-US"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2020-2024,</a:t>
          </a:r>
          <a:endParaRPr kumimoji="0" lang="el-GR"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1"/>
  <sheetViews>
    <sheetView showGridLines="0" tabSelected="1" zoomScaleNormal="100" workbookViewId="0">
      <selection activeCell="E8" sqref="E8"/>
    </sheetView>
  </sheetViews>
  <sheetFormatPr defaultRowHeight="14.4" x14ac:dyDescent="0.3"/>
  <sheetData>
    <row r="1" spans="1:15" ht="45" customHeight="1" x14ac:dyDescent="0.3">
      <c r="A1" s="92" t="s">
        <v>50</v>
      </c>
      <c r="B1" s="93"/>
      <c r="C1" s="93"/>
      <c r="D1" s="93"/>
      <c r="E1" s="93"/>
      <c r="F1" s="93"/>
      <c r="G1" s="93"/>
      <c r="H1" s="93"/>
      <c r="I1" s="93"/>
      <c r="J1" s="93"/>
      <c r="K1" s="93"/>
      <c r="L1" s="93"/>
      <c r="M1" s="93"/>
      <c r="N1" s="93"/>
      <c r="O1" s="93"/>
    </row>
  </sheetData>
  <mergeCells count="1">
    <mergeCell ref="A1:O1"/>
  </mergeCells>
  <pageMargins left="0.70866141732283472" right="0.70866141732283472" top="0.74803149606299213" bottom="0.74803149606299213" header="0.31496062992125984" footer="0.31496062992125984"/>
  <pageSetup paperSize="9" scale="95" orientation="landscape" verticalDpi="597"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F22" sqref="F22"/>
    </sheetView>
  </sheetViews>
  <sheetFormatPr defaultRowHeight="14.4" x14ac:dyDescent="0.3"/>
  <sheetData/>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14"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20"/>
  <sheetViews>
    <sheetView showGridLines="0" zoomScaleNormal="100" workbookViewId="0">
      <selection activeCell="C17" sqref="C17:H23"/>
    </sheetView>
  </sheetViews>
  <sheetFormatPr defaultRowHeight="15" customHeight="1" x14ac:dyDescent="0.3"/>
  <cols>
    <col min="1" max="1" width="21.88671875" style="13" customWidth="1"/>
    <col min="2" max="2" width="15.44140625" style="13" customWidth="1"/>
    <col min="3" max="3" width="12.5546875" style="13" customWidth="1"/>
    <col min="4" max="4" width="12.33203125" style="13" customWidth="1"/>
    <col min="5" max="5" width="15.33203125" style="13" customWidth="1"/>
    <col min="6" max="6" width="12.6640625" style="13" customWidth="1"/>
    <col min="7" max="7" width="16.5546875" style="13" customWidth="1"/>
    <col min="8" max="8" width="15.88671875" style="13" customWidth="1"/>
    <col min="9" max="16384" width="8.88671875" style="13"/>
  </cols>
  <sheetData>
    <row r="3" spans="1:8" ht="15" customHeight="1" x14ac:dyDescent="0.3">
      <c r="A3" s="94" t="s">
        <v>131</v>
      </c>
      <c r="B3" s="94"/>
      <c r="C3" s="94"/>
      <c r="D3" s="94"/>
      <c r="E3" s="94"/>
      <c r="F3" s="94"/>
      <c r="G3" s="94"/>
      <c r="H3" s="94"/>
    </row>
    <row r="4" spans="1:8" ht="40.799999999999997" x14ac:dyDescent="0.3">
      <c r="A4" s="65" t="s">
        <v>85</v>
      </c>
      <c r="B4" s="66" t="s">
        <v>31</v>
      </c>
      <c r="C4" s="66" t="s">
        <v>32</v>
      </c>
      <c r="D4" s="66" t="s">
        <v>33</v>
      </c>
      <c r="E4" s="67" t="s">
        <v>49</v>
      </c>
      <c r="F4" s="66" t="s">
        <v>82</v>
      </c>
      <c r="G4" s="66" t="s">
        <v>83</v>
      </c>
      <c r="H4" s="66" t="s">
        <v>84</v>
      </c>
    </row>
    <row r="5" spans="1:8" ht="15" customHeight="1" x14ac:dyDescent="0.3">
      <c r="A5" s="95" t="s">
        <v>51</v>
      </c>
      <c r="B5" s="38" t="s">
        <v>34</v>
      </c>
      <c r="C5" s="39">
        <v>35.6034067445879</v>
      </c>
      <c r="D5" s="39">
        <v>13.098236246627399</v>
      </c>
      <c r="E5" s="40">
        <v>279.04357692662001</v>
      </c>
      <c r="F5" s="41">
        <v>367.89277892960263</v>
      </c>
      <c r="G5" s="39">
        <v>46.939751815437191</v>
      </c>
      <c r="H5" s="40">
        <v>7.8375527074817812</v>
      </c>
    </row>
    <row r="6" spans="1:8" ht="15" customHeight="1" x14ac:dyDescent="0.3">
      <c r="A6" s="96"/>
      <c r="B6" s="12" t="s">
        <v>37</v>
      </c>
      <c r="C6" s="32">
        <v>119.66680801426401</v>
      </c>
      <c r="D6" s="32">
        <v>15.079111317181299</v>
      </c>
      <c r="E6" s="42">
        <v>153.78460362035199</v>
      </c>
      <c r="F6" s="43">
        <v>126.00913793391985</v>
      </c>
      <c r="G6" s="32">
        <v>98.053452440577857</v>
      </c>
      <c r="H6" s="42">
        <v>1.2851065903088281</v>
      </c>
    </row>
    <row r="7" spans="1:8" ht="15" customHeight="1" x14ac:dyDescent="0.3">
      <c r="A7" s="96"/>
      <c r="B7" s="44" t="s">
        <v>38</v>
      </c>
      <c r="C7" s="45">
        <v>1.3776068055212001</v>
      </c>
      <c r="D7" s="45">
        <v>0.11093682000511</v>
      </c>
      <c r="E7" s="46">
        <v>0.65550308582271999</v>
      </c>
      <c r="F7" s="47">
        <v>80.528652704454714</v>
      </c>
      <c r="G7" s="45">
        <v>169.23920329966643</v>
      </c>
      <c r="H7" s="46">
        <v>0.47582741548283708</v>
      </c>
    </row>
    <row r="8" spans="1:8" ht="15" customHeight="1" x14ac:dyDescent="0.3">
      <c r="A8" s="96"/>
      <c r="B8" s="12" t="s">
        <v>39</v>
      </c>
      <c r="C8" s="32">
        <v>1.9394709866186299</v>
      </c>
      <c r="D8" s="32">
        <v>0.30400681138808</v>
      </c>
      <c r="E8" s="42">
        <v>7.0932980757898596</v>
      </c>
      <c r="F8" s="43">
        <v>156.74728494809844</v>
      </c>
      <c r="G8" s="32">
        <v>42.858316137268481</v>
      </c>
      <c r="H8" s="42">
        <v>3.6573365235829942</v>
      </c>
    </row>
    <row r="9" spans="1:8" ht="15" customHeight="1" x14ac:dyDescent="0.3">
      <c r="A9" s="97"/>
      <c r="B9" s="48" t="s">
        <v>35</v>
      </c>
      <c r="C9" s="49">
        <v>58.849386565692242</v>
      </c>
      <c r="D9" s="49">
        <v>15.925820758640707</v>
      </c>
      <c r="E9" s="50">
        <v>177.86617454172443</v>
      </c>
      <c r="F9" s="51">
        <v>270.61999602770834</v>
      </c>
      <c r="G9" s="49">
        <v>89.538220517048202</v>
      </c>
      <c r="H9" s="50">
        <v>3.0223964075339413</v>
      </c>
    </row>
    <row r="10" spans="1:8" ht="15" customHeight="1" x14ac:dyDescent="0.3">
      <c r="A10" s="6"/>
      <c r="B10" s="7" t="s">
        <v>1</v>
      </c>
      <c r="C10" s="52">
        <v>217.43667911668399</v>
      </c>
      <c r="D10" s="52">
        <v>44.518111953842599</v>
      </c>
      <c r="E10" s="53">
        <v>618.44315625030902</v>
      </c>
      <c r="F10" s="54">
        <v>204.74058072765476</v>
      </c>
      <c r="G10" s="52">
        <v>71.984161363771818</v>
      </c>
      <c r="H10" s="53">
        <v>2.8442448567678471</v>
      </c>
    </row>
    <row r="11" spans="1:8" ht="15" customHeight="1" x14ac:dyDescent="0.3">
      <c r="A11" s="8"/>
      <c r="B11" s="9" t="s">
        <v>36</v>
      </c>
      <c r="C11" s="10">
        <v>5.2081482964375187E-3</v>
      </c>
      <c r="D11" s="10">
        <v>1.9692080569025916E-3</v>
      </c>
      <c r="E11" s="11">
        <v>2.6526068495555024E-3</v>
      </c>
      <c r="F11" s="55"/>
      <c r="G11" s="56"/>
      <c r="H11" s="57"/>
    </row>
    <row r="12" spans="1:8" ht="15" customHeight="1" x14ac:dyDescent="0.3">
      <c r="A12" s="98" t="s">
        <v>89</v>
      </c>
      <c r="B12" s="98"/>
      <c r="C12" s="98"/>
      <c r="D12" s="98"/>
      <c r="E12" s="98"/>
      <c r="F12" s="1"/>
    </row>
    <row r="15" spans="1:8" ht="15" customHeight="1" x14ac:dyDescent="0.3">
      <c r="A15" s="94" t="s">
        <v>126</v>
      </c>
      <c r="B15" s="94"/>
      <c r="C15" s="94"/>
      <c r="D15" s="94"/>
      <c r="E15" s="94"/>
      <c r="F15" s="94"/>
      <c r="G15" s="94"/>
      <c r="H15" s="94"/>
    </row>
    <row r="16" spans="1:8" ht="40.799999999999997" x14ac:dyDescent="0.3">
      <c r="A16" s="65" t="s">
        <v>85</v>
      </c>
      <c r="B16" s="66" t="s">
        <v>31</v>
      </c>
      <c r="C16" s="66" t="s">
        <v>32</v>
      </c>
      <c r="D16" s="66" t="s">
        <v>33</v>
      </c>
      <c r="E16" s="67" t="s">
        <v>49</v>
      </c>
      <c r="F16" s="66" t="s">
        <v>82</v>
      </c>
      <c r="G16" s="66" t="s">
        <v>83</v>
      </c>
      <c r="H16" s="66" t="s">
        <v>84</v>
      </c>
    </row>
    <row r="17" spans="1:8" ht="15" customHeight="1" x14ac:dyDescent="0.3">
      <c r="A17" s="95" t="s">
        <v>51</v>
      </c>
      <c r="B17" s="38" t="s">
        <v>34</v>
      </c>
      <c r="C17" s="39">
        <v>27.816566756786202</v>
      </c>
      <c r="D17" s="39">
        <v>10.957902554345701</v>
      </c>
      <c r="E17" s="40">
        <v>263.79052805110501</v>
      </c>
      <c r="F17" s="41">
        <v>393.9</v>
      </c>
      <c r="G17" s="39">
        <v>41.5</v>
      </c>
      <c r="H17" s="40">
        <v>9.491566265060241</v>
      </c>
    </row>
    <row r="18" spans="1:8" ht="15" customHeight="1" x14ac:dyDescent="0.3">
      <c r="A18" s="96"/>
      <c r="B18" s="12" t="s">
        <v>37</v>
      </c>
      <c r="C18" s="32">
        <v>99.745641706144994</v>
      </c>
      <c r="D18" s="32">
        <v>13.403892107972</v>
      </c>
      <c r="E18" s="42">
        <v>135.53585045124899</v>
      </c>
      <c r="F18" s="43">
        <v>134.38072961082801</v>
      </c>
      <c r="G18" s="32">
        <v>98.9</v>
      </c>
      <c r="H18" s="42">
        <v>1.3587535855493227</v>
      </c>
    </row>
    <row r="19" spans="1:8" ht="15" customHeight="1" x14ac:dyDescent="0.3">
      <c r="A19" s="96"/>
      <c r="B19" s="44" t="s">
        <v>38</v>
      </c>
      <c r="C19" s="45">
        <v>1.65802382595686</v>
      </c>
      <c r="D19" s="45">
        <v>0.20887748313870999</v>
      </c>
      <c r="E19" s="46">
        <v>0.74182137722231001</v>
      </c>
      <c r="F19" s="47">
        <v>126</v>
      </c>
      <c r="G19" s="45">
        <v>281.60000000000002</v>
      </c>
      <c r="H19" s="46">
        <v>0.44744318181818177</v>
      </c>
    </row>
    <row r="20" spans="1:8" ht="15" customHeight="1" x14ac:dyDescent="0.3">
      <c r="A20" s="96"/>
      <c r="B20" s="12" t="s">
        <v>39</v>
      </c>
      <c r="C20" s="32">
        <v>1.9071726924166801</v>
      </c>
      <c r="D20" s="32" t="s">
        <v>116</v>
      </c>
      <c r="E20" s="42" t="s">
        <v>116</v>
      </c>
      <c r="F20" s="43" t="s">
        <v>117</v>
      </c>
      <c r="G20" s="32" t="s">
        <v>117</v>
      </c>
      <c r="H20" s="42" t="s">
        <v>117</v>
      </c>
    </row>
    <row r="21" spans="1:8" ht="15" customHeight="1" x14ac:dyDescent="0.3">
      <c r="A21" s="97"/>
      <c r="B21" s="48" t="s">
        <v>35</v>
      </c>
      <c r="C21" s="49">
        <v>70.347986041421279</v>
      </c>
      <c r="D21" s="49">
        <v>22.671914334470788</v>
      </c>
      <c r="E21" s="50">
        <v>384.5027160106066</v>
      </c>
      <c r="F21" s="51">
        <v>322.28235107002837</v>
      </c>
      <c r="G21" s="49">
        <v>58.964250161097375</v>
      </c>
      <c r="H21" s="50">
        <v>5.4657245736105269</v>
      </c>
    </row>
    <row r="22" spans="1:8" ht="15" customHeight="1" x14ac:dyDescent="0.3">
      <c r="A22" s="6"/>
      <c r="B22" s="7" t="s">
        <v>1</v>
      </c>
      <c r="C22" s="52">
        <v>201.475391022726</v>
      </c>
      <c r="D22" s="52">
        <v>47.242586479927198</v>
      </c>
      <c r="E22" s="53">
        <v>784.57091589018296</v>
      </c>
      <c r="F22" s="54">
        <v>234.5</v>
      </c>
      <c r="G22" s="52">
        <v>60.21455234078519</v>
      </c>
      <c r="H22" s="53">
        <v>3.8944074295004905</v>
      </c>
    </row>
    <row r="23" spans="1:8" ht="20.399999999999999" x14ac:dyDescent="0.3">
      <c r="A23" s="8"/>
      <c r="B23" s="9" t="s">
        <v>36</v>
      </c>
      <c r="C23" s="10">
        <v>5.1200739933273875E-3</v>
      </c>
      <c r="D23" s="10">
        <v>2.2921856864659062E-3</v>
      </c>
      <c r="E23" s="11">
        <v>3.395984030305024E-3</v>
      </c>
      <c r="F23" s="55"/>
      <c r="G23" s="56"/>
      <c r="H23" s="57"/>
    </row>
    <row r="24" spans="1:8" ht="15" customHeight="1" x14ac:dyDescent="0.3">
      <c r="A24" s="98" t="s">
        <v>89</v>
      </c>
      <c r="B24" s="98"/>
      <c r="C24" s="98"/>
      <c r="D24" s="98"/>
      <c r="E24" s="98"/>
      <c r="F24" s="1"/>
    </row>
    <row r="27" spans="1:8" ht="15" customHeight="1" x14ac:dyDescent="0.3">
      <c r="A27" s="94" t="s">
        <v>101</v>
      </c>
      <c r="B27" s="94"/>
      <c r="C27" s="94"/>
      <c r="D27" s="94"/>
      <c r="E27" s="94"/>
      <c r="F27" s="94"/>
      <c r="G27" s="94"/>
      <c r="H27" s="94"/>
    </row>
    <row r="28" spans="1:8" ht="40.799999999999997" x14ac:dyDescent="0.3">
      <c r="A28" s="65" t="s">
        <v>85</v>
      </c>
      <c r="B28" s="66" t="s">
        <v>31</v>
      </c>
      <c r="C28" s="66" t="s">
        <v>32</v>
      </c>
      <c r="D28" s="66" t="s">
        <v>33</v>
      </c>
      <c r="E28" s="67" t="s">
        <v>49</v>
      </c>
      <c r="F28" s="66" t="s">
        <v>82</v>
      </c>
      <c r="G28" s="66" t="s">
        <v>83</v>
      </c>
      <c r="H28" s="66" t="s">
        <v>84</v>
      </c>
    </row>
    <row r="29" spans="1:8" ht="15" customHeight="1" x14ac:dyDescent="0.3">
      <c r="A29" s="95" t="s">
        <v>51</v>
      </c>
      <c r="B29" s="38" t="s">
        <v>34</v>
      </c>
      <c r="C29" s="39">
        <v>31.867468199052698</v>
      </c>
      <c r="D29" s="39">
        <v>18.929891257378699</v>
      </c>
      <c r="E29" s="40">
        <v>408.49941472476303</v>
      </c>
      <c r="F29" s="41">
        <v>594.01930329505797</v>
      </c>
      <c r="G29" s="39">
        <v>46.340069471416996</v>
      </c>
      <c r="H29" s="40">
        <v>12.818696865818357</v>
      </c>
    </row>
    <row r="30" spans="1:8" ht="15" customHeight="1" x14ac:dyDescent="0.3">
      <c r="A30" s="96"/>
      <c r="B30" s="12" t="s">
        <v>37</v>
      </c>
      <c r="C30" s="32">
        <v>91.726569642711794</v>
      </c>
      <c r="D30" s="32">
        <v>10.280170359070199</v>
      </c>
      <c r="E30" s="42">
        <v>144.22044833634399</v>
      </c>
      <c r="F30" s="43">
        <v>112.0740740563279</v>
      </c>
      <c r="G30" s="32">
        <v>71.280948559356034</v>
      </c>
      <c r="H30" s="42">
        <v>1.5722865130365544</v>
      </c>
    </row>
    <row r="31" spans="1:8" ht="15" customHeight="1" x14ac:dyDescent="0.3">
      <c r="A31" s="96"/>
      <c r="B31" s="44" t="s">
        <v>38</v>
      </c>
      <c r="C31" s="45">
        <v>6.0178207615085801</v>
      </c>
      <c r="D31" s="45">
        <v>0.46548838063054998</v>
      </c>
      <c r="E31" s="46">
        <v>10.087471707546401</v>
      </c>
      <c r="F31" s="47">
        <v>77.351652546371099</v>
      </c>
      <c r="G31" s="45">
        <v>46.145198135457449</v>
      </c>
      <c r="H31" s="46">
        <v>1.676266560158834</v>
      </c>
    </row>
    <row r="32" spans="1:8" ht="15" customHeight="1" x14ac:dyDescent="0.3">
      <c r="A32" s="96"/>
      <c r="B32" s="12" t="s">
        <v>39</v>
      </c>
      <c r="C32" s="32" t="s">
        <v>116</v>
      </c>
      <c r="D32" s="32">
        <v>0.89078512349649996</v>
      </c>
      <c r="E32" s="42">
        <v>26.984640404534101</v>
      </c>
      <c r="F32" s="43" t="s">
        <v>117</v>
      </c>
      <c r="G32" s="32">
        <v>33.01082060544433</v>
      </c>
      <c r="H32" s="42" t="s">
        <v>117</v>
      </c>
    </row>
    <row r="33" spans="1:8" ht="15" customHeight="1" x14ac:dyDescent="0.3">
      <c r="A33" s="97"/>
      <c r="B33" s="48" t="s">
        <v>35</v>
      </c>
      <c r="C33" s="49">
        <v>76.369089406446932</v>
      </c>
      <c r="D33" s="49">
        <v>20.182623033893254</v>
      </c>
      <c r="E33" s="50">
        <v>328.17773185423641</v>
      </c>
      <c r="F33" s="51">
        <v>264.2773822597062</v>
      </c>
      <c r="G33" s="49">
        <v>61.499063083468378</v>
      </c>
      <c r="H33" s="50">
        <v>4.2972586736975327</v>
      </c>
    </row>
    <row r="34" spans="1:8" ht="15" customHeight="1" x14ac:dyDescent="0.3">
      <c r="A34" s="6"/>
      <c r="B34" s="7" t="s">
        <v>1</v>
      </c>
      <c r="C34" s="52">
        <v>205.98094800972001</v>
      </c>
      <c r="D34" s="52">
        <v>50.7489581544692</v>
      </c>
      <c r="E34" s="53">
        <v>917.96970702742396</v>
      </c>
      <c r="F34" s="54">
        <v>246.3769520668213</v>
      </c>
      <c r="G34" s="52">
        <v>55.283913800167589</v>
      </c>
      <c r="H34" s="53">
        <v>4.456575794495838</v>
      </c>
    </row>
    <row r="35" spans="1:8" ht="20.399999999999999" x14ac:dyDescent="0.3">
      <c r="A35" s="8"/>
      <c r="B35" s="9" t="s">
        <v>36</v>
      </c>
      <c r="C35" s="10">
        <v>5.7002259103359366E-3</v>
      </c>
      <c r="D35" s="10">
        <v>2.5700548041284344E-3</v>
      </c>
      <c r="E35" s="11">
        <v>4.0272825319643199E-3</v>
      </c>
      <c r="F35" s="55"/>
      <c r="G35" s="56"/>
      <c r="H35" s="57"/>
    </row>
    <row r="36" spans="1:8" ht="15" customHeight="1" x14ac:dyDescent="0.3">
      <c r="A36" s="98" t="s">
        <v>89</v>
      </c>
      <c r="B36" s="98"/>
      <c r="C36" s="98"/>
      <c r="D36" s="98"/>
      <c r="E36" s="98"/>
      <c r="F36" s="1"/>
    </row>
    <row r="39" spans="1:8" ht="15" customHeight="1" x14ac:dyDescent="0.3">
      <c r="A39" s="94" t="s">
        <v>100</v>
      </c>
      <c r="B39" s="94"/>
      <c r="C39" s="94"/>
      <c r="D39" s="94"/>
      <c r="E39" s="94"/>
      <c r="F39" s="94"/>
      <c r="G39" s="94"/>
      <c r="H39" s="94"/>
    </row>
    <row r="40" spans="1:8" ht="40.799999999999997" x14ac:dyDescent="0.3">
      <c r="A40" s="65" t="s">
        <v>85</v>
      </c>
      <c r="B40" s="66" t="s">
        <v>31</v>
      </c>
      <c r="C40" s="66" t="s">
        <v>32</v>
      </c>
      <c r="D40" s="66" t="s">
        <v>33</v>
      </c>
      <c r="E40" s="67" t="s">
        <v>49</v>
      </c>
      <c r="F40" s="66" t="s">
        <v>82</v>
      </c>
      <c r="G40" s="66" t="s">
        <v>83</v>
      </c>
      <c r="H40" s="66" t="s">
        <v>84</v>
      </c>
    </row>
    <row r="41" spans="1:8" ht="15" customHeight="1" x14ac:dyDescent="0.3">
      <c r="A41" s="95" t="s">
        <v>51</v>
      </c>
      <c r="B41" s="38" t="s">
        <v>34</v>
      </c>
      <c r="C41" s="39">
        <v>26.543143580880901</v>
      </c>
      <c r="D41" s="39">
        <v>18.373436848992799</v>
      </c>
      <c r="E41" s="40">
        <v>513.01571415188096</v>
      </c>
      <c r="F41" s="41">
        <v>692.21027995445263</v>
      </c>
      <c r="G41" s="39">
        <v>35.814569304895109</v>
      </c>
      <c r="H41" s="40">
        <v>19.327617039355037</v>
      </c>
    </row>
    <row r="42" spans="1:8" ht="15" customHeight="1" x14ac:dyDescent="0.3">
      <c r="A42" s="96"/>
      <c r="B42" s="12" t="s">
        <v>37</v>
      </c>
      <c r="C42" s="32">
        <v>95.698337201303005</v>
      </c>
      <c r="D42" s="32">
        <v>13.7637881064804</v>
      </c>
      <c r="E42" s="42">
        <v>224.660915503935</v>
      </c>
      <c r="F42" s="43">
        <v>143.82473623891758</v>
      </c>
      <c r="G42" s="32">
        <v>61.264720103214053</v>
      </c>
      <c r="H42" s="42">
        <v>2.3475947657414058</v>
      </c>
    </row>
    <row r="43" spans="1:8" ht="15" customHeight="1" x14ac:dyDescent="0.3">
      <c r="A43" s="96"/>
      <c r="B43" s="44" t="s">
        <v>38</v>
      </c>
      <c r="C43" s="45">
        <v>4.3148672622095097</v>
      </c>
      <c r="D43" s="45">
        <v>0.79666841562250001</v>
      </c>
      <c r="E43" s="46">
        <v>8.0339307069147008</v>
      </c>
      <c r="F43" s="47">
        <v>184.63335421691531</v>
      </c>
      <c r="G43" s="45">
        <v>99.162968251246909</v>
      </c>
      <c r="H43" s="46">
        <v>1.8619183902312613</v>
      </c>
    </row>
    <row r="44" spans="1:8" ht="15" customHeight="1" x14ac:dyDescent="0.3">
      <c r="A44" s="96"/>
      <c r="B44" s="12" t="s">
        <v>39</v>
      </c>
      <c r="C44" s="32">
        <v>1.35928525286678</v>
      </c>
      <c r="D44" s="32">
        <v>0.32283732467346998</v>
      </c>
      <c r="E44" s="42">
        <v>7.0654711396755001</v>
      </c>
      <c r="F44" s="43">
        <v>237.50520649922066</v>
      </c>
      <c r="G44" s="32">
        <v>45.692257217017961</v>
      </c>
      <c r="H44" s="42">
        <v>5.1979311368045629</v>
      </c>
    </row>
    <row r="45" spans="1:8" ht="15" customHeight="1" x14ac:dyDescent="0.3">
      <c r="A45" s="97"/>
      <c r="B45" s="48" t="s">
        <v>35</v>
      </c>
      <c r="C45" s="49">
        <v>46.025379191805797</v>
      </c>
      <c r="D45" s="49">
        <v>15.437601273292131</v>
      </c>
      <c r="E45" s="50">
        <v>218.18888569073681</v>
      </c>
      <c r="F45" s="51">
        <v>335.414972008326</v>
      </c>
      <c r="G45" s="49">
        <v>70.753380606075183</v>
      </c>
      <c r="H45" s="50">
        <v>4.7406211425539411</v>
      </c>
    </row>
    <row r="46" spans="1:8" ht="15" customHeight="1" x14ac:dyDescent="0.3">
      <c r="A46" s="6"/>
      <c r="B46" s="7" t="s">
        <v>1</v>
      </c>
      <c r="C46" s="52">
        <v>173.941012489066</v>
      </c>
      <c r="D46" s="52">
        <v>48.694331969061302</v>
      </c>
      <c r="E46" s="53">
        <v>970.96491719314304</v>
      </c>
      <c r="F46" s="54">
        <v>279.94738717599591</v>
      </c>
      <c r="G46" s="52">
        <v>50.150454570311823</v>
      </c>
      <c r="H46" s="53">
        <v>5.582150542294781</v>
      </c>
    </row>
    <row r="47" spans="1:8" ht="15" customHeight="1" x14ac:dyDescent="0.3">
      <c r="A47" s="8"/>
      <c r="B47" s="9" t="s">
        <v>36</v>
      </c>
      <c r="C47" s="10">
        <v>5.5454019130146779E-3</v>
      </c>
      <c r="D47" s="10">
        <v>2.8216420092850212E-3</v>
      </c>
      <c r="E47" s="11">
        <v>4.4755465145861102E-3</v>
      </c>
      <c r="F47" s="55"/>
      <c r="G47" s="56"/>
      <c r="H47" s="57"/>
    </row>
    <row r="48" spans="1:8" ht="15" customHeight="1" x14ac:dyDescent="0.3">
      <c r="A48" s="98" t="s">
        <v>89</v>
      </c>
      <c r="B48" s="98"/>
      <c r="C48" s="98"/>
      <c r="D48" s="98"/>
      <c r="E48" s="98"/>
      <c r="F48" s="1"/>
    </row>
    <row r="51" spans="1:8" ht="15" customHeight="1" x14ac:dyDescent="0.3">
      <c r="A51" s="94" t="s">
        <v>97</v>
      </c>
      <c r="B51" s="94"/>
      <c r="C51" s="94"/>
      <c r="D51" s="94"/>
      <c r="E51" s="94"/>
      <c r="F51" s="94"/>
      <c r="G51" s="94"/>
      <c r="H51" s="94"/>
    </row>
    <row r="52" spans="1:8" ht="40.799999999999997" x14ac:dyDescent="0.3">
      <c r="A52" s="65" t="s">
        <v>85</v>
      </c>
      <c r="B52" s="66" t="s">
        <v>31</v>
      </c>
      <c r="C52" s="66" t="s">
        <v>32</v>
      </c>
      <c r="D52" s="66" t="s">
        <v>33</v>
      </c>
      <c r="E52" s="67" t="s">
        <v>49</v>
      </c>
      <c r="F52" s="66" t="s">
        <v>82</v>
      </c>
      <c r="G52" s="66" t="s">
        <v>83</v>
      </c>
      <c r="H52" s="66" t="s">
        <v>84</v>
      </c>
    </row>
    <row r="53" spans="1:8" ht="15" customHeight="1" x14ac:dyDescent="0.3">
      <c r="A53" s="95" t="s">
        <v>51</v>
      </c>
      <c r="B53" s="38" t="s">
        <v>34</v>
      </c>
      <c r="C53" s="39">
        <v>27.909441364062001</v>
      </c>
      <c r="D53" s="39">
        <v>21.1140879427975</v>
      </c>
      <c r="E53" s="40">
        <v>663.45404802554401</v>
      </c>
      <c r="F53" s="41">
        <f>D53/C53*1000</f>
        <v>756.52133868882675</v>
      </c>
      <c r="G53" s="39">
        <f>D53/E53*1000</f>
        <v>31.824491847828131</v>
      </c>
      <c r="H53" s="40">
        <f>F53/G53</f>
        <v>23.771670646186788</v>
      </c>
    </row>
    <row r="54" spans="1:8" ht="15" customHeight="1" x14ac:dyDescent="0.3">
      <c r="A54" s="96"/>
      <c r="B54" s="12" t="s">
        <v>37</v>
      </c>
      <c r="C54" s="32">
        <v>21.963597023440599</v>
      </c>
      <c r="D54" s="32">
        <v>3.8473297683749799</v>
      </c>
      <c r="E54" s="42">
        <v>90.169859256525697</v>
      </c>
      <c r="F54" s="43">
        <f t="shared" ref="F54:F58" si="0">D54/C54*1000</f>
        <v>175.16847373719915</v>
      </c>
      <c r="G54" s="32">
        <f t="shared" ref="G54:G58" si="1">D54/E54*1000</f>
        <v>42.667580942204296</v>
      </c>
      <c r="H54" s="42">
        <f t="shared" ref="H54:H58" si="2">F54/G54</f>
        <v>4.1054231308420075</v>
      </c>
    </row>
    <row r="55" spans="1:8" ht="15" customHeight="1" x14ac:dyDescent="0.3">
      <c r="A55" s="96"/>
      <c r="B55" s="44" t="s">
        <v>38</v>
      </c>
      <c r="C55" s="45">
        <v>3.9814928146010198</v>
      </c>
      <c r="D55" s="45">
        <v>0.63313095350871995</v>
      </c>
      <c r="E55" s="46">
        <v>8.4253085671402204</v>
      </c>
      <c r="F55" s="47">
        <f t="shared" si="0"/>
        <v>159.01848452090329</v>
      </c>
      <c r="G55" s="45">
        <f t="shared" si="1"/>
        <v>75.146322352870442</v>
      </c>
      <c r="H55" s="46">
        <f t="shared" si="2"/>
        <v>2.1161179887711312</v>
      </c>
    </row>
    <row r="56" spans="1:8" ht="15" customHeight="1" x14ac:dyDescent="0.3">
      <c r="A56" s="96"/>
      <c r="B56" s="12" t="s">
        <v>39</v>
      </c>
      <c r="C56" s="32">
        <v>1.03672889655322</v>
      </c>
      <c r="D56" s="32">
        <v>0.14223303671525001</v>
      </c>
      <c r="E56" s="42">
        <v>1.63386273690091</v>
      </c>
      <c r="F56" s="43">
        <f t="shared" si="0"/>
        <v>137.19405062222896</v>
      </c>
      <c r="G56" s="32">
        <f t="shared" si="1"/>
        <v>87.053234952304379</v>
      </c>
      <c r="H56" s="42">
        <f t="shared" si="2"/>
        <v>1.5759787754860144</v>
      </c>
    </row>
    <row r="57" spans="1:8" ht="15" customHeight="1" x14ac:dyDescent="0.3">
      <c r="A57" s="97"/>
      <c r="B57" s="48" t="s">
        <v>35</v>
      </c>
      <c r="C57" s="49">
        <f>C58-SUM(C53:C56)</f>
        <v>33.561840067125161</v>
      </c>
      <c r="D57" s="49">
        <f>D58-SUM(D53:D56)</f>
        <v>12.121978007231053</v>
      </c>
      <c r="E57" s="50">
        <f>E58-SUM(E53:E56)</f>
        <v>238.71575033437921</v>
      </c>
      <c r="F57" s="51">
        <f t="shared" si="0"/>
        <v>361.18335535198793</v>
      </c>
      <c r="G57" s="49">
        <f t="shared" si="1"/>
        <v>50.779967347153629</v>
      </c>
      <c r="H57" s="50">
        <f t="shared" si="2"/>
        <v>7.112713422653143</v>
      </c>
    </row>
    <row r="58" spans="1:8" ht="15" customHeight="1" x14ac:dyDescent="0.3">
      <c r="A58" s="6"/>
      <c r="B58" s="7" t="s">
        <v>1</v>
      </c>
      <c r="C58" s="52">
        <v>88.453100165782004</v>
      </c>
      <c r="D58" s="52">
        <v>37.858759708627503</v>
      </c>
      <c r="E58" s="53">
        <v>1002.39882892049</v>
      </c>
      <c r="F58" s="54">
        <f t="shared" si="0"/>
        <v>428.0094155848833</v>
      </c>
      <c r="G58" s="52">
        <f t="shared" si="1"/>
        <v>37.768160353298306</v>
      </c>
      <c r="H58" s="53">
        <f t="shared" si="2"/>
        <v>11.332546027688773</v>
      </c>
    </row>
    <row r="59" spans="1:8" ht="20.399999999999999" x14ac:dyDescent="0.3">
      <c r="A59" s="8"/>
      <c r="B59" s="9" t="s">
        <v>36</v>
      </c>
      <c r="C59" s="10">
        <v>5.4014261473173709E-3</v>
      </c>
      <c r="D59" s="10">
        <v>3.6654937463265662E-3</v>
      </c>
      <c r="E59" s="11">
        <v>7.6310758581281416E-3</v>
      </c>
      <c r="F59" s="55"/>
      <c r="G59" s="56"/>
      <c r="H59" s="57"/>
    </row>
    <row r="60" spans="1:8" ht="15" customHeight="1" x14ac:dyDescent="0.3">
      <c r="A60" s="98" t="s">
        <v>89</v>
      </c>
      <c r="B60" s="98"/>
      <c r="C60" s="98"/>
      <c r="D60" s="98"/>
      <c r="E60" s="98"/>
      <c r="F60" s="1"/>
    </row>
    <row r="63" spans="1:8" ht="15" customHeight="1" x14ac:dyDescent="0.3">
      <c r="A63" s="94" t="s">
        <v>80</v>
      </c>
      <c r="B63" s="94"/>
      <c r="C63" s="94"/>
      <c r="D63" s="94"/>
      <c r="E63" s="94"/>
      <c r="F63" s="94"/>
      <c r="G63" s="94"/>
      <c r="H63" s="94"/>
    </row>
    <row r="64" spans="1:8" ht="40.799999999999997" x14ac:dyDescent="0.3">
      <c r="A64" s="65" t="s">
        <v>85</v>
      </c>
      <c r="B64" s="66" t="s">
        <v>31</v>
      </c>
      <c r="C64" s="66" t="s">
        <v>32</v>
      </c>
      <c r="D64" s="66" t="s">
        <v>33</v>
      </c>
      <c r="E64" s="67" t="s">
        <v>49</v>
      </c>
      <c r="F64" s="66" t="s">
        <v>82</v>
      </c>
      <c r="G64" s="66" t="s">
        <v>83</v>
      </c>
      <c r="H64" s="66" t="s">
        <v>84</v>
      </c>
    </row>
    <row r="65" spans="1:8" ht="15" customHeight="1" x14ac:dyDescent="0.3">
      <c r="A65" s="95" t="s">
        <v>51</v>
      </c>
      <c r="B65" s="38" t="s">
        <v>34</v>
      </c>
      <c r="C65" s="39">
        <v>13.691000000000001</v>
      </c>
      <c r="D65" s="39">
        <v>8.7985757000000007</v>
      </c>
      <c r="E65" s="40">
        <v>310.00599999999997</v>
      </c>
      <c r="F65" s="41">
        <f>D65/C65*1000</f>
        <v>642.65398436929365</v>
      </c>
      <c r="G65" s="39">
        <f>D65/E65*1000</f>
        <v>28.381952929943296</v>
      </c>
      <c r="H65" s="40">
        <f>F65/G65</f>
        <v>22.643050178949672</v>
      </c>
    </row>
    <row r="66" spans="1:8" ht="15" customHeight="1" x14ac:dyDescent="0.3">
      <c r="A66" s="96"/>
      <c r="B66" s="12" t="s">
        <v>37</v>
      </c>
      <c r="C66" s="32">
        <v>29.821999999999999</v>
      </c>
      <c r="D66" s="32">
        <v>6.5992044000000005</v>
      </c>
      <c r="E66" s="42">
        <v>104.85599999999999</v>
      </c>
      <c r="F66" s="43">
        <f t="shared" ref="F66:F70" si="3">D66/C66*1000</f>
        <v>221.28644624773662</v>
      </c>
      <c r="G66" s="32">
        <f t="shared" ref="G66:G70" si="4">D66/E66*1000</f>
        <v>62.935877775234616</v>
      </c>
      <c r="H66" s="42">
        <f t="shared" ref="H66:H70" si="5">F66/G66</f>
        <v>3.5160619676748714</v>
      </c>
    </row>
    <row r="67" spans="1:8" ht="15" customHeight="1" x14ac:dyDescent="0.3">
      <c r="A67" s="96"/>
      <c r="B67" s="44" t="s">
        <v>38</v>
      </c>
      <c r="C67" s="45">
        <v>6.6349999999999998</v>
      </c>
      <c r="D67" s="45">
        <v>1.1331987999999997</v>
      </c>
      <c r="E67" s="46">
        <v>11.920999999999999</v>
      </c>
      <c r="F67" s="47">
        <f t="shared" si="3"/>
        <v>170.79107761868872</v>
      </c>
      <c r="G67" s="45">
        <f t="shared" si="4"/>
        <v>95.059038671252395</v>
      </c>
      <c r="H67" s="46">
        <f t="shared" si="5"/>
        <v>1.7966842501883946</v>
      </c>
    </row>
    <row r="68" spans="1:8" ht="15" customHeight="1" x14ac:dyDescent="0.3">
      <c r="A68" s="96"/>
      <c r="B68" s="12" t="s">
        <v>39</v>
      </c>
      <c r="C68" s="32">
        <v>1.226</v>
      </c>
      <c r="D68" s="32">
        <v>0.34474230000000006</v>
      </c>
      <c r="E68" s="42">
        <v>11.781000000000001</v>
      </c>
      <c r="F68" s="43">
        <f t="shared" si="3"/>
        <v>281.19274061990217</v>
      </c>
      <c r="G68" s="32">
        <f t="shared" si="4"/>
        <v>29.262566844919789</v>
      </c>
      <c r="H68" s="42">
        <f t="shared" si="5"/>
        <v>9.6092985318107669</v>
      </c>
    </row>
    <row r="69" spans="1:8" ht="15" customHeight="1" x14ac:dyDescent="0.3">
      <c r="A69" s="97"/>
      <c r="B69" s="48" t="s">
        <v>35</v>
      </c>
      <c r="C69" s="49">
        <f>C70-SUM(C65:C68)</f>
        <v>21.207999999999998</v>
      </c>
      <c r="D69" s="49">
        <f>D70-SUM(D65:D68)</f>
        <v>9.9857381000000061</v>
      </c>
      <c r="E69" s="50">
        <f>E70-SUM(E65:E68)</f>
        <v>204.98099999999999</v>
      </c>
      <c r="F69" s="51">
        <f t="shared" si="3"/>
        <v>470.8477036967185</v>
      </c>
      <c r="G69" s="49">
        <f t="shared" si="4"/>
        <v>48.71543264985538</v>
      </c>
      <c r="H69" s="50">
        <f t="shared" si="5"/>
        <v>9.6652678234628446</v>
      </c>
    </row>
    <row r="70" spans="1:8" ht="15" customHeight="1" x14ac:dyDescent="0.3">
      <c r="A70" s="6"/>
      <c r="B70" s="7" t="s">
        <v>1</v>
      </c>
      <c r="C70" s="52">
        <v>72.581999999999994</v>
      </c>
      <c r="D70" s="52">
        <v>26.861459300000007</v>
      </c>
      <c r="E70" s="53">
        <v>643.54499999999996</v>
      </c>
      <c r="F70" s="54">
        <f t="shared" si="3"/>
        <v>370.08430878179178</v>
      </c>
      <c r="G70" s="52">
        <f t="shared" si="4"/>
        <v>41.739830625674983</v>
      </c>
      <c r="H70" s="53">
        <f t="shared" si="5"/>
        <v>8.8664544928494688</v>
      </c>
    </row>
    <row r="71" spans="1:8" ht="20.399999999999999" x14ac:dyDescent="0.3">
      <c r="A71" s="8"/>
      <c r="B71" s="9" t="s">
        <v>36</v>
      </c>
      <c r="C71" s="10">
        <v>8.7579054872111307E-3</v>
      </c>
      <c r="D71" s="10">
        <v>6.2324559962497004E-3</v>
      </c>
      <c r="E71" s="11">
        <v>1.0047012829161659E-2</v>
      </c>
      <c r="F71" s="55"/>
      <c r="G71" s="56"/>
      <c r="H71" s="57"/>
    </row>
    <row r="72" spans="1:8" ht="15" customHeight="1" x14ac:dyDescent="0.3">
      <c r="A72" s="98" t="s">
        <v>89</v>
      </c>
      <c r="B72" s="98"/>
      <c r="C72" s="98"/>
      <c r="D72" s="98"/>
      <c r="E72" s="98"/>
      <c r="F72" s="1"/>
    </row>
    <row r="75" spans="1:8" ht="15" customHeight="1" x14ac:dyDescent="0.3">
      <c r="A75" s="94" t="s">
        <v>78</v>
      </c>
      <c r="B75" s="94"/>
      <c r="C75" s="94"/>
      <c r="D75" s="94"/>
      <c r="E75" s="94"/>
      <c r="F75" s="94"/>
      <c r="G75" s="94"/>
      <c r="H75" s="94"/>
    </row>
    <row r="76" spans="1:8" ht="40.799999999999997" x14ac:dyDescent="0.3">
      <c r="A76" s="65" t="s">
        <v>85</v>
      </c>
      <c r="B76" s="66" t="s">
        <v>31</v>
      </c>
      <c r="C76" s="66" t="s">
        <v>32</v>
      </c>
      <c r="D76" s="66" t="s">
        <v>33</v>
      </c>
      <c r="E76" s="67" t="s">
        <v>49</v>
      </c>
      <c r="F76" s="66" t="s">
        <v>82</v>
      </c>
      <c r="G76" s="66" t="s">
        <v>83</v>
      </c>
      <c r="H76" s="66" t="s">
        <v>84</v>
      </c>
    </row>
    <row r="77" spans="1:8" ht="15" customHeight="1" x14ac:dyDescent="0.3">
      <c r="A77" s="95" t="s">
        <v>51</v>
      </c>
      <c r="B77" s="38" t="s">
        <v>37</v>
      </c>
      <c r="C77" s="39">
        <v>110.02200000000001</v>
      </c>
      <c r="D77" s="39">
        <v>14.407689699999999</v>
      </c>
      <c r="E77" s="40">
        <v>202.26300000000001</v>
      </c>
      <c r="F77" s="41">
        <f>D77/C77*1000</f>
        <v>130.95280671138499</v>
      </c>
      <c r="G77" s="39">
        <f>D77/E77*1000</f>
        <v>71.232453291012192</v>
      </c>
      <c r="H77" s="40">
        <f>F77/G77</f>
        <v>1.8383868680809294</v>
      </c>
    </row>
    <row r="78" spans="1:8" ht="15" customHeight="1" x14ac:dyDescent="0.3">
      <c r="A78" s="96"/>
      <c r="B78" s="12" t="s">
        <v>34</v>
      </c>
      <c r="C78" s="32">
        <v>24.05</v>
      </c>
      <c r="D78" s="32">
        <v>10.8301605</v>
      </c>
      <c r="E78" s="42">
        <v>301.30700000000002</v>
      </c>
      <c r="F78" s="43">
        <f t="shared" ref="F78:F82" si="6">D78/C78*1000</f>
        <v>450.3185239085239</v>
      </c>
      <c r="G78" s="32">
        <f t="shared" ref="G78:G82" si="7">D78/E78*1000</f>
        <v>35.943939238052877</v>
      </c>
      <c r="H78" s="42">
        <f t="shared" ref="H78:H82" si="8">F78/G78</f>
        <v>12.52835758835759</v>
      </c>
    </row>
    <row r="79" spans="1:8" ht="15" customHeight="1" x14ac:dyDescent="0.3">
      <c r="A79" s="96"/>
      <c r="B79" s="44" t="s">
        <v>38</v>
      </c>
      <c r="C79" s="45">
        <v>31.42</v>
      </c>
      <c r="D79" s="45">
        <v>3.7167857999999998</v>
      </c>
      <c r="E79" s="46">
        <v>71.876999999999995</v>
      </c>
      <c r="F79" s="47">
        <f t="shared" si="6"/>
        <v>118.29362826225332</v>
      </c>
      <c r="G79" s="45">
        <f t="shared" si="7"/>
        <v>51.710363537710251</v>
      </c>
      <c r="H79" s="46">
        <f t="shared" si="8"/>
        <v>2.2876193507320175</v>
      </c>
    </row>
    <row r="80" spans="1:8" ht="15" customHeight="1" x14ac:dyDescent="0.3">
      <c r="A80" s="96"/>
      <c r="B80" s="12" t="s">
        <v>39</v>
      </c>
      <c r="C80" s="32">
        <v>31.558</v>
      </c>
      <c r="D80" s="32">
        <v>11.598981500000002</v>
      </c>
      <c r="E80" s="42">
        <v>215.28399999999999</v>
      </c>
      <c r="F80" s="43">
        <f t="shared" si="6"/>
        <v>367.54488560745301</v>
      </c>
      <c r="G80" s="32">
        <f t="shared" si="7"/>
        <v>53.877582635030954</v>
      </c>
      <c r="H80" s="42">
        <f t="shared" si="8"/>
        <v>6.8218518283794909</v>
      </c>
    </row>
    <row r="81" spans="1:8" ht="15" customHeight="1" x14ac:dyDescent="0.3">
      <c r="A81" s="97"/>
      <c r="B81" s="48" t="s">
        <v>35</v>
      </c>
      <c r="C81" s="49">
        <f>C82-SUM(C77:C80)</f>
        <v>107.32</v>
      </c>
      <c r="D81" s="49">
        <f>D82-SUM(D77:D80)</f>
        <v>35.04086629999999</v>
      </c>
      <c r="E81" s="50">
        <f>E82-SUM(E77:E80)</f>
        <v>728.96800000000007</v>
      </c>
      <c r="F81" s="51">
        <f t="shared" si="6"/>
        <v>326.50825847931412</v>
      </c>
      <c r="G81" s="49">
        <f t="shared" si="7"/>
        <v>48.069141992515426</v>
      </c>
      <c r="H81" s="50">
        <f t="shared" si="8"/>
        <v>6.7924711144241536</v>
      </c>
    </row>
    <row r="82" spans="1:8" ht="15" customHeight="1" x14ac:dyDescent="0.3">
      <c r="A82" s="6"/>
      <c r="B82" s="7" t="s">
        <v>1</v>
      </c>
      <c r="C82" s="52">
        <v>304.37</v>
      </c>
      <c r="D82" s="52">
        <v>75.594483799999992</v>
      </c>
      <c r="E82" s="53">
        <v>1519.6990000000001</v>
      </c>
      <c r="F82" s="54">
        <f t="shared" si="6"/>
        <v>248.36378026743765</v>
      </c>
      <c r="G82" s="52">
        <f t="shared" si="7"/>
        <v>49.743063461909223</v>
      </c>
      <c r="H82" s="53">
        <f t="shared" si="8"/>
        <v>4.9929329434569771</v>
      </c>
    </row>
    <row r="83" spans="1:8" ht="20.399999999999999" x14ac:dyDescent="0.3">
      <c r="A83" s="8"/>
      <c r="B83" s="9" t="s">
        <v>36</v>
      </c>
      <c r="C83" s="10">
        <v>8.3063468709931032E-3</v>
      </c>
      <c r="D83" s="10">
        <v>4.2757264982320638E-3</v>
      </c>
      <c r="E83" s="11">
        <v>6.537360541074076E-3</v>
      </c>
      <c r="F83" s="55"/>
      <c r="G83" s="56"/>
      <c r="H83" s="57"/>
    </row>
    <row r="84" spans="1:8" ht="15" customHeight="1" x14ac:dyDescent="0.3">
      <c r="A84" s="98" t="s">
        <v>89</v>
      </c>
      <c r="B84" s="98"/>
      <c r="C84" s="98"/>
      <c r="D84" s="98"/>
      <c r="E84" s="98"/>
      <c r="F84" s="1"/>
    </row>
    <row r="87" spans="1:8" ht="15" customHeight="1" x14ac:dyDescent="0.3">
      <c r="A87" s="94" t="s">
        <v>73</v>
      </c>
      <c r="B87" s="94"/>
      <c r="C87" s="94"/>
      <c r="D87" s="94"/>
      <c r="E87" s="94"/>
      <c r="F87" s="94"/>
      <c r="G87" s="94"/>
      <c r="H87" s="94"/>
    </row>
    <row r="88" spans="1:8" ht="40.799999999999997" x14ac:dyDescent="0.3">
      <c r="A88" s="65" t="s">
        <v>85</v>
      </c>
      <c r="B88" s="66" t="s">
        <v>31</v>
      </c>
      <c r="C88" s="66" t="s">
        <v>32</v>
      </c>
      <c r="D88" s="66" t="s">
        <v>33</v>
      </c>
      <c r="E88" s="67" t="s">
        <v>49</v>
      </c>
      <c r="F88" s="66" t="s">
        <v>82</v>
      </c>
      <c r="G88" s="66" t="s">
        <v>83</v>
      </c>
      <c r="H88" s="66" t="s">
        <v>84</v>
      </c>
    </row>
    <row r="89" spans="1:8" ht="15" customHeight="1" x14ac:dyDescent="0.3">
      <c r="A89" s="95" t="s">
        <v>51</v>
      </c>
      <c r="B89" s="38" t="s">
        <v>37</v>
      </c>
      <c r="C89" s="39">
        <v>93.167000000000002</v>
      </c>
      <c r="D89" s="39">
        <v>10.251948499999999</v>
      </c>
      <c r="E89" s="40">
        <v>173.42500000000001</v>
      </c>
      <c r="F89" s="41">
        <f>D89/C89*1000</f>
        <v>110.03840952268507</v>
      </c>
      <c r="G89" s="39">
        <f>D89/E89*1000</f>
        <v>59.114594204987739</v>
      </c>
      <c r="H89" s="40">
        <f>F89/G89</f>
        <v>1.8614423561990836</v>
      </c>
    </row>
    <row r="90" spans="1:8" ht="15" customHeight="1" x14ac:dyDescent="0.3">
      <c r="A90" s="96"/>
      <c r="B90" s="12" t="s">
        <v>34</v>
      </c>
      <c r="C90" s="32">
        <v>38.357999999999997</v>
      </c>
      <c r="D90" s="32">
        <v>10.4791458</v>
      </c>
      <c r="E90" s="42">
        <v>296.928</v>
      </c>
      <c r="F90" s="43">
        <f t="shared" ref="F90:F94" si="9">D90/C90*1000</f>
        <v>273.19322696699516</v>
      </c>
      <c r="G90" s="32">
        <f t="shared" ref="G90:G94" si="10">D90/E90*1000</f>
        <v>35.291874797930809</v>
      </c>
      <c r="H90" s="42">
        <f t="shared" ref="H90:H94" si="11">F90/G90</f>
        <v>7.7409666823087759</v>
      </c>
    </row>
    <row r="91" spans="1:8" ht="15" customHeight="1" x14ac:dyDescent="0.3">
      <c r="A91" s="96"/>
      <c r="B91" s="44" t="s">
        <v>38</v>
      </c>
      <c r="C91" s="45">
        <v>64.167000000000002</v>
      </c>
      <c r="D91" s="45">
        <v>6.1912132</v>
      </c>
      <c r="E91" s="46">
        <v>166.58600000000001</v>
      </c>
      <c r="F91" s="47">
        <f t="shared" si="9"/>
        <v>96.485938254866198</v>
      </c>
      <c r="G91" s="45">
        <f t="shared" si="10"/>
        <v>37.165267189319621</v>
      </c>
      <c r="H91" s="46">
        <f t="shared" si="11"/>
        <v>2.5961319681456203</v>
      </c>
    </row>
    <row r="92" spans="1:8" ht="15" customHeight="1" x14ac:dyDescent="0.3">
      <c r="A92" s="96"/>
      <c r="B92" s="12" t="s">
        <v>39</v>
      </c>
      <c r="C92" s="32">
        <v>34.534999999999997</v>
      </c>
      <c r="D92" s="32">
        <v>4.165118099999999</v>
      </c>
      <c r="E92" s="42">
        <v>89.704999999999998</v>
      </c>
      <c r="F92" s="43">
        <f t="shared" si="9"/>
        <v>120.60570725351091</v>
      </c>
      <c r="G92" s="32">
        <f t="shared" si="10"/>
        <v>46.431281422440215</v>
      </c>
      <c r="H92" s="42">
        <f t="shared" si="11"/>
        <v>2.5975097726943681</v>
      </c>
    </row>
    <row r="93" spans="1:8" ht="15" customHeight="1" x14ac:dyDescent="0.3">
      <c r="A93" s="97"/>
      <c r="B93" s="48" t="s">
        <v>35</v>
      </c>
      <c r="C93" s="49">
        <f>C94-SUM(C89:C92)</f>
        <v>118.66099999999997</v>
      </c>
      <c r="D93" s="49">
        <f>D94-SUM(D89:D92)</f>
        <v>29.464753500000008</v>
      </c>
      <c r="E93" s="50">
        <f>E94-SUM(E89:E92)</f>
        <v>589.25699999999995</v>
      </c>
      <c r="F93" s="51">
        <f t="shared" si="9"/>
        <v>248.31034206689657</v>
      </c>
      <c r="G93" s="49">
        <f t="shared" si="10"/>
        <v>50.003230339223819</v>
      </c>
      <c r="H93" s="50">
        <f t="shared" si="11"/>
        <v>4.9658860114106576</v>
      </c>
    </row>
    <row r="94" spans="1:8" ht="15" customHeight="1" x14ac:dyDescent="0.3">
      <c r="A94" s="6"/>
      <c r="B94" s="7" t="s">
        <v>1</v>
      </c>
      <c r="C94" s="52">
        <v>348.88799999999998</v>
      </c>
      <c r="D94" s="52">
        <v>60.552179100000004</v>
      </c>
      <c r="E94" s="53">
        <v>1315.9010000000001</v>
      </c>
      <c r="F94" s="54">
        <f t="shared" si="9"/>
        <v>173.55764342711703</v>
      </c>
      <c r="G94" s="52">
        <f t="shared" si="10"/>
        <v>46.015755820536654</v>
      </c>
      <c r="H94" s="53">
        <f t="shared" si="11"/>
        <v>3.7717003737589141</v>
      </c>
    </row>
    <row r="95" spans="1:8" ht="20.399999999999999" x14ac:dyDescent="0.3">
      <c r="A95" s="8"/>
      <c r="B95" s="9" t="s">
        <v>36</v>
      </c>
      <c r="C95" s="10">
        <v>1.0016576870856731E-2</v>
      </c>
      <c r="D95" s="10">
        <v>3.8683614001122973E-3</v>
      </c>
      <c r="E95" s="11">
        <v>5.7966142503629138E-3</v>
      </c>
      <c r="F95" s="55"/>
      <c r="G95" s="56"/>
      <c r="H95" s="57"/>
    </row>
    <row r="96" spans="1:8" ht="15" customHeight="1" x14ac:dyDescent="0.3">
      <c r="A96" s="98" t="s">
        <v>89</v>
      </c>
      <c r="B96" s="98"/>
      <c r="C96" s="98"/>
      <c r="D96" s="98"/>
      <c r="E96" s="98"/>
      <c r="F96" s="1"/>
    </row>
    <row r="99" spans="1:8" ht="15" customHeight="1" x14ac:dyDescent="0.3">
      <c r="A99" s="94" t="s">
        <v>48</v>
      </c>
      <c r="B99" s="94"/>
      <c r="C99" s="94"/>
      <c r="D99" s="94"/>
      <c r="E99" s="94"/>
      <c r="F99" s="94"/>
      <c r="G99" s="94"/>
      <c r="H99" s="94"/>
    </row>
    <row r="100" spans="1:8" ht="40.799999999999997" x14ac:dyDescent="0.3">
      <c r="A100" s="65" t="s">
        <v>85</v>
      </c>
      <c r="B100" s="66" t="s">
        <v>31</v>
      </c>
      <c r="C100" s="66" t="s">
        <v>32</v>
      </c>
      <c r="D100" s="66" t="s">
        <v>33</v>
      </c>
      <c r="E100" s="67" t="s">
        <v>49</v>
      </c>
      <c r="F100" s="66" t="s">
        <v>82</v>
      </c>
      <c r="G100" s="66" t="s">
        <v>83</v>
      </c>
      <c r="H100" s="66" t="s">
        <v>84</v>
      </c>
    </row>
    <row r="101" spans="1:8" ht="15" customHeight="1" x14ac:dyDescent="0.3">
      <c r="A101" s="95" t="s">
        <v>51</v>
      </c>
      <c r="B101" s="38" t="s">
        <v>37</v>
      </c>
      <c r="C101" s="39">
        <v>101.956</v>
      </c>
      <c r="D101" s="39">
        <v>11.024328499999999</v>
      </c>
      <c r="E101" s="40">
        <v>233.971</v>
      </c>
      <c r="F101" s="41">
        <f>D101/C101*1000</f>
        <v>108.12829553925221</v>
      </c>
      <c r="G101" s="39">
        <f>D101/E101*1000</f>
        <v>47.118354411444152</v>
      </c>
      <c r="H101" s="40">
        <f>F101/G101</f>
        <v>2.2948232570912941</v>
      </c>
    </row>
    <row r="102" spans="1:8" ht="15" customHeight="1" x14ac:dyDescent="0.3">
      <c r="A102" s="96"/>
      <c r="B102" s="12" t="s">
        <v>34</v>
      </c>
      <c r="C102" s="32">
        <v>23.504000000000001</v>
      </c>
      <c r="D102" s="32">
        <v>11.335380000000002</v>
      </c>
      <c r="E102" s="42">
        <v>209.71799999999999</v>
      </c>
      <c r="F102" s="43">
        <f t="shared" ref="F102:F106" si="12">D102/C102*1000</f>
        <v>482.27450646698446</v>
      </c>
      <c r="G102" s="32">
        <f t="shared" ref="G102:G106" si="13">D102/E102*1000</f>
        <v>54.050582210396833</v>
      </c>
      <c r="H102" s="42">
        <f t="shared" ref="H102:H106" si="14">F102/G102</f>
        <v>8.9226514635806673</v>
      </c>
    </row>
    <row r="103" spans="1:8" ht="15" customHeight="1" x14ac:dyDescent="0.3">
      <c r="A103" s="96"/>
      <c r="B103" s="44" t="s">
        <v>38</v>
      </c>
      <c r="C103" s="45">
        <v>23.27</v>
      </c>
      <c r="D103" s="45">
        <v>3.2970364000000005</v>
      </c>
      <c r="E103" s="46">
        <v>51.088999999999999</v>
      </c>
      <c r="F103" s="47">
        <f t="shared" si="12"/>
        <v>141.68613665663949</v>
      </c>
      <c r="G103" s="45">
        <f t="shared" si="13"/>
        <v>64.535152381138815</v>
      </c>
      <c r="H103" s="46">
        <f t="shared" si="14"/>
        <v>2.1954877524709926</v>
      </c>
    </row>
    <row r="104" spans="1:8" ht="15" customHeight="1" x14ac:dyDescent="0.3">
      <c r="A104" s="96"/>
      <c r="B104" s="12" t="s">
        <v>39</v>
      </c>
      <c r="C104" s="32">
        <v>6.0490000000000004</v>
      </c>
      <c r="D104" s="32">
        <v>0.84446840000000001</v>
      </c>
      <c r="E104" s="42">
        <v>19.776</v>
      </c>
      <c r="F104" s="43">
        <f t="shared" si="12"/>
        <v>139.60462886427507</v>
      </c>
      <c r="G104" s="32">
        <f t="shared" si="13"/>
        <v>42.701678802588994</v>
      </c>
      <c r="H104" s="42">
        <f t="shared" si="14"/>
        <v>3.269300710861299</v>
      </c>
    </row>
    <row r="105" spans="1:8" ht="15" customHeight="1" x14ac:dyDescent="0.3">
      <c r="A105" s="97"/>
      <c r="B105" s="48" t="s">
        <v>35</v>
      </c>
      <c r="C105" s="49">
        <v>66.787999999999982</v>
      </c>
      <c r="D105" s="49">
        <v>18.421435100000018</v>
      </c>
      <c r="E105" s="50">
        <v>344.26900000000001</v>
      </c>
      <c r="F105" s="51">
        <f t="shared" si="12"/>
        <v>275.81953494639788</v>
      </c>
      <c r="G105" s="49">
        <f t="shared" si="13"/>
        <v>53.508840761149031</v>
      </c>
      <c r="H105" s="50">
        <f t="shared" si="14"/>
        <v>5.1546535305743566</v>
      </c>
    </row>
    <row r="106" spans="1:8" ht="15" customHeight="1" x14ac:dyDescent="0.3">
      <c r="A106" s="6"/>
      <c r="B106" s="7" t="s">
        <v>1</v>
      </c>
      <c r="C106" s="52">
        <f>SUM(C101:C105)</f>
        <v>221.56700000000001</v>
      </c>
      <c r="D106" s="52">
        <f>SUM(D101:D105)</f>
        <v>44.922648400000021</v>
      </c>
      <c r="E106" s="53">
        <f>SUM(E101:E105)</f>
        <v>858.82299999999998</v>
      </c>
      <c r="F106" s="54">
        <f t="shared" si="12"/>
        <v>202.7497253652395</v>
      </c>
      <c r="G106" s="52">
        <f t="shared" si="13"/>
        <v>52.307225586645941</v>
      </c>
      <c r="H106" s="53">
        <f t="shared" si="14"/>
        <v>3.8761322760158321</v>
      </c>
    </row>
    <row r="107" spans="1:8" ht="20.399999999999999" x14ac:dyDescent="0.3">
      <c r="A107" s="8"/>
      <c r="B107" s="9" t="s">
        <v>36</v>
      </c>
      <c r="C107" s="10">
        <v>7.1424088337678137E-3</v>
      </c>
      <c r="D107" s="10">
        <v>3.1630183661868249E-3</v>
      </c>
      <c r="E107" s="11">
        <v>4.0924585328496396E-3</v>
      </c>
      <c r="F107" s="55"/>
      <c r="G107" s="56"/>
      <c r="H107" s="57"/>
    </row>
    <row r="108" spans="1:8" ht="15" customHeight="1" x14ac:dyDescent="0.3">
      <c r="A108" s="98" t="s">
        <v>89</v>
      </c>
      <c r="B108" s="98"/>
      <c r="C108" s="98"/>
      <c r="D108" s="98"/>
      <c r="E108" s="98"/>
      <c r="F108" s="1"/>
    </row>
    <row r="111" spans="1:8" ht="15" customHeight="1" x14ac:dyDescent="0.3">
      <c r="A111" s="94" t="s">
        <v>48</v>
      </c>
      <c r="B111" s="94"/>
      <c r="C111" s="94"/>
      <c r="D111" s="94"/>
      <c r="E111" s="94"/>
      <c r="F111" s="94"/>
      <c r="G111" s="94"/>
      <c r="H111" s="94"/>
    </row>
    <row r="112" spans="1:8" ht="40.799999999999997" x14ac:dyDescent="0.3">
      <c r="A112" s="65" t="s">
        <v>85</v>
      </c>
      <c r="B112" s="66" t="s">
        <v>31</v>
      </c>
      <c r="C112" s="66" t="s">
        <v>32</v>
      </c>
      <c r="D112" s="66" t="s">
        <v>33</v>
      </c>
      <c r="E112" s="67" t="s">
        <v>49</v>
      </c>
      <c r="F112" s="66" t="s">
        <v>82</v>
      </c>
      <c r="G112" s="66" t="s">
        <v>83</v>
      </c>
      <c r="H112" s="66" t="s">
        <v>84</v>
      </c>
    </row>
    <row r="113" spans="1:8" ht="15" customHeight="1" x14ac:dyDescent="0.3">
      <c r="A113" s="95" t="s">
        <v>51</v>
      </c>
      <c r="B113" s="38" t="s">
        <v>37</v>
      </c>
      <c r="C113" s="39">
        <v>153.97999999999999</v>
      </c>
      <c r="D113" s="39">
        <v>16.377646299999999</v>
      </c>
      <c r="E113" s="40">
        <v>577.49199999999996</v>
      </c>
      <c r="F113" s="41">
        <f>D113/C113*1000</f>
        <v>106.36216586569684</v>
      </c>
      <c r="G113" s="39">
        <f>D113/E113*1000</f>
        <v>28.359953557798203</v>
      </c>
      <c r="H113" s="40">
        <f>F113/G113</f>
        <v>3.7504351214443434</v>
      </c>
    </row>
    <row r="114" spans="1:8" ht="15" customHeight="1" x14ac:dyDescent="0.3">
      <c r="A114" s="96"/>
      <c r="B114" s="12" t="s">
        <v>38</v>
      </c>
      <c r="C114" s="32">
        <v>46.366999999999997</v>
      </c>
      <c r="D114" s="32">
        <v>4.5824146000000017</v>
      </c>
      <c r="E114" s="42">
        <v>147.56100000000001</v>
      </c>
      <c r="F114" s="43">
        <f t="shared" ref="F114:F118" si="15">D114/C114*1000</f>
        <v>98.829223370069272</v>
      </c>
      <c r="G114" s="32">
        <f t="shared" ref="G114:G118" si="16">D114/E114*1000</f>
        <v>31.054374800929793</v>
      </c>
      <c r="H114" s="42">
        <f t="shared" ref="H114:H118" si="17">F114/G114</f>
        <v>3.1824573511333498</v>
      </c>
    </row>
    <row r="115" spans="1:8" ht="15" customHeight="1" x14ac:dyDescent="0.3">
      <c r="A115" s="96"/>
      <c r="B115" s="44" t="s">
        <v>34</v>
      </c>
      <c r="C115" s="45">
        <v>29.143000000000001</v>
      </c>
      <c r="D115" s="45">
        <v>16.834072900000006</v>
      </c>
      <c r="E115" s="46">
        <v>298.76799999999997</v>
      </c>
      <c r="F115" s="47">
        <f t="shared" si="15"/>
        <v>577.63692481899625</v>
      </c>
      <c r="G115" s="45">
        <f t="shared" si="16"/>
        <v>56.344966328388601</v>
      </c>
      <c r="H115" s="46">
        <f t="shared" si="17"/>
        <v>10.251792883368219</v>
      </c>
    </row>
    <row r="116" spans="1:8" ht="15" customHeight="1" x14ac:dyDescent="0.3">
      <c r="A116" s="96"/>
      <c r="B116" s="12" t="s">
        <v>39</v>
      </c>
      <c r="C116" s="32">
        <v>20.399999999999999</v>
      </c>
      <c r="D116" s="32">
        <v>5.6890477000000006</v>
      </c>
      <c r="E116" s="42">
        <v>83.888999999999996</v>
      </c>
      <c r="F116" s="43">
        <f t="shared" si="15"/>
        <v>278.87488725490198</v>
      </c>
      <c r="G116" s="32">
        <f t="shared" si="16"/>
        <v>67.816372825996268</v>
      </c>
      <c r="H116" s="42">
        <f t="shared" si="17"/>
        <v>4.1122058823529404</v>
      </c>
    </row>
    <row r="117" spans="1:8" ht="15" customHeight="1" x14ac:dyDescent="0.3">
      <c r="A117" s="97"/>
      <c r="B117" s="48" t="s">
        <v>35</v>
      </c>
      <c r="C117" s="49">
        <v>80.399000000000001</v>
      </c>
      <c r="D117" s="49">
        <v>24.250257400000002</v>
      </c>
      <c r="E117" s="50">
        <v>367.47</v>
      </c>
      <c r="F117" s="51">
        <f t="shared" si="15"/>
        <v>301.62386845607534</v>
      </c>
      <c r="G117" s="49">
        <f t="shared" si="16"/>
        <v>65.992482107382912</v>
      </c>
      <c r="H117" s="50">
        <f t="shared" si="17"/>
        <v>4.5705792360601505</v>
      </c>
    </row>
    <row r="118" spans="1:8" ht="15" customHeight="1" x14ac:dyDescent="0.3">
      <c r="A118" s="6"/>
      <c r="B118" s="7" t="s">
        <v>1</v>
      </c>
      <c r="C118" s="52">
        <f>SUM(C113:C117)</f>
        <v>330.28899999999999</v>
      </c>
      <c r="D118" s="52">
        <f>SUM(D113:D117)</f>
        <v>67.73343890000001</v>
      </c>
      <c r="E118" s="53">
        <f>SUM(E113:E117)</f>
        <v>1475.1799999999998</v>
      </c>
      <c r="F118" s="54">
        <f t="shared" si="15"/>
        <v>205.07325069863063</v>
      </c>
      <c r="G118" s="52">
        <f t="shared" si="16"/>
        <v>45.915372293550632</v>
      </c>
      <c r="H118" s="53">
        <f t="shared" si="17"/>
        <v>4.4663310010324286</v>
      </c>
    </row>
    <row r="119" spans="1:8" ht="20.399999999999999" x14ac:dyDescent="0.3">
      <c r="A119" s="8"/>
      <c r="B119" s="9" t="s">
        <v>36</v>
      </c>
      <c r="C119" s="10">
        <v>1.1639791877959887E-2</v>
      </c>
      <c r="D119" s="10">
        <v>5.3127282912735297E-3</v>
      </c>
      <c r="E119" s="11">
        <v>7.7477198957925947E-3</v>
      </c>
      <c r="F119" s="55"/>
      <c r="G119" s="56"/>
      <c r="H119" s="57"/>
    </row>
    <row r="120" spans="1:8" ht="15" customHeight="1" x14ac:dyDescent="0.3">
      <c r="A120" s="98" t="s">
        <v>89</v>
      </c>
      <c r="B120" s="98"/>
      <c r="C120" s="98"/>
      <c r="D120" s="98"/>
      <c r="E120" s="98"/>
      <c r="F120" s="1"/>
    </row>
  </sheetData>
  <mergeCells count="30">
    <mergeCell ref="A3:H3"/>
    <mergeCell ref="A5:A9"/>
    <mergeCell ref="A12:E12"/>
    <mergeCell ref="A84:E84"/>
    <mergeCell ref="A120:E120"/>
    <mergeCell ref="A99:H99"/>
    <mergeCell ref="A101:A105"/>
    <mergeCell ref="A108:E108"/>
    <mergeCell ref="A87:H87"/>
    <mergeCell ref="A89:A93"/>
    <mergeCell ref="A96:E96"/>
    <mergeCell ref="A111:H111"/>
    <mergeCell ref="A113:A117"/>
    <mergeCell ref="A36:E36"/>
    <mergeCell ref="A75:H75"/>
    <mergeCell ref="A77:A81"/>
    <mergeCell ref="A51:H51"/>
    <mergeCell ref="A63:H63"/>
    <mergeCell ref="A65:A69"/>
    <mergeCell ref="A72:E72"/>
    <mergeCell ref="A53:A57"/>
    <mergeCell ref="A60:E60"/>
    <mergeCell ref="A39:H39"/>
    <mergeCell ref="A41:A45"/>
    <mergeCell ref="A48:E48"/>
    <mergeCell ref="A15:H15"/>
    <mergeCell ref="A17:A21"/>
    <mergeCell ref="A24:E24"/>
    <mergeCell ref="A27:H27"/>
    <mergeCell ref="A29:A33"/>
  </mergeCells>
  <pageMargins left="0.70866141732283472" right="0.70866141732283472" top="0.74803149606299213" bottom="0.74803149606299213" header="0.31496062992125984" footer="0.31496062992125984"/>
  <pageSetup paperSize="9" scale="94"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Q18"/>
  <sheetViews>
    <sheetView showGridLines="0" zoomScaleNormal="100" workbookViewId="0">
      <pane xSplit="1" topLeftCell="B1" activePane="topRight" state="frozen"/>
      <selection activeCell="B14" sqref="B14"/>
      <selection pane="topRight" activeCell="Q5" sqref="Q5:Q10"/>
    </sheetView>
  </sheetViews>
  <sheetFormatPr defaultRowHeight="15" customHeight="1" x14ac:dyDescent="0.3"/>
  <cols>
    <col min="1" max="1" width="45.109375" style="13" bestFit="1" customWidth="1"/>
    <col min="2" max="16384" width="8.88671875" style="13"/>
  </cols>
  <sheetData>
    <row r="3" spans="1:17" ht="15" customHeight="1" x14ac:dyDescent="0.3">
      <c r="A3" s="94" t="s">
        <v>130</v>
      </c>
      <c r="B3" s="94"/>
      <c r="C3" s="94"/>
      <c r="D3" s="94"/>
      <c r="E3" s="94"/>
      <c r="F3" s="94"/>
      <c r="G3" s="94"/>
      <c r="H3" s="94"/>
      <c r="I3" s="94"/>
      <c r="J3" s="94"/>
      <c r="K3" s="94"/>
      <c r="L3" s="94"/>
      <c r="M3" s="94"/>
      <c r="N3" s="94"/>
      <c r="O3" s="94"/>
      <c r="P3" s="94"/>
      <c r="Q3" s="94"/>
    </row>
    <row r="4" spans="1:17" ht="15" customHeight="1" x14ac:dyDescent="0.3">
      <c r="A4" s="68"/>
      <c r="B4" s="65">
        <v>2010</v>
      </c>
      <c r="C4" s="65">
        <v>2011</v>
      </c>
      <c r="D4" s="65">
        <v>2012</v>
      </c>
      <c r="E4" s="65">
        <v>2013</v>
      </c>
      <c r="F4" s="65">
        <v>2014</v>
      </c>
      <c r="G4" s="65">
        <v>2015</v>
      </c>
      <c r="H4" s="65">
        <v>2016</v>
      </c>
      <c r="I4" s="65">
        <v>2017</v>
      </c>
      <c r="J4" s="65">
        <v>2018</v>
      </c>
      <c r="K4" s="65">
        <v>2019</v>
      </c>
      <c r="L4" s="65">
        <v>2020</v>
      </c>
      <c r="M4" s="65">
        <v>2021</v>
      </c>
      <c r="N4" s="65">
        <v>2022</v>
      </c>
      <c r="O4" s="65">
        <v>2023</v>
      </c>
      <c r="P4" s="65">
        <v>2024</v>
      </c>
      <c r="Q4" s="65">
        <v>2025</v>
      </c>
    </row>
    <row r="5" spans="1:17" ht="15" customHeight="1" x14ac:dyDescent="0.3">
      <c r="A5" s="28" t="s">
        <v>76</v>
      </c>
      <c r="B5" s="29">
        <v>6.9270949999999969</v>
      </c>
      <c r="C5" s="29">
        <v>6.3317699999999988</v>
      </c>
      <c r="D5" s="29">
        <v>5.3932850000000006</v>
      </c>
      <c r="E5" s="29">
        <v>5.2331200000000022</v>
      </c>
      <c r="F5" s="29">
        <v>6.2625174999999995</v>
      </c>
      <c r="G5" s="29">
        <v>5.8002474999999993</v>
      </c>
      <c r="H5" s="30">
        <v>5.3978100000000007</v>
      </c>
      <c r="I5" s="30">
        <v>5.7516124999999994</v>
      </c>
      <c r="J5" s="30">
        <f>5830.355/1000</f>
        <v>5.830355</v>
      </c>
      <c r="K5" s="30">
        <v>5.7532275000000013</v>
      </c>
      <c r="L5" s="30">
        <v>6.9067349999999994</v>
      </c>
      <c r="M5" s="30">
        <v>5.7349556563997863</v>
      </c>
      <c r="N5" s="30">
        <v>5.2933184287253159</v>
      </c>
      <c r="O5" s="30">
        <v>7.6027678722277665</v>
      </c>
      <c r="P5" s="30">
        <v>7.190477313365446</v>
      </c>
      <c r="Q5" s="30">
        <v>3.8715872173701462</v>
      </c>
    </row>
    <row r="6" spans="1:17" ht="15" customHeight="1" x14ac:dyDescent="0.3">
      <c r="A6" s="31" t="s">
        <v>52</v>
      </c>
      <c r="B6" s="32">
        <f>B7-B5</f>
        <v>93.231057499998741</v>
      </c>
      <c r="C6" s="32">
        <f t="shared" ref="C6:J6" si="0">C7-C5</f>
        <v>84.225282499999992</v>
      </c>
      <c r="D6" s="32">
        <f t="shared" si="0"/>
        <v>75.002025000000287</v>
      </c>
      <c r="E6" s="32">
        <f t="shared" si="0"/>
        <v>71.865010000000041</v>
      </c>
      <c r="F6" s="32">
        <f t="shared" si="0"/>
        <v>76.207840000000019</v>
      </c>
      <c r="G6" s="32">
        <f t="shared" si="0"/>
        <v>75.443202499999686</v>
      </c>
      <c r="H6" s="32">
        <f t="shared" si="0"/>
        <v>75.696047499999523</v>
      </c>
      <c r="I6" s="32">
        <f t="shared" si="0"/>
        <v>78.773394999999937</v>
      </c>
      <c r="J6" s="32">
        <f t="shared" si="0"/>
        <v>80.417745000000181</v>
      </c>
      <c r="K6" s="32">
        <v>81.331484999999901</v>
      </c>
      <c r="L6" s="32">
        <v>80.209129999999604</v>
      </c>
      <c r="M6" s="32">
        <v>83.92996543004277</v>
      </c>
      <c r="N6" s="32">
        <f>N7-N5</f>
        <v>83.726967065221416</v>
      </c>
      <c r="O6" s="32">
        <f>O7-O5</f>
        <v>86.425184059093567</v>
      </c>
      <c r="P6" s="32">
        <v>91.342071087711744</v>
      </c>
      <c r="Q6" s="32">
        <v>89.477577688496865</v>
      </c>
    </row>
    <row r="7" spans="1:17" ht="15" customHeight="1" x14ac:dyDescent="0.3">
      <c r="A7" s="28" t="s">
        <v>53</v>
      </c>
      <c r="B7" s="29">
        <v>100.15815249999874</v>
      </c>
      <c r="C7" s="29">
        <v>90.557052499999983</v>
      </c>
      <c r="D7" s="29">
        <v>80.395310000000293</v>
      </c>
      <c r="E7" s="29">
        <v>77.09813000000004</v>
      </c>
      <c r="F7" s="29">
        <v>82.47035750000002</v>
      </c>
      <c r="G7" s="29">
        <v>81.243449999999683</v>
      </c>
      <c r="H7" s="30">
        <v>81.09385749999953</v>
      </c>
      <c r="I7" s="30">
        <v>84.52500749999993</v>
      </c>
      <c r="J7" s="30">
        <v>86.248100000000179</v>
      </c>
      <c r="K7" s="30">
        <v>87.084712499999895</v>
      </c>
      <c r="L7" s="30">
        <v>87.115864999999602</v>
      </c>
      <c r="M7" s="30">
        <v>89.664921086442561</v>
      </c>
      <c r="N7" s="30">
        <v>89.02028549394673</v>
      </c>
      <c r="O7" s="30">
        <v>94.02795193132134</v>
      </c>
      <c r="P7" s="30">
        <v>98.532548401077193</v>
      </c>
      <c r="Q7" s="30">
        <v>93.349164905867013</v>
      </c>
    </row>
    <row r="8" spans="1:17" ht="15" customHeight="1" x14ac:dyDescent="0.3">
      <c r="A8" s="69" t="s">
        <v>54</v>
      </c>
      <c r="B8" s="70">
        <v>4389.7539024999469</v>
      </c>
      <c r="C8" s="70">
        <v>4054.3311224999634</v>
      </c>
      <c r="D8" s="70">
        <v>3694.9760949999863</v>
      </c>
      <c r="E8" s="70">
        <v>3513.1972749999732</v>
      </c>
      <c r="F8" s="70">
        <v>3536.2398724999625</v>
      </c>
      <c r="G8" s="70">
        <v>3610.6925649999803</v>
      </c>
      <c r="H8" s="70">
        <v>3673.5592624999863</v>
      </c>
      <c r="I8" s="70">
        <v>3752.6738349998004</v>
      </c>
      <c r="J8" s="70">
        <v>3828.0211174997803</v>
      </c>
      <c r="K8" s="70">
        <v>3911.0299925000186</v>
      </c>
      <c r="L8" s="70">
        <v>3875.4790050002653</v>
      </c>
      <c r="M8" s="70">
        <v>3927.9804227906716</v>
      </c>
      <c r="N8" s="84">
        <v>4140.6331686931735</v>
      </c>
      <c r="O8" s="84">
        <v>4193.4603782170425</v>
      </c>
      <c r="P8" s="84">
        <v>4275.9529162760173</v>
      </c>
      <c r="Q8" s="84">
        <v>4339.7172146297426</v>
      </c>
    </row>
    <row r="9" spans="1:17" ht="20.399999999999999" x14ac:dyDescent="0.3">
      <c r="A9" s="33" t="s">
        <v>77</v>
      </c>
      <c r="B9" s="34">
        <f t="shared" ref="B9:J9" si="1">B5/B7</f>
        <v>6.9161569249194019E-2</v>
      </c>
      <c r="C9" s="34">
        <f t="shared" si="1"/>
        <v>6.9920230674469008E-2</v>
      </c>
      <c r="D9" s="34">
        <f t="shared" si="1"/>
        <v>6.7084572470707315E-2</v>
      </c>
      <c r="E9" s="34">
        <f t="shared" si="1"/>
        <v>6.7876095049257346E-2</v>
      </c>
      <c r="F9" s="34">
        <f t="shared" si="1"/>
        <v>7.5936587276222225E-2</v>
      </c>
      <c r="G9" s="34">
        <f t="shared" si="1"/>
        <v>7.1393416946227931E-2</v>
      </c>
      <c r="H9" s="35">
        <f t="shared" si="1"/>
        <v>6.65625013583801E-2</v>
      </c>
      <c r="I9" s="35">
        <f t="shared" si="1"/>
        <v>6.8046282042625125E-2</v>
      </c>
      <c r="J9" s="35">
        <f t="shared" si="1"/>
        <v>6.75998079957702E-2</v>
      </c>
      <c r="K9" s="35">
        <f t="shared" ref="K9" si="2">K5/K7</f>
        <v>6.6064724046714957E-2</v>
      </c>
      <c r="L9" s="35">
        <v>7.9282172081974175E-2</v>
      </c>
      <c r="M9" s="35">
        <v>6.3959858402941466E-2</v>
      </c>
      <c r="N9" s="35">
        <f>N5/N7</f>
        <v>5.9461934988798197E-2</v>
      </c>
      <c r="O9" s="35">
        <f>O5/O7</f>
        <v>8.0856465721819398E-2</v>
      </c>
      <c r="P9" s="35">
        <v>7.2975655557964203E-2</v>
      </c>
      <c r="Q9" s="35">
        <v>4.1474256585736377E-2</v>
      </c>
    </row>
    <row r="10" spans="1:17" ht="20.399999999999999" x14ac:dyDescent="0.3">
      <c r="A10" s="36" t="s">
        <v>55</v>
      </c>
      <c r="B10" s="37">
        <f>B6/B7</f>
        <v>0.93083843075080597</v>
      </c>
      <c r="C10" s="37">
        <f t="shared" ref="C10:J10" si="3">C6/C7</f>
        <v>0.93007976932553105</v>
      </c>
      <c r="D10" s="37">
        <f t="shared" si="3"/>
        <v>0.93291542752929257</v>
      </c>
      <c r="E10" s="37">
        <f t="shared" si="3"/>
        <v>0.93212390495074271</v>
      </c>
      <c r="F10" s="37">
        <f t="shared" si="3"/>
        <v>0.92406341272377779</v>
      </c>
      <c r="G10" s="37">
        <f t="shared" si="3"/>
        <v>0.92860658305377208</v>
      </c>
      <c r="H10" s="37">
        <f t="shared" si="3"/>
        <v>0.93343749864161984</v>
      </c>
      <c r="I10" s="37">
        <f t="shared" si="3"/>
        <v>0.93195371795737492</v>
      </c>
      <c r="J10" s="37">
        <f t="shared" si="3"/>
        <v>0.93240019200422986</v>
      </c>
      <c r="K10" s="37">
        <f t="shared" ref="K10" si="4">K6/K7</f>
        <v>0.93393527595328518</v>
      </c>
      <c r="L10" s="37">
        <v>0.92071782791802581</v>
      </c>
      <c r="M10" s="37">
        <v>0.93604014159705851</v>
      </c>
      <c r="N10" s="37">
        <f>N6/N7</f>
        <v>0.94053806501120185</v>
      </c>
      <c r="O10" s="37">
        <f>O6/O7</f>
        <v>0.91914353427818052</v>
      </c>
      <c r="P10" s="37">
        <v>0.92702434444203574</v>
      </c>
      <c r="Q10" s="37">
        <v>0.95852574341426355</v>
      </c>
    </row>
    <row r="11" spans="1:17" ht="15" customHeight="1" x14ac:dyDescent="0.3">
      <c r="A11" s="101" t="s">
        <v>90</v>
      </c>
      <c r="B11" s="101"/>
      <c r="C11" s="101"/>
      <c r="D11" s="101"/>
      <c r="E11" s="101"/>
      <c r="F11" s="101"/>
      <c r="G11" s="101"/>
      <c r="H11" s="101"/>
    </row>
    <row r="12" spans="1:17" ht="19.2" customHeight="1" x14ac:dyDescent="0.3">
      <c r="A12" s="99" t="s">
        <v>87</v>
      </c>
      <c r="B12" s="100"/>
      <c r="C12" s="100"/>
      <c r="D12" s="100"/>
    </row>
    <row r="13" spans="1:17" ht="15" customHeight="1" x14ac:dyDescent="0.3">
      <c r="A13" s="99" t="s">
        <v>88</v>
      </c>
      <c r="B13" s="99"/>
      <c r="C13" s="99"/>
      <c r="D13" s="99"/>
      <c r="E13" s="99"/>
      <c r="F13" s="99"/>
      <c r="G13" s="99"/>
      <c r="H13" s="99"/>
    </row>
    <row r="14" spans="1:17" ht="15" customHeight="1" x14ac:dyDescent="0.3">
      <c r="A14" s="99"/>
      <c r="B14" s="99"/>
      <c r="C14" s="99"/>
      <c r="D14" s="99"/>
      <c r="E14" s="99"/>
      <c r="F14" s="99"/>
      <c r="G14" s="99"/>
      <c r="H14" s="99"/>
    </row>
    <row r="15" spans="1:17" ht="15" customHeight="1" x14ac:dyDescent="0.3">
      <c r="A15" s="99"/>
      <c r="B15" s="99"/>
      <c r="C15" s="99"/>
      <c r="D15" s="99"/>
      <c r="E15" s="99"/>
      <c r="F15" s="99"/>
      <c r="G15" s="99"/>
      <c r="H15" s="99"/>
    </row>
    <row r="16" spans="1:17" ht="15" customHeight="1" x14ac:dyDescent="0.3">
      <c r="A16" s="99"/>
      <c r="B16" s="99"/>
      <c r="C16" s="99"/>
      <c r="D16" s="99"/>
      <c r="E16" s="99"/>
      <c r="F16" s="99"/>
      <c r="G16" s="99"/>
      <c r="H16" s="99"/>
    </row>
    <row r="17" spans="1:8" ht="15" customHeight="1" x14ac:dyDescent="0.3">
      <c r="A17" s="99"/>
      <c r="B17" s="99"/>
      <c r="C17" s="99"/>
      <c r="D17" s="99"/>
      <c r="E17" s="99"/>
      <c r="F17" s="99"/>
      <c r="G17" s="99"/>
      <c r="H17" s="99"/>
    </row>
    <row r="18" spans="1:8" ht="15" customHeight="1" x14ac:dyDescent="0.3">
      <c r="A18" s="64"/>
      <c r="B18" s="64"/>
      <c r="C18" s="64"/>
      <c r="D18" s="64"/>
      <c r="E18" s="64"/>
      <c r="F18" s="64"/>
      <c r="G18" s="64"/>
      <c r="H18" s="64"/>
    </row>
  </sheetData>
  <mergeCells count="5">
    <mergeCell ref="A12:D12"/>
    <mergeCell ref="A13:H14"/>
    <mergeCell ref="A15:H17"/>
    <mergeCell ref="A11:H11"/>
    <mergeCell ref="A3:Q3"/>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336"/>
  <sheetViews>
    <sheetView showGridLines="0" zoomScaleNormal="100" workbookViewId="0">
      <selection activeCell="C6" sqref="C6:G17"/>
    </sheetView>
  </sheetViews>
  <sheetFormatPr defaultRowHeight="15" customHeight="1" x14ac:dyDescent="0.3"/>
  <cols>
    <col min="1" max="1" width="16.44140625" style="13" customWidth="1"/>
    <col min="2" max="2" width="10.6640625" style="13" bestFit="1" customWidth="1"/>
    <col min="3" max="3" width="6.5546875" style="13" customWidth="1"/>
    <col min="4" max="4" width="6.6640625" style="13" customWidth="1"/>
    <col min="5" max="5" width="8.109375" style="13" customWidth="1"/>
    <col min="6" max="6" width="7.44140625" style="13" customWidth="1"/>
    <col min="7" max="7" width="7.109375" style="13" customWidth="1"/>
    <col min="8" max="8" width="8.6640625" style="13" customWidth="1"/>
    <col min="9" max="9" width="13.109375" style="13" customWidth="1"/>
    <col min="10" max="11" width="9.109375" style="13" customWidth="1"/>
    <col min="12" max="12" width="10.6640625" style="13" bestFit="1" customWidth="1"/>
    <col min="13" max="13" width="7" style="13" customWidth="1"/>
    <col min="14" max="14" width="7.109375" style="13" customWidth="1"/>
    <col min="15" max="15" width="6.88671875" style="13" customWidth="1"/>
    <col min="16" max="16" width="8.33203125" style="13" customWidth="1"/>
    <col min="17" max="17" width="6.5546875" style="13" customWidth="1"/>
    <col min="18" max="18" width="7.44140625" style="13" bestFit="1" customWidth="1"/>
    <col min="19" max="19" width="8.44140625" style="13" customWidth="1"/>
    <col min="20" max="16384" width="8.88671875" style="13"/>
  </cols>
  <sheetData>
    <row r="3" spans="1:8" ht="15" customHeight="1" x14ac:dyDescent="0.3">
      <c r="A3" s="102" t="s">
        <v>56</v>
      </c>
      <c r="B3" s="102"/>
      <c r="C3" s="102"/>
      <c r="D3" s="102"/>
      <c r="E3" s="102"/>
      <c r="F3" s="102"/>
      <c r="G3" s="102"/>
      <c r="H3" s="102"/>
    </row>
    <row r="4" spans="1:8" ht="15" customHeight="1" x14ac:dyDescent="0.3">
      <c r="A4" s="102" t="s">
        <v>132</v>
      </c>
      <c r="B4" s="102"/>
      <c r="C4" s="102"/>
      <c r="D4" s="102"/>
      <c r="E4" s="102"/>
      <c r="F4" s="102"/>
      <c r="G4" s="102"/>
      <c r="H4" s="102"/>
    </row>
    <row r="5" spans="1:8" ht="15" customHeight="1" x14ac:dyDescent="0.3">
      <c r="A5" s="71" t="s">
        <v>86</v>
      </c>
      <c r="B5" s="72"/>
      <c r="C5" s="72" t="s">
        <v>14</v>
      </c>
      <c r="D5" s="72" t="s">
        <v>15</v>
      </c>
      <c r="E5" s="72" t="s">
        <v>16</v>
      </c>
      <c r="F5" s="72" t="s">
        <v>17</v>
      </c>
      <c r="G5" s="72" t="s">
        <v>0</v>
      </c>
      <c r="H5" s="72" t="s">
        <v>1</v>
      </c>
    </row>
    <row r="6" spans="1:8" ht="15" customHeight="1" x14ac:dyDescent="0.3">
      <c r="A6" s="103" t="s">
        <v>2</v>
      </c>
      <c r="B6" s="12" t="s">
        <v>6</v>
      </c>
      <c r="C6" s="22">
        <v>0</v>
      </c>
      <c r="D6" s="22">
        <v>2</v>
      </c>
      <c r="E6" s="22">
        <v>7</v>
      </c>
      <c r="F6" s="22">
        <v>7</v>
      </c>
      <c r="G6" s="22">
        <v>4</v>
      </c>
      <c r="H6" s="23">
        <f>SUM(C6:G6)</f>
        <v>20</v>
      </c>
    </row>
    <row r="7" spans="1:8" ht="15" customHeight="1" x14ac:dyDescent="0.3">
      <c r="A7" s="103"/>
      <c r="B7" s="12" t="s">
        <v>7</v>
      </c>
      <c r="C7" s="22">
        <v>0</v>
      </c>
      <c r="D7" s="22">
        <v>50</v>
      </c>
      <c r="E7" s="22">
        <v>129</v>
      </c>
      <c r="F7" s="22">
        <v>190</v>
      </c>
      <c r="G7" s="22">
        <v>71</v>
      </c>
      <c r="H7" s="23">
        <f t="shared" ref="H7:H17" si="0">SUM(C7:G7)</f>
        <v>440</v>
      </c>
    </row>
    <row r="8" spans="1:8" ht="15" customHeight="1" x14ac:dyDescent="0.3">
      <c r="A8" s="103"/>
      <c r="B8" s="12" t="s">
        <v>8</v>
      </c>
      <c r="C8" s="22">
        <v>0</v>
      </c>
      <c r="D8" s="22">
        <v>109</v>
      </c>
      <c r="E8" s="22">
        <v>313</v>
      </c>
      <c r="F8" s="22">
        <v>506</v>
      </c>
      <c r="G8" s="22">
        <v>246</v>
      </c>
      <c r="H8" s="23">
        <f t="shared" si="0"/>
        <v>1174</v>
      </c>
    </row>
    <row r="9" spans="1:8" ht="15" customHeight="1" x14ac:dyDescent="0.3">
      <c r="A9" s="104" t="s">
        <v>3</v>
      </c>
      <c r="B9" s="13" t="s">
        <v>6</v>
      </c>
      <c r="C9" s="20">
        <v>2</v>
      </c>
      <c r="D9" s="20">
        <v>10</v>
      </c>
      <c r="E9" s="20">
        <v>12</v>
      </c>
      <c r="F9" s="20">
        <v>7</v>
      </c>
      <c r="G9" s="20">
        <v>1</v>
      </c>
      <c r="H9" s="21">
        <f t="shared" si="0"/>
        <v>32</v>
      </c>
    </row>
    <row r="10" spans="1:8" ht="15" customHeight="1" x14ac:dyDescent="0.3">
      <c r="A10" s="104"/>
      <c r="B10" s="13" t="s">
        <v>7</v>
      </c>
      <c r="C10" s="20">
        <v>47</v>
      </c>
      <c r="D10" s="20">
        <v>272</v>
      </c>
      <c r="E10" s="20">
        <v>263</v>
      </c>
      <c r="F10" s="20">
        <v>150</v>
      </c>
      <c r="G10" s="20">
        <v>4</v>
      </c>
      <c r="H10" s="21">
        <f t="shared" si="0"/>
        <v>736</v>
      </c>
    </row>
    <row r="11" spans="1:8" ht="15" customHeight="1" x14ac:dyDescent="0.3">
      <c r="A11" s="104"/>
      <c r="B11" s="13" t="s">
        <v>8</v>
      </c>
      <c r="C11" s="20">
        <v>105</v>
      </c>
      <c r="D11" s="20">
        <v>586</v>
      </c>
      <c r="E11" s="20">
        <v>561</v>
      </c>
      <c r="F11" s="20">
        <v>256</v>
      </c>
      <c r="G11" s="20">
        <v>8</v>
      </c>
      <c r="H11" s="21">
        <f t="shared" si="0"/>
        <v>1516</v>
      </c>
    </row>
    <row r="12" spans="1:8" ht="15" customHeight="1" x14ac:dyDescent="0.3">
      <c r="A12" s="103" t="s">
        <v>4</v>
      </c>
      <c r="B12" s="12" t="s">
        <v>6</v>
      </c>
      <c r="C12" s="22">
        <v>0</v>
      </c>
      <c r="D12" s="22">
        <v>1</v>
      </c>
      <c r="E12" s="22">
        <v>21</v>
      </c>
      <c r="F12" s="22">
        <v>9</v>
      </c>
      <c r="G12" s="22">
        <v>2</v>
      </c>
      <c r="H12" s="23">
        <f t="shared" si="0"/>
        <v>33</v>
      </c>
    </row>
    <row r="13" spans="1:8" ht="15" customHeight="1" x14ac:dyDescent="0.3">
      <c r="A13" s="103"/>
      <c r="B13" s="12" t="s">
        <v>7</v>
      </c>
      <c r="C13" s="22">
        <v>0</v>
      </c>
      <c r="D13" s="22">
        <v>11</v>
      </c>
      <c r="E13" s="22">
        <v>537</v>
      </c>
      <c r="F13" s="22">
        <v>229</v>
      </c>
      <c r="G13" s="22">
        <v>50</v>
      </c>
      <c r="H13" s="23">
        <f t="shared" si="0"/>
        <v>827</v>
      </c>
    </row>
    <row r="14" spans="1:8" ht="15" customHeight="1" x14ac:dyDescent="0.3">
      <c r="A14" s="103"/>
      <c r="B14" s="12" t="s">
        <v>8</v>
      </c>
      <c r="C14" s="22">
        <v>0</v>
      </c>
      <c r="D14" s="22">
        <v>40</v>
      </c>
      <c r="E14" s="22">
        <v>1102</v>
      </c>
      <c r="F14" s="22">
        <v>436</v>
      </c>
      <c r="G14" s="22">
        <v>134</v>
      </c>
      <c r="H14" s="23">
        <f t="shared" si="0"/>
        <v>1712</v>
      </c>
    </row>
    <row r="15" spans="1:8" ht="15" customHeight="1" x14ac:dyDescent="0.3">
      <c r="A15" s="104" t="s">
        <v>5</v>
      </c>
      <c r="B15" s="13" t="s">
        <v>6</v>
      </c>
      <c r="C15" s="20">
        <v>1</v>
      </c>
      <c r="D15" s="20">
        <v>2</v>
      </c>
      <c r="E15" s="20">
        <v>17</v>
      </c>
      <c r="F15" s="20">
        <v>10</v>
      </c>
      <c r="G15" s="20">
        <v>1</v>
      </c>
      <c r="H15" s="21">
        <f t="shared" si="0"/>
        <v>31</v>
      </c>
    </row>
    <row r="16" spans="1:8" ht="15" customHeight="1" x14ac:dyDescent="0.3">
      <c r="A16" s="104"/>
      <c r="B16" s="13" t="s">
        <v>7</v>
      </c>
      <c r="C16" s="20">
        <v>38</v>
      </c>
      <c r="D16" s="20">
        <v>42</v>
      </c>
      <c r="E16" s="20">
        <v>340</v>
      </c>
      <c r="F16" s="20">
        <v>136</v>
      </c>
      <c r="G16" s="20">
        <v>12</v>
      </c>
      <c r="H16" s="21">
        <f t="shared" si="0"/>
        <v>568</v>
      </c>
    </row>
    <row r="17" spans="1:8" ht="15" customHeight="1" x14ac:dyDescent="0.3">
      <c r="A17" s="104"/>
      <c r="B17" s="13" t="s">
        <v>8</v>
      </c>
      <c r="C17" s="20">
        <v>82</v>
      </c>
      <c r="D17" s="20">
        <v>85</v>
      </c>
      <c r="E17" s="20">
        <v>692</v>
      </c>
      <c r="F17" s="20">
        <v>281</v>
      </c>
      <c r="G17" s="20">
        <v>24</v>
      </c>
      <c r="H17" s="21">
        <f t="shared" si="0"/>
        <v>1164</v>
      </c>
    </row>
    <row r="18" spans="1:8" ht="15" customHeight="1" x14ac:dyDescent="0.3">
      <c r="A18" s="105" t="s">
        <v>1</v>
      </c>
      <c r="B18" s="73" t="s">
        <v>6</v>
      </c>
      <c r="C18" s="74">
        <f>C6+C9+C12+C15</f>
        <v>3</v>
      </c>
      <c r="D18" s="74">
        <f t="shared" ref="D18:H18" si="1">D6+D9+D12+D15</f>
        <v>15</v>
      </c>
      <c r="E18" s="74">
        <f t="shared" si="1"/>
        <v>57</v>
      </c>
      <c r="F18" s="74">
        <f t="shared" si="1"/>
        <v>33</v>
      </c>
      <c r="G18" s="74">
        <f t="shared" si="1"/>
        <v>8</v>
      </c>
      <c r="H18" s="74">
        <f t="shared" si="1"/>
        <v>116</v>
      </c>
    </row>
    <row r="19" spans="1:8" ht="15" customHeight="1" x14ac:dyDescent="0.3">
      <c r="A19" s="105"/>
      <c r="B19" s="73" t="s">
        <v>7</v>
      </c>
      <c r="C19" s="74">
        <f>C7+C10+C13+C16</f>
        <v>85</v>
      </c>
      <c r="D19" s="74">
        <f t="shared" ref="D19:H19" si="2">D7+D10+D13+D16</f>
        <v>375</v>
      </c>
      <c r="E19" s="74">
        <f t="shared" si="2"/>
        <v>1269</v>
      </c>
      <c r="F19" s="74">
        <f t="shared" si="2"/>
        <v>705</v>
      </c>
      <c r="G19" s="74">
        <f t="shared" si="2"/>
        <v>137</v>
      </c>
      <c r="H19" s="74">
        <f t="shared" si="2"/>
        <v>2571</v>
      </c>
    </row>
    <row r="20" spans="1:8" ht="15" customHeight="1" x14ac:dyDescent="0.3">
      <c r="A20" s="105"/>
      <c r="B20" s="73" t="s">
        <v>8</v>
      </c>
      <c r="C20" s="74">
        <f>C8+C11+C14+C17</f>
        <v>187</v>
      </c>
      <c r="D20" s="74">
        <f t="shared" ref="D20:H20" si="3">D8+D11+D14+D17</f>
        <v>820</v>
      </c>
      <c r="E20" s="74">
        <f t="shared" si="3"/>
        <v>2668</v>
      </c>
      <c r="F20" s="74">
        <f t="shared" si="3"/>
        <v>1479</v>
      </c>
      <c r="G20" s="74">
        <f t="shared" si="3"/>
        <v>412</v>
      </c>
      <c r="H20" s="74">
        <f t="shared" si="3"/>
        <v>5566</v>
      </c>
    </row>
    <row r="21" spans="1:8" ht="15" customHeight="1" x14ac:dyDescent="0.3">
      <c r="A21" s="4" t="s">
        <v>91</v>
      </c>
      <c r="B21" s="62"/>
      <c r="C21" s="62"/>
      <c r="D21" s="62"/>
      <c r="E21" s="62"/>
      <c r="F21" s="62"/>
      <c r="G21" s="62"/>
      <c r="H21" s="62"/>
    </row>
    <row r="24" spans="1:8" ht="15" customHeight="1" x14ac:dyDescent="0.3">
      <c r="A24" s="102" t="s">
        <v>56</v>
      </c>
      <c r="B24" s="102"/>
      <c r="C24" s="102"/>
      <c r="D24" s="102"/>
      <c r="E24" s="102"/>
      <c r="F24" s="102"/>
      <c r="G24" s="102"/>
      <c r="H24" s="102"/>
    </row>
    <row r="25" spans="1:8" ht="15" customHeight="1" x14ac:dyDescent="0.3">
      <c r="A25" s="102" t="s">
        <v>121</v>
      </c>
      <c r="B25" s="102"/>
      <c r="C25" s="102"/>
      <c r="D25" s="102"/>
      <c r="E25" s="102"/>
      <c r="F25" s="102"/>
      <c r="G25" s="102"/>
      <c r="H25" s="102"/>
    </row>
    <row r="26" spans="1:8" ht="15" customHeight="1" x14ac:dyDescent="0.3">
      <c r="A26" s="71" t="s">
        <v>86</v>
      </c>
      <c r="B26" s="72"/>
      <c r="C26" s="72" t="s">
        <v>14</v>
      </c>
      <c r="D26" s="72" t="s">
        <v>15</v>
      </c>
      <c r="E26" s="72" t="s">
        <v>16</v>
      </c>
      <c r="F26" s="72" t="s">
        <v>17</v>
      </c>
      <c r="G26" s="72" t="s">
        <v>0</v>
      </c>
      <c r="H26" s="72" t="s">
        <v>1</v>
      </c>
    </row>
    <row r="27" spans="1:8" ht="15" customHeight="1" x14ac:dyDescent="0.3">
      <c r="A27" s="103" t="s">
        <v>2</v>
      </c>
      <c r="B27" s="12" t="s">
        <v>6</v>
      </c>
      <c r="C27" s="22">
        <v>0</v>
      </c>
      <c r="D27" s="22">
        <v>1</v>
      </c>
      <c r="E27" s="22">
        <v>8</v>
      </c>
      <c r="F27" s="22">
        <v>7</v>
      </c>
      <c r="G27" s="22">
        <v>4</v>
      </c>
      <c r="H27" s="23">
        <f>SUM(C27:G27)</f>
        <v>20</v>
      </c>
    </row>
    <row r="28" spans="1:8" ht="15" customHeight="1" x14ac:dyDescent="0.3">
      <c r="A28" s="103"/>
      <c r="B28" s="12" t="s">
        <v>7</v>
      </c>
      <c r="C28" s="22">
        <v>0</v>
      </c>
      <c r="D28" s="22">
        <v>16</v>
      </c>
      <c r="E28" s="22">
        <v>165</v>
      </c>
      <c r="F28" s="22">
        <v>190</v>
      </c>
      <c r="G28" s="22">
        <v>71</v>
      </c>
      <c r="H28" s="23">
        <f t="shared" ref="H28:H38" si="4">SUM(C28:G28)</f>
        <v>442</v>
      </c>
    </row>
    <row r="29" spans="1:8" ht="15" customHeight="1" x14ac:dyDescent="0.3">
      <c r="A29" s="103"/>
      <c r="B29" s="12" t="s">
        <v>8</v>
      </c>
      <c r="C29" s="22">
        <v>0</v>
      </c>
      <c r="D29" s="22">
        <v>33</v>
      </c>
      <c r="E29" s="22">
        <v>387</v>
      </c>
      <c r="F29" s="22">
        <v>506</v>
      </c>
      <c r="G29" s="22">
        <v>246</v>
      </c>
      <c r="H29" s="23">
        <f t="shared" si="4"/>
        <v>1172</v>
      </c>
    </row>
    <row r="30" spans="1:8" ht="15" customHeight="1" x14ac:dyDescent="0.3">
      <c r="A30" s="104" t="s">
        <v>3</v>
      </c>
      <c r="B30" s="13" t="s">
        <v>6</v>
      </c>
      <c r="C30" s="20">
        <v>2</v>
      </c>
      <c r="D30" s="20">
        <v>10</v>
      </c>
      <c r="E30" s="20">
        <v>15</v>
      </c>
      <c r="F30" s="20">
        <v>7</v>
      </c>
      <c r="G30" s="20">
        <v>1</v>
      </c>
      <c r="H30" s="21">
        <f t="shared" si="4"/>
        <v>35</v>
      </c>
    </row>
    <row r="31" spans="1:8" ht="15" customHeight="1" x14ac:dyDescent="0.3">
      <c r="A31" s="104"/>
      <c r="B31" s="13" t="s">
        <v>7</v>
      </c>
      <c r="C31" s="20">
        <v>47</v>
      </c>
      <c r="D31" s="20">
        <v>272</v>
      </c>
      <c r="E31" s="20">
        <v>315</v>
      </c>
      <c r="F31" s="20">
        <v>150</v>
      </c>
      <c r="G31" s="20">
        <v>4</v>
      </c>
      <c r="H31" s="21">
        <f t="shared" si="4"/>
        <v>788</v>
      </c>
    </row>
    <row r="32" spans="1:8" ht="15" customHeight="1" x14ac:dyDescent="0.3">
      <c r="A32" s="104"/>
      <c r="B32" s="13" t="s">
        <v>8</v>
      </c>
      <c r="C32" s="20">
        <v>105</v>
      </c>
      <c r="D32" s="20">
        <v>586</v>
      </c>
      <c r="E32" s="20">
        <v>704</v>
      </c>
      <c r="F32" s="20">
        <v>256</v>
      </c>
      <c r="G32" s="20">
        <v>8</v>
      </c>
      <c r="H32" s="21">
        <f t="shared" si="4"/>
        <v>1659</v>
      </c>
    </row>
    <row r="33" spans="1:8" ht="15" customHeight="1" x14ac:dyDescent="0.3">
      <c r="A33" s="103" t="s">
        <v>4</v>
      </c>
      <c r="B33" s="12" t="s">
        <v>6</v>
      </c>
      <c r="C33" s="22">
        <v>1</v>
      </c>
      <c r="D33" s="22">
        <v>0</v>
      </c>
      <c r="E33" s="22">
        <v>21</v>
      </c>
      <c r="F33" s="22">
        <v>8</v>
      </c>
      <c r="G33" s="22">
        <v>2</v>
      </c>
      <c r="H33" s="23">
        <f t="shared" si="4"/>
        <v>32</v>
      </c>
    </row>
    <row r="34" spans="1:8" ht="15" customHeight="1" x14ac:dyDescent="0.3">
      <c r="A34" s="103"/>
      <c r="B34" s="12" t="s">
        <v>7</v>
      </c>
      <c r="C34" s="22">
        <v>14</v>
      </c>
      <c r="D34" s="22">
        <v>0</v>
      </c>
      <c r="E34" s="22">
        <v>550</v>
      </c>
      <c r="F34" s="22">
        <v>204</v>
      </c>
      <c r="G34" s="22">
        <v>50</v>
      </c>
      <c r="H34" s="23">
        <f t="shared" si="4"/>
        <v>818</v>
      </c>
    </row>
    <row r="35" spans="1:8" ht="15" customHeight="1" x14ac:dyDescent="0.3">
      <c r="A35" s="103"/>
      <c r="B35" s="12" t="s">
        <v>8</v>
      </c>
      <c r="C35" s="22">
        <v>32</v>
      </c>
      <c r="D35" s="22">
        <v>0</v>
      </c>
      <c r="E35" s="22">
        <v>1118</v>
      </c>
      <c r="F35" s="22">
        <v>393</v>
      </c>
      <c r="G35" s="22">
        <v>134</v>
      </c>
      <c r="H35" s="23">
        <f t="shared" si="4"/>
        <v>1677</v>
      </c>
    </row>
    <row r="36" spans="1:8" ht="15" customHeight="1" x14ac:dyDescent="0.3">
      <c r="A36" s="104" t="s">
        <v>5</v>
      </c>
      <c r="B36" s="13" t="s">
        <v>6</v>
      </c>
      <c r="C36" s="20">
        <v>1</v>
      </c>
      <c r="D36" s="20">
        <v>2</v>
      </c>
      <c r="E36" s="20">
        <v>17</v>
      </c>
      <c r="F36" s="20">
        <v>10</v>
      </c>
      <c r="G36" s="20">
        <v>1</v>
      </c>
      <c r="H36" s="21">
        <f t="shared" si="4"/>
        <v>31</v>
      </c>
    </row>
    <row r="37" spans="1:8" ht="15" customHeight="1" x14ac:dyDescent="0.3">
      <c r="A37" s="104"/>
      <c r="B37" s="13" t="s">
        <v>7</v>
      </c>
      <c r="C37" s="20">
        <v>38</v>
      </c>
      <c r="D37" s="20">
        <v>41</v>
      </c>
      <c r="E37" s="20">
        <v>340</v>
      </c>
      <c r="F37" s="20">
        <v>136</v>
      </c>
      <c r="G37" s="20">
        <v>12</v>
      </c>
      <c r="H37" s="21">
        <f t="shared" si="4"/>
        <v>567</v>
      </c>
    </row>
    <row r="38" spans="1:8" ht="15" customHeight="1" x14ac:dyDescent="0.3">
      <c r="A38" s="104"/>
      <c r="B38" s="13" t="s">
        <v>8</v>
      </c>
      <c r="C38" s="20">
        <v>82</v>
      </c>
      <c r="D38" s="20">
        <v>93</v>
      </c>
      <c r="E38" s="20">
        <v>691</v>
      </c>
      <c r="F38" s="20">
        <v>281</v>
      </c>
      <c r="G38" s="20">
        <v>24</v>
      </c>
      <c r="H38" s="21">
        <f t="shared" si="4"/>
        <v>1171</v>
      </c>
    </row>
    <row r="39" spans="1:8" ht="15" customHeight="1" x14ac:dyDescent="0.3">
      <c r="A39" s="105" t="s">
        <v>1</v>
      </c>
      <c r="B39" s="73" t="s">
        <v>6</v>
      </c>
      <c r="C39" s="74">
        <f>C27+C30+C33+C36</f>
        <v>4</v>
      </c>
      <c r="D39" s="74">
        <f t="shared" ref="D39:H39" si="5">D27+D30+D33+D36</f>
        <v>13</v>
      </c>
      <c r="E39" s="74">
        <f t="shared" si="5"/>
        <v>61</v>
      </c>
      <c r="F39" s="74">
        <f t="shared" si="5"/>
        <v>32</v>
      </c>
      <c r="G39" s="74">
        <f t="shared" si="5"/>
        <v>8</v>
      </c>
      <c r="H39" s="74">
        <f t="shared" si="5"/>
        <v>118</v>
      </c>
    </row>
    <row r="40" spans="1:8" ht="15" customHeight="1" x14ac:dyDescent="0.3">
      <c r="A40" s="105"/>
      <c r="B40" s="73" t="s">
        <v>7</v>
      </c>
      <c r="C40" s="74">
        <f>C28+C31+C34+C37</f>
        <v>99</v>
      </c>
      <c r="D40" s="74">
        <f t="shared" ref="D40:H40" si="6">D28+D31+D34+D37</f>
        <v>329</v>
      </c>
      <c r="E40" s="74">
        <f t="shared" si="6"/>
        <v>1370</v>
      </c>
      <c r="F40" s="74">
        <f t="shared" si="6"/>
        <v>680</v>
      </c>
      <c r="G40" s="74">
        <f t="shared" si="6"/>
        <v>137</v>
      </c>
      <c r="H40" s="74">
        <f t="shared" si="6"/>
        <v>2615</v>
      </c>
    </row>
    <row r="41" spans="1:8" ht="15" customHeight="1" x14ac:dyDescent="0.3">
      <c r="A41" s="105"/>
      <c r="B41" s="73" t="s">
        <v>8</v>
      </c>
      <c r="C41" s="74">
        <f>C29+C32+C35+C38</f>
        <v>219</v>
      </c>
      <c r="D41" s="74">
        <f t="shared" ref="D41:H41" si="7">D29+D32+D35+D38</f>
        <v>712</v>
      </c>
      <c r="E41" s="74">
        <f t="shared" si="7"/>
        <v>2900</v>
      </c>
      <c r="F41" s="74">
        <f t="shared" si="7"/>
        <v>1436</v>
      </c>
      <c r="G41" s="74">
        <f t="shared" si="7"/>
        <v>412</v>
      </c>
      <c r="H41" s="74">
        <f t="shared" si="7"/>
        <v>5679</v>
      </c>
    </row>
    <row r="42" spans="1:8" ht="15" customHeight="1" x14ac:dyDescent="0.3">
      <c r="A42" s="4" t="s">
        <v>91</v>
      </c>
      <c r="B42" s="62"/>
      <c r="C42" s="62"/>
      <c r="D42" s="62"/>
      <c r="E42" s="62"/>
      <c r="F42" s="62"/>
      <c r="G42" s="62"/>
      <c r="H42" s="62"/>
    </row>
    <row r="45" spans="1:8" ht="15" customHeight="1" x14ac:dyDescent="0.3">
      <c r="A45" s="102" t="s">
        <v>56</v>
      </c>
      <c r="B45" s="102"/>
      <c r="C45" s="102"/>
      <c r="D45" s="102"/>
      <c r="E45" s="102"/>
      <c r="F45" s="102"/>
      <c r="G45" s="102"/>
      <c r="H45" s="102"/>
    </row>
    <row r="46" spans="1:8" ht="15" customHeight="1" x14ac:dyDescent="0.3">
      <c r="A46" s="102" t="s">
        <v>102</v>
      </c>
      <c r="B46" s="102"/>
      <c r="C46" s="102"/>
      <c r="D46" s="102"/>
      <c r="E46" s="102"/>
      <c r="F46" s="102"/>
      <c r="G46" s="102"/>
      <c r="H46" s="102"/>
    </row>
    <row r="47" spans="1:8" ht="15" customHeight="1" x14ac:dyDescent="0.3">
      <c r="A47" s="71" t="s">
        <v>86</v>
      </c>
      <c r="B47" s="72"/>
      <c r="C47" s="72" t="s">
        <v>14</v>
      </c>
      <c r="D47" s="72" t="s">
        <v>15</v>
      </c>
      <c r="E47" s="72" t="s">
        <v>16</v>
      </c>
      <c r="F47" s="72" t="s">
        <v>17</v>
      </c>
      <c r="G47" s="72" t="s">
        <v>0</v>
      </c>
      <c r="H47" s="72" t="s">
        <v>1</v>
      </c>
    </row>
    <row r="48" spans="1:8" ht="15" customHeight="1" x14ac:dyDescent="0.3">
      <c r="A48" s="103" t="s">
        <v>2</v>
      </c>
      <c r="B48" s="12" t="s">
        <v>6</v>
      </c>
      <c r="C48" s="22">
        <v>0</v>
      </c>
      <c r="D48" s="22">
        <v>1</v>
      </c>
      <c r="E48" s="22">
        <v>8</v>
      </c>
      <c r="F48" s="22">
        <v>7</v>
      </c>
      <c r="G48" s="22">
        <v>4</v>
      </c>
      <c r="H48" s="23">
        <f>SUM(C48:G48)</f>
        <v>20</v>
      </c>
    </row>
    <row r="49" spans="1:8" ht="15" customHeight="1" x14ac:dyDescent="0.3">
      <c r="A49" s="103"/>
      <c r="B49" s="12" t="s">
        <v>7</v>
      </c>
      <c r="C49" s="22">
        <v>0</v>
      </c>
      <c r="D49" s="22">
        <v>16</v>
      </c>
      <c r="E49" s="22">
        <v>165</v>
      </c>
      <c r="F49" s="22">
        <v>190</v>
      </c>
      <c r="G49" s="22">
        <v>71</v>
      </c>
      <c r="H49" s="23">
        <f t="shared" ref="H49:H59" si="8">SUM(C49:G49)</f>
        <v>442</v>
      </c>
    </row>
    <row r="50" spans="1:8" ht="15" customHeight="1" x14ac:dyDescent="0.3">
      <c r="A50" s="103"/>
      <c r="B50" s="12" t="s">
        <v>8</v>
      </c>
      <c r="C50" s="22">
        <v>0</v>
      </c>
      <c r="D50" s="22">
        <v>33</v>
      </c>
      <c r="E50" s="22">
        <v>387</v>
      </c>
      <c r="F50" s="22">
        <v>506</v>
      </c>
      <c r="G50" s="22">
        <v>246</v>
      </c>
      <c r="H50" s="23">
        <f t="shared" si="8"/>
        <v>1172</v>
      </c>
    </row>
    <row r="51" spans="1:8" ht="15" customHeight="1" x14ac:dyDescent="0.3">
      <c r="A51" s="104" t="s">
        <v>3</v>
      </c>
      <c r="B51" s="13" t="s">
        <v>6</v>
      </c>
      <c r="C51" s="20">
        <v>2</v>
      </c>
      <c r="D51" s="20">
        <v>10</v>
      </c>
      <c r="E51" s="20">
        <v>16</v>
      </c>
      <c r="F51" s="20">
        <v>6</v>
      </c>
      <c r="G51" s="20">
        <v>2</v>
      </c>
      <c r="H51" s="21">
        <f t="shared" si="8"/>
        <v>36</v>
      </c>
    </row>
    <row r="52" spans="1:8" ht="15" customHeight="1" x14ac:dyDescent="0.3">
      <c r="A52" s="104"/>
      <c r="B52" s="13" t="s">
        <v>7</v>
      </c>
      <c r="C52" s="20">
        <v>47</v>
      </c>
      <c r="D52" s="20">
        <v>272</v>
      </c>
      <c r="E52" s="20">
        <v>366</v>
      </c>
      <c r="F52" s="20">
        <v>110</v>
      </c>
      <c r="G52" s="20">
        <v>44</v>
      </c>
      <c r="H52" s="21">
        <f t="shared" si="8"/>
        <v>839</v>
      </c>
    </row>
    <row r="53" spans="1:8" ht="15" customHeight="1" x14ac:dyDescent="0.3">
      <c r="A53" s="104"/>
      <c r="B53" s="13" t="s">
        <v>8</v>
      </c>
      <c r="C53" s="20">
        <v>105</v>
      </c>
      <c r="D53" s="20">
        <v>586</v>
      </c>
      <c r="E53" s="20">
        <v>820</v>
      </c>
      <c r="F53" s="20">
        <v>207</v>
      </c>
      <c r="G53" s="20">
        <v>57</v>
      </c>
      <c r="H53" s="21">
        <f t="shared" si="8"/>
        <v>1775</v>
      </c>
    </row>
    <row r="54" spans="1:8" ht="15" customHeight="1" x14ac:dyDescent="0.3">
      <c r="A54" s="103" t="s">
        <v>4</v>
      </c>
      <c r="B54" s="12" t="s">
        <v>6</v>
      </c>
      <c r="C54" s="22">
        <v>1</v>
      </c>
      <c r="D54" s="22">
        <v>1</v>
      </c>
      <c r="E54" s="22">
        <v>20</v>
      </c>
      <c r="F54" s="22">
        <v>8</v>
      </c>
      <c r="G54" s="22">
        <v>3</v>
      </c>
      <c r="H54" s="23">
        <f t="shared" si="8"/>
        <v>33</v>
      </c>
    </row>
    <row r="55" spans="1:8" ht="15" customHeight="1" x14ac:dyDescent="0.3">
      <c r="A55" s="103"/>
      <c r="B55" s="12" t="s">
        <v>7</v>
      </c>
      <c r="C55" s="22">
        <v>14</v>
      </c>
      <c r="D55" s="22">
        <v>28</v>
      </c>
      <c r="E55" s="22">
        <v>522</v>
      </c>
      <c r="F55" s="22">
        <v>204</v>
      </c>
      <c r="G55" s="22">
        <v>61</v>
      </c>
      <c r="H55" s="23">
        <f t="shared" si="8"/>
        <v>829</v>
      </c>
    </row>
    <row r="56" spans="1:8" ht="15" customHeight="1" x14ac:dyDescent="0.3">
      <c r="A56" s="103"/>
      <c r="B56" s="12" t="s">
        <v>8</v>
      </c>
      <c r="C56" s="22">
        <v>32</v>
      </c>
      <c r="D56" s="22">
        <v>56</v>
      </c>
      <c r="E56" s="22">
        <v>1062</v>
      </c>
      <c r="F56" s="22">
        <v>393</v>
      </c>
      <c r="G56" s="22">
        <v>159</v>
      </c>
      <c r="H56" s="23">
        <f t="shared" si="8"/>
        <v>1702</v>
      </c>
    </row>
    <row r="57" spans="1:8" ht="15" customHeight="1" x14ac:dyDescent="0.3">
      <c r="A57" s="104" t="s">
        <v>5</v>
      </c>
      <c r="B57" s="13" t="s">
        <v>6</v>
      </c>
      <c r="C57" s="20">
        <v>1</v>
      </c>
      <c r="D57" s="20">
        <v>3</v>
      </c>
      <c r="E57" s="20">
        <v>16</v>
      </c>
      <c r="F57" s="20">
        <v>10</v>
      </c>
      <c r="G57" s="20">
        <v>1</v>
      </c>
      <c r="H57" s="21">
        <f t="shared" si="8"/>
        <v>31</v>
      </c>
    </row>
    <row r="58" spans="1:8" ht="15" customHeight="1" x14ac:dyDescent="0.3">
      <c r="A58" s="104"/>
      <c r="B58" s="13" t="s">
        <v>7</v>
      </c>
      <c r="C58" s="20">
        <v>38</v>
      </c>
      <c r="D58" s="20">
        <v>59</v>
      </c>
      <c r="E58" s="20">
        <v>322</v>
      </c>
      <c r="F58" s="20">
        <v>136</v>
      </c>
      <c r="G58" s="20">
        <v>12</v>
      </c>
      <c r="H58" s="21">
        <f t="shared" si="8"/>
        <v>567</v>
      </c>
    </row>
    <row r="59" spans="1:8" ht="15" customHeight="1" x14ac:dyDescent="0.3">
      <c r="A59" s="104"/>
      <c r="B59" s="13" t="s">
        <v>8</v>
      </c>
      <c r="C59" s="20">
        <v>82</v>
      </c>
      <c r="D59" s="20">
        <v>132</v>
      </c>
      <c r="E59" s="20">
        <v>652</v>
      </c>
      <c r="F59" s="20">
        <v>281</v>
      </c>
      <c r="G59" s="20">
        <v>24</v>
      </c>
      <c r="H59" s="21">
        <f t="shared" si="8"/>
        <v>1171</v>
      </c>
    </row>
    <row r="60" spans="1:8" ht="15" customHeight="1" x14ac:dyDescent="0.3">
      <c r="A60" s="105" t="s">
        <v>1</v>
      </c>
      <c r="B60" s="73" t="s">
        <v>6</v>
      </c>
      <c r="C60" s="74">
        <f>C48+C51+C54+C57</f>
        <v>4</v>
      </c>
      <c r="D60" s="74">
        <f t="shared" ref="D60:H60" si="9">D48+D51+D54+D57</f>
        <v>15</v>
      </c>
      <c r="E60" s="74">
        <f t="shared" si="9"/>
        <v>60</v>
      </c>
      <c r="F60" s="74">
        <f t="shared" si="9"/>
        <v>31</v>
      </c>
      <c r="G60" s="74">
        <f t="shared" si="9"/>
        <v>10</v>
      </c>
      <c r="H60" s="74">
        <f t="shared" si="9"/>
        <v>120</v>
      </c>
    </row>
    <row r="61" spans="1:8" ht="15" customHeight="1" x14ac:dyDescent="0.3">
      <c r="A61" s="105"/>
      <c r="B61" s="73" t="s">
        <v>7</v>
      </c>
      <c r="C61" s="74">
        <f>C49+C52+C55+C58</f>
        <v>99</v>
      </c>
      <c r="D61" s="74">
        <f t="shared" ref="D61:H61" si="10">D49+D52+D55+D58</f>
        <v>375</v>
      </c>
      <c r="E61" s="74">
        <f t="shared" si="10"/>
        <v>1375</v>
      </c>
      <c r="F61" s="74">
        <f t="shared" si="10"/>
        <v>640</v>
      </c>
      <c r="G61" s="74">
        <f t="shared" si="10"/>
        <v>188</v>
      </c>
      <c r="H61" s="74">
        <f t="shared" si="10"/>
        <v>2677</v>
      </c>
    </row>
    <row r="62" spans="1:8" ht="15" customHeight="1" x14ac:dyDescent="0.3">
      <c r="A62" s="105"/>
      <c r="B62" s="73" t="s">
        <v>8</v>
      </c>
      <c r="C62" s="74">
        <f>C50+C53+C56+C59</f>
        <v>219</v>
      </c>
      <c r="D62" s="74">
        <f t="shared" ref="D62:H62" si="11">D50+D53+D56+D59</f>
        <v>807</v>
      </c>
      <c r="E62" s="74">
        <f t="shared" si="11"/>
        <v>2921</v>
      </c>
      <c r="F62" s="74">
        <f t="shared" si="11"/>
        <v>1387</v>
      </c>
      <c r="G62" s="74">
        <f t="shared" si="11"/>
        <v>486</v>
      </c>
      <c r="H62" s="74">
        <f t="shared" si="11"/>
        <v>5820</v>
      </c>
    </row>
    <row r="63" spans="1:8" ht="15" customHeight="1" x14ac:dyDescent="0.3">
      <c r="A63" s="4" t="s">
        <v>91</v>
      </c>
      <c r="B63" s="62"/>
      <c r="C63" s="62"/>
      <c r="D63" s="62"/>
      <c r="E63" s="62"/>
      <c r="F63" s="62"/>
      <c r="G63" s="62"/>
      <c r="H63" s="62"/>
    </row>
    <row r="66" spans="1:8" ht="15" customHeight="1" x14ac:dyDescent="0.3">
      <c r="A66" s="102" t="s">
        <v>56</v>
      </c>
      <c r="B66" s="102"/>
      <c r="C66" s="102"/>
      <c r="D66" s="102"/>
      <c r="E66" s="102"/>
      <c r="F66" s="102"/>
      <c r="G66" s="102"/>
      <c r="H66" s="102"/>
    </row>
    <row r="67" spans="1:8" ht="15" customHeight="1" x14ac:dyDescent="0.3">
      <c r="A67" s="102" t="s">
        <v>99</v>
      </c>
      <c r="B67" s="102"/>
      <c r="C67" s="102"/>
      <c r="D67" s="102"/>
      <c r="E67" s="102"/>
      <c r="F67" s="102"/>
      <c r="G67" s="102"/>
      <c r="H67" s="102"/>
    </row>
    <row r="68" spans="1:8" ht="15" customHeight="1" x14ac:dyDescent="0.3">
      <c r="A68" s="71" t="s">
        <v>86</v>
      </c>
      <c r="B68" s="72"/>
      <c r="C68" s="72" t="s">
        <v>14</v>
      </c>
      <c r="D68" s="72" t="s">
        <v>15</v>
      </c>
      <c r="E68" s="72" t="s">
        <v>16</v>
      </c>
      <c r="F68" s="72" t="s">
        <v>17</v>
      </c>
      <c r="G68" s="72" t="s">
        <v>0</v>
      </c>
      <c r="H68" s="72" t="s">
        <v>1</v>
      </c>
    </row>
    <row r="69" spans="1:8" ht="15" customHeight="1" x14ac:dyDescent="0.3">
      <c r="A69" s="103" t="s">
        <v>2</v>
      </c>
      <c r="B69" s="12" t="s">
        <v>6</v>
      </c>
      <c r="C69" s="22">
        <v>0</v>
      </c>
      <c r="D69" s="22">
        <v>0</v>
      </c>
      <c r="E69" s="22">
        <v>9</v>
      </c>
      <c r="F69" s="22">
        <v>9</v>
      </c>
      <c r="G69" s="22">
        <v>4</v>
      </c>
      <c r="H69" s="23">
        <f>SUM(C69:G69)</f>
        <v>22</v>
      </c>
    </row>
    <row r="70" spans="1:8" ht="15" customHeight="1" x14ac:dyDescent="0.3">
      <c r="A70" s="103"/>
      <c r="B70" s="12" t="s">
        <v>7</v>
      </c>
      <c r="C70" s="22">
        <v>0</v>
      </c>
      <c r="D70" s="22">
        <v>0</v>
      </c>
      <c r="E70" s="22">
        <v>181</v>
      </c>
      <c r="F70" s="22">
        <v>237</v>
      </c>
      <c r="G70" s="22">
        <v>71</v>
      </c>
      <c r="H70" s="23">
        <f t="shared" ref="H70:H80" si="12">SUM(C70:G70)</f>
        <v>489</v>
      </c>
    </row>
    <row r="71" spans="1:8" ht="15" customHeight="1" x14ac:dyDescent="0.3">
      <c r="A71" s="103"/>
      <c r="B71" s="12" t="s">
        <v>8</v>
      </c>
      <c r="C71" s="22">
        <v>0</v>
      </c>
      <c r="D71" s="22">
        <v>0</v>
      </c>
      <c r="E71" s="22">
        <v>420</v>
      </c>
      <c r="F71" s="22">
        <v>647</v>
      </c>
      <c r="G71" s="22">
        <v>246</v>
      </c>
      <c r="H71" s="23">
        <f t="shared" si="12"/>
        <v>1313</v>
      </c>
    </row>
    <row r="72" spans="1:8" ht="15" customHeight="1" x14ac:dyDescent="0.3">
      <c r="A72" s="104" t="s">
        <v>3</v>
      </c>
      <c r="B72" s="13" t="s">
        <v>6</v>
      </c>
      <c r="C72" s="20">
        <v>2</v>
      </c>
      <c r="D72" s="20">
        <v>10</v>
      </c>
      <c r="E72" s="20">
        <v>16</v>
      </c>
      <c r="F72" s="20">
        <v>6</v>
      </c>
      <c r="G72" s="20">
        <v>2</v>
      </c>
      <c r="H72" s="21">
        <f t="shared" si="12"/>
        <v>36</v>
      </c>
    </row>
    <row r="73" spans="1:8" ht="15" customHeight="1" x14ac:dyDescent="0.3">
      <c r="A73" s="104"/>
      <c r="B73" s="13" t="s">
        <v>7</v>
      </c>
      <c r="C73" s="20">
        <v>47</v>
      </c>
      <c r="D73" s="20">
        <v>269</v>
      </c>
      <c r="E73" s="20">
        <v>366</v>
      </c>
      <c r="F73" s="20">
        <v>110</v>
      </c>
      <c r="G73" s="20">
        <v>63</v>
      </c>
      <c r="H73" s="21">
        <f t="shared" si="12"/>
        <v>855</v>
      </c>
    </row>
    <row r="74" spans="1:8" ht="15" customHeight="1" x14ac:dyDescent="0.3">
      <c r="A74" s="104"/>
      <c r="B74" s="13" t="s">
        <v>8</v>
      </c>
      <c r="C74" s="20">
        <v>105</v>
      </c>
      <c r="D74" s="20">
        <v>585</v>
      </c>
      <c r="E74" s="20">
        <v>820</v>
      </c>
      <c r="F74" s="20">
        <v>207</v>
      </c>
      <c r="G74" s="20">
        <v>239</v>
      </c>
      <c r="H74" s="21">
        <f t="shared" si="12"/>
        <v>1956</v>
      </c>
    </row>
    <row r="75" spans="1:8" ht="15" customHeight="1" x14ac:dyDescent="0.3">
      <c r="A75" s="103" t="s">
        <v>4</v>
      </c>
      <c r="B75" s="12" t="s">
        <v>6</v>
      </c>
      <c r="C75" s="22">
        <v>1</v>
      </c>
      <c r="D75" s="22">
        <v>1</v>
      </c>
      <c r="E75" s="22">
        <v>20</v>
      </c>
      <c r="F75" s="22">
        <v>8</v>
      </c>
      <c r="G75" s="22">
        <v>2</v>
      </c>
      <c r="H75" s="23">
        <f t="shared" si="12"/>
        <v>32</v>
      </c>
    </row>
    <row r="76" spans="1:8" ht="15" customHeight="1" x14ac:dyDescent="0.3">
      <c r="A76" s="103"/>
      <c r="B76" s="12" t="s">
        <v>7</v>
      </c>
      <c r="C76" s="22">
        <v>14</v>
      </c>
      <c r="D76" s="22">
        <v>28</v>
      </c>
      <c r="E76" s="22">
        <v>522</v>
      </c>
      <c r="F76" s="22">
        <v>204</v>
      </c>
      <c r="G76" s="22">
        <v>50</v>
      </c>
      <c r="H76" s="23">
        <f t="shared" si="12"/>
        <v>818</v>
      </c>
    </row>
    <row r="77" spans="1:8" ht="15" customHeight="1" x14ac:dyDescent="0.3">
      <c r="A77" s="103"/>
      <c r="B77" s="12" t="s">
        <v>8</v>
      </c>
      <c r="C77" s="22">
        <v>32</v>
      </c>
      <c r="D77" s="22">
        <v>56</v>
      </c>
      <c r="E77" s="22">
        <v>1062</v>
      </c>
      <c r="F77" s="22">
        <v>393</v>
      </c>
      <c r="G77" s="22">
        <v>134</v>
      </c>
      <c r="H77" s="23">
        <f t="shared" si="12"/>
        <v>1677</v>
      </c>
    </row>
    <row r="78" spans="1:8" ht="15" customHeight="1" x14ac:dyDescent="0.3">
      <c r="A78" s="104" t="s">
        <v>5</v>
      </c>
      <c r="B78" s="13" t="s">
        <v>6</v>
      </c>
      <c r="C78" s="20">
        <v>1</v>
      </c>
      <c r="D78" s="20">
        <v>3</v>
      </c>
      <c r="E78" s="20">
        <v>17</v>
      </c>
      <c r="F78" s="20">
        <v>10</v>
      </c>
      <c r="G78" s="20">
        <v>1</v>
      </c>
      <c r="H78" s="21">
        <f t="shared" si="12"/>
        <v>32</v>
      </c>
    </row>
    <row r="79" spans="1:8" ht="15" customHeight="1" x14ac:dyDescent="0.3">
      <c r="A79" s="104"/>
      <c r="B79" s="13" t="s">
        <v>7</v>
      </c>
      <c r="C79" s="20">
        <v>38</v>
      </c>
      <c r="D79" s="20">
        <v>59</v>
      </c>
      <c r="E79" s="20">
        <v>334</v>
      </c>
      <c r="F79" s="20">
        <v>136</v>
      </c>
      <c r="G79" s="20">
        <v>12</v>
      </c>
      <c r="H79" s="21">
        <f t="shared" si="12"/>
        <v>579</v>
      </c>
    </row>
    <row r="80" spans="1:8" ht="15" customHeight="1" x14ac:dyDescent="0.3">
      <c r="A80" s="104"/>
      <c r="B80" s="13" t="s">
        <v>8</v>
      </c>
      <c r="C80" s="20">
        <v>82</v>
      </c>
      <c r="D80" s="20">
        <v>132</v>
      </c>
      <c r="E80" s="20">
        <v>675</v>
      </c>
      <c r="F80" s="20">
        <v>281</v>
      </c>
      <c r="G80" s="20">
        <v>24</v>
      </c>
      <c r="H80" s="21">
        <f t="shared" si="12"/>
        <v>1194</v>
      </c>
    </row>
    <row r="81" spans="1:8" ht="15" customHeight="1" x14ac:dyDescent="0.3">
      <c r="A81" s="105" t="s">
        <v>1</v>
      </c>
      <c r="B81" s="73" t="s">
        <v>6</v>
      </c>
      <c r="C81" s="74">
        <f>C69+C72+C75+C78</f>
        <v>4</v>
      </c>
      <c r="D81" s="74">
        <f t="shared" ref="D81:H81" si="13">D69+D72+D75+D78</f>
        <v>14</v>
      </c>
      <c r="E81" s="74">
        <f t="shared" si="13"/>
        <v>62</v>
      </c>
      <c r="F81" s="74">
        <f t="shared" si="13"/>
        <v>33</v>
      </c>
      <c r="G81" s="74">
        <f t="shared" si="13"/>
        <v>9</v>
      </c>
      <c r="H81" s="74">
        <f t="shared" si="13"/>
        <v>122</v>
      </c>
    </row>
    <row r="82" spans="1:8" ht="15" customHeight="1" x14ac:dyDescent="0.3">
      <c r="A82" s="105"/>
      <c r="B82" s="73" t="s">
        <v>7</v>
      </c>
      <c r="C82" s="74">
        <f>C70+C73+C76+C79</f>
        <v>99</v>
      </c>
      <c r="D82" s="74">
        <f t="shared" ref="D82:H82" si="14">D70+D73+D76+D79</f>
        <v>356</v>
      </c>
      <c r="E82" s="74">
        <f t="shared" si="14"/>
        <v>1403</v>
      </c>
      <c r="F82" s="74">
        <f t="shared" si="14"/>
        <v>687</v>
      </c>
      <c r="G82" s="74">
        <f t="shared" si="14"/>
        <v>196</v>
      </c>
      <c r="H82" s="74">
        <f t="shared" si="14"/>
        <v>2741</v>
      </c>
    </row>
    <row r="83" spans="1:8" ht="15" customHeight="1" x14ac:dyDescent="0.3">
      <c r="A83" s="105"/>
      <c r="B83" s="73" t="s">
        <v>8</v>
      </c>
      <c r="C83" s="74">
        <f>C71+C74+C77+C80</f>
        <v>219</v>
      </c>
      <c r="D83" s="74">
        <f t="shared" ref="D83:H83" si="15">D71+D74+D77+D80</f>
        <v>773</v>
      </c>
      <c r="E83" s="74">
        <f t="shared" si="15"/>
        <v>2977</v>
      </c>
      <c r="F83" s="74">
        <f t="shared" si="15"/>
        <v>1528</v>
      </c>
      <c r="G83" s="74">
        <f t="shared" si="15"/>
        <v>643</v>
      </c>
      <c r="H83" s="74">
        <f t="shared" si="15"/>
        <v>6140</v>
      </c>
    </row>
    <row r="84" spans="1:8" ht="15" customHeight="1" x14ac:dyDescent="0.3">
      <c r="A84" s="4" t="s">
        <v>91</v>
      </c>
      <c r="B84" s="62"/>
      <c r="C84" s="62"/>
      <c r="D84" s="62"/>
      <c r="E84" s="62"/>
      <c r="F84" s="62"/>
      <c r="G84" s="62"/>
      <c r="H84" s="62"/>
    </row>
    <row r="87" spans="1:8" ht="15" customHeight="1" x14ac:dyDescent="0.3">
      <c r="A87" s="102" t="s">
        <v>56</v>
      </c>
      <c r="B87" s="102"/>
      <c r="C87" s="102"/>
      <c r="D87" s="102"/>
      <c r="E87" s="102"/>
      <c r="F87" s="102"/>
      <c r="G87" s="102"/>
      <c r="H87" s="102"/>
    </row>
    <row r="88" spans="1:8" ht="15" customHeight="1" x14ac:dyDescent="0.3">
      <c r="A88" s="102" t="s">
        <v>96</v>
      </c>
      <c r="B88" s="102"/>
      <c r="C88" s="102"/>
      <c r="D88" s="102"/>
      <c r="E88" s="102"/>
      <c r="F88" s="102"/>
      <c r="G88" s="102"/>
      <c r="H88" s="102"/>
    </row>
    <row r="89" spans="1:8" ht="15" customHeight="1" x14ac:dyDescent="0.3">
      <c r="A89" s="71" t="s">
        <v>86</v>
      </c>
      <c r="B89" s="72"/>
      <c r="C89" s="72" t="s">
        <v>14</v>
      </c>
      <c r="D89" s="72" t="s">
        <v>15</v>
      </c>
      <c r="E89" s="72" t="s">
        <v>16</v>
      </c>
      <c r="F89" s="72" t="s">
        <v>17</v>
      </c>
      <c r="G89" s="72" t="s">
        <v>0</v>
      </c>
      <c r="H89" s="72" t="s">
        <v>1</v>
      </c>
    </row>
    <row r="90" spans="1:8" ht="15" customHeight="1" x14ac:dyDescent="0.3">
      <c r="A90" s="103" t="s">
        <v>2</v>
      </c>
      <c r="B90" s="12" t="s">
        <v>6</v>
      </c>
      <c r="C90" s="22">
        <v>0</v>
      </c>
      <c r="D90" s="22">
        <v>0</v>
      </c>
      <c r="E90" s="22">
        <v>9</v>
      </c>
      <c r="F90" s="22">
        <v>9</v>
      </c>
      <c r="G90" s="22">
        <v>4</v>
      </c>
      <c r="H90" s="23">
        <f>SUM(C90:G90)</f>
        <v>22</v>
      </c>
    </row>
    <row r="91" spans="1:8" ht="15" customHeight="1" x14ac:dyDescent="0.3">
      <c r="A91" s="103"/>
      <c r="B91" s="12" t="s">
        <v>7</v>
      </c>
      <c r="C91" s="22">
        <v>0</v>
      </c>
      <c r="D91" s="22">
        <v>0</v>
      </c>
      <c r="E91" s="22">
        <v>181</v>
      </c>
      <c r="F91" s="22">
        <v>237</v>
      </c>
      <c r="G91" s="22">
        <v>71</v>
      </c>
      <c r="H91" s="23">
        <f t="shared" ref="H91:H101" si="16">SUM(C91:G91)</f>
        <v>489</v>
      </c>
    </row>
    <row r="92" spans="1:8" ht="15" customHeight="1" x14ac:dyDescent="0.3">
      <c r="A92" s="103"/>
      <c r="B92" s="12" t="s">
        <v>8</v>
      </c>
      <c r="C92" s="22">
        <v>0</v>
      </c>
      <c r="D92" s="22">
        <v>0</v>
      </c>
      <c r="E92" s="22">
        <v>420</v>
      </c>
      <c r="F92" s="22">
        <v>647</v>
      </c>
      <c r="G92" s="22">
        <v>246</v>
      </c>
      <c r="H92" s="23">
        <f t="shared" si="16"/>
        <v>1313</v>
      </c>
    </row>
    <row r="93" spans="1:8" ht="15" customHeight="1" x14ac:dyDescent="0.3">
      <c r="A93" s="104" t="s">
        <v>3</v>
      </c>
      <c r="B93" s="13" t="s">
        <v>6</v>
      </c>
      <c r="C93" s="20">
        <v>2</v>
      </c>
      <c r="D93" s="20">
        <v>11</v>
      </c>
      <c r="E93" s="20">
        <v>15</v>
      </c>
      <c r="F93" s="20">
        <v>6</v>
      </c>
      <c r="G93" s="20">
        <v>3</v>
      </c>
      <c r="H93" s="21">
        <f t="shared" si="16"/>
        <v>37</v>
      </c>
    </row>
    <row r="94" spans="1:8" ht="15" customHeight="1" x14ac:dyDescent="0.3">
      <c r="A94" s="104"/>
      <c r="B94" s="13" t="s">
        <v>7</v>
      </c>
      <c r="C94" s="20">
        <v>47</v>
      </c>
      <c r="D94" s="20">
        <v>274</v>
      </c>
      <c r="E94" s="20">
        <v>339</v>
      </c>
      <c r="F94" s="20">
        <v>110</v>
      </c>
      <c r="G94" s="20">
        <v>75</v>
      </c>
      <c r="H94" s="21">
        <f t="shared" si="16"/>
        <v>845</v>
      </c>
    </row>
    <row r="95" spans="1:8" ht="15" customHeight="1" x14ac:dyDescent="0.3">
      <c r="A95" s="104"/>
      <c r="B95" s="13" t="s">
        <v>8</v>
      </c>
      <c r="C95" s="20">
        <v>105</v>
      </c>
      <c r="D95" s="20">
        <v>595</v>
      </c>
      <c r="E95" s="20">
        <v>773</v>
      </c>
      <c r="F95" s="20">
        <v>207</v>
      </c>
      <c r="G95" s="20">
        <v>288</v>
      </c>
      <c r="H95" s="21">
        <f t="shared" si="16"/>
        <v>1968</v>
      </c>
    </row>
    <row r="96" spans="1:8" ht="15" customHeight="1" x14ac:dyDescent="0.3">
      <c r="A96" s="103" t="s">
        <v>4</v>
      </c>
      <c r="B96" s="12" t="s">
        <v>6</v>
      </c>
      <c r="C96" s="22">
        <v>1</v>
      </c>
      <c r="D96" s="22">
        <v>1</v>
      </c>
      <c r="E96" s="22">
        <v>19</v>
      </c>
      <c r="F96" s="22">
        <v>9</v>
      </c>
      <c r="G96" s="22">
        <v>2</v>
      </c>
      <c r="H96" s="23">
        <f t="shared" si="16"/>
        <v>32</v>
      </c>
    </row>
    <row r="97" spans="1:8" ht="15" customHeight="1" x14ac:dyDescent="0.3">
      <c r="A97" s="103"/>
      <c r="B97" s="12" t="s">
        <v>7</v>
      </c>
      <c r="C97" s="22">
        <v>14</v>
      </c>
      <c r="D97" s="22">
        <v>28</v>
      </c>
      <c r="E97" s="22">
        <v>523</v>
      </c>
      <c r="F97" s="22">
        <v>231</v>
      </c>
      <c r="G97" s="22">
        <v>50</v>
      </c>
      <c r="H97" s="23">
        <f t="shared" si="16"/>
        <v>846</v>
      </c>
    </row>
    <row r="98" spans="1:8" ht="15" customHeight="1" x14ac:dyDescent="0.3">
      <c r="A98" s="103"/>
      <c r="B98" s="12" t="s">
        <v>8</v>
      </c>
      <c r="C98" s="22">
        <v>32</v>
      </c>
      <c r="D98" s="22">
        <v>56</v>
      </c>
      <c r="E98" s="22">
        <v>1064</v>
      </c>
      <c r="F98" s="22">
        <v>441</v>
      </c>
      <c r="G98" s="22">
        <v>134</v>
      </c>
      <c r="H98" s="23">
        <f t="shared" si="16"/>
        <v>1727</v>
      </c>
    </row>
    <row r="99" spans="1:8" ht="15" customHeight="1" x14ac:dyDescent="0.3">
      <c r="A99" s="104" t="s">
        <v>5</v>
      </c>
      <c r="B99" s="13" t="s">
        <v>6</v>
      </c>
      <c r="C99" s="20">
        <v>1</v>
      </c>
      <c r="D99" s="20">
        <v>3</v>
      </c>
      <c r="E99" s="20">
        <v>17</v>
      </c>
      <c r="F99" s="20">
        <v>10</v>
      </c>
      <c r="G99" s="20">
        <v>2</v>
      </c>
      <c r="H99" s="21">
        <f t="shared" si="16"/>
        <v>33</v>
      </c>
    </row>
    <row r="100" spans="1:8" ht="15" customHeight="1" x14ac:dyDescent="0.3">
      <c r="A100" s="104"/>
      <c r="B100" s="13" t="s">
        <v>7</v>
      </c>
      <c r="C100" s="20">
        <v>38</v>
      </c>
      <c r="D100" s="20">
        <v>59</v>
      </c>
      <c r="E100" s="20">
        <v>345</v>
      </c>
      <c r="F100" s="20">
        <v>136</v>
      </c>
      <c r="G100" s="20">
        <v>43</v>
      </c>
      <c r="H100" s="21">
        <f t="shared" si="16"/>
        <v>621</v>
      </c>
    </row>
    <row r="101" spans="1:8" ht="15" customHeight="1" x14ac:dyDescent="0.3">
      <c r="A101" s="104"/>
      <c r="B101" s="13" t="s">
        <v>8</v>
      </c>
      <c r="C101" s="20">
        <v>82</v>
      </c>
      <c r="D101" s="20">
        <v>132</v>
      </c>
      <c r="E101" s="20">
        <v>719</v>
      </c>
      <c r="F101" s="20">
        <v>281</v>
      </c>
      <c r="G101" s="20">
        <v>124</v>
      </c>
      <c r="H101" s="21">
        <f t="shared" si="16"/>
        <v>1338</v>
      </c>
    </row>
    <row r="102" spans="1:8" ht="15" customHeight="1" x14ac:dyDescent="0.3">
      <c r="A102" s="105" t="s">
        <v>1</v>
      </c>
      <c r="B102" s="73" t="s">
        <v>6</v>
      </c>
      <c r="C102" s="74">
        <f>C90+C93+C96+C99</f>
        <v>4</v>
      </c>
      <c r="D102" s="74">
        <f t="shared" ref="D102:H102" si="17">D90+D93+D96+D99</f>
        <v>15</v>
      </c>
      <c r="E102" s="74">
        <f t="shared" si="17"/>
        <v>60</v>
      </c>
      <c r="F102" s="74">
        <f t="shared" si="17"/>
        <v>34</v>
      </c>
      <c r="G102" s="74">
        <f t="shared" si="17"/>
        <v>11</v>
      </c>
      <c r="H102" s="74">
        <f t="shared" si="17"/>
        <v>124</v>
      </c>
    </row>
    <row r="103" spans="1:8" ht="15" customHeight="1" x14ac:dyDescent="0.3">
      <c r="A103" s="105"/>
      <c r="B103" s="73" t="s">
        <v>7</v>
      </c>
      <c r="C103" s="74">
        <f>C91+C94+C97+C100</f>
        <v>99</v>
      </c>
      <c r="D103" s="74">
        <f t="shared" ref="D103:H103" si="18">D91+D94+D97+D100</f>
        <v>361</v>
      </c>
      <c r="E103" s="74">
        <f t="shared" si="18"/>
        <v>1388</v>
      </c>
      <c r="F103" s="74">
        <f t="shared" si="18"/>
        <v>714</v>
      </c>
      <c r="G103" s="74">
        <f t="shared" si="18"/>
        <v>239</v>
      </c>
      <c r="H103" s="74">
        <f t="shared" si="18"/>
        <v>2801</v>
      </c>
    </row>
    <row r="104" spans="1:8" ht="15" customHeight="1" x14ac:dyDescent="0.3">
      <c r="A104" s="105"/>
      <c r="B104" s="73" t="s">
        <v>8</v>
      </c>
      <c r="C104" s="74">
        <f>C92+C95+C98+C101</f>
        <v>219</v>
      </c>
      <c r="D104" s="74">
        <f t="shared" ref="D104:H104" si="19">D92+D95+D98+D101</f>
        <v>783</v>
      </c>
      <c r="E104" s="74">
        <f t="shared" si="19"/>
        <v>2976</v>
      </c>
      <c r="F104" s="74">
        <f t="shared" si="19"/>
        <v>1576</v>
      </c>
      <c r="G104" s="74">
        <f t="shared" si="19"/>
        <v>792</v>
      </c>
      <c r="H104" s="74">
        <f t="shared" si="19"/>
        <v>6346</v>
      </c>
    </row>
    <row r="105" spans="1:8" ht="15" customHeight="1" x14ac:dyDescent="0.3">
      <c r="A105" s="4" t="s">
        <v>91</v>
      </c>
      <c r="B105" s="62"/>
      <c r="C105" s="62"/>
      <c r="D105" s="62"/>
      <c r="E105" s="62"/>
      <c r="F105" s="62"/>
      <c r="G105" s="62"/>
      <c r="H105" s="62"/>
    </row>
    <row r="108" spans="1:8" ht="15" customHeight="1" x14ac:dyDescent="0.3">
      <c r="A108" s="102" t="s">
        <v>56</v>
      </c>
      <c r="B108" s="102"/>
      <c r="C108" s="102"/>
      <c r="D108" s="102"/>
      <c r="E108" s="102"/>
      <c r="F108" s="102"/>
      <c r="G108" s="102"/>
      <c r="H108" s="102"/>
    </row>
    <row r="109" spans="1:8" ht="15" customHeight="1" x14ac:dyDescent="0.3">
      <c r="A109" s="102" t="s">
        <v>79</v>
      </c>
      <c r="B109" s="102"/>
      <c r="C109" s="102"/>
      <c r="D109" s="102"/>
      <c r="E109" s="102"/>
      <c r="F109" s="102"/>
      <c r="G109" s="102"/>
      <c r="H109" s="102"/>
    </row>
    <row r="110" spans="1:8" ht="15" customHeight="1" x14ac:dyDescent="0.3">
      <c r="A110" s="71" t="s">
        <v>86</v>
      </c>
      <c r="B110" s="72"/>
      <c r="C110" s="72" t="s">
        <v>14</v>
      </c>
      <c r="D110" s="72" t="s">
        <v>15</v>
      </c>
      <c r="E110" s="72" t="s">
        <v>16</v>
      </c>
      <c r="F110" s="72" t="s">
        <v>17</v>
      </c>
      <c r="G110" s="72" t="s">
        <v>0</v>
      </c>
      <c r="H110" s="72" t="s">
        <v>1</v>
      </c>
    </row>
    <row r="111" spans="1:8" ht="15" customHeight="1" x14ac:dyDescent="0.3">
      <c r="A111" s="103" t="s">
        <v>2</v>
      </c>
      <c r="B111" s="12" t="s">
        <v>6</v>
      </c>
      <c r="C111" s="22">
        <v>0</v>
      </c>
      <c r="D111" s="22">
        <v>0</v>
      </c>
      <c r="E111" s="22">
        <v>9</v>
      </c>
      <c r="F111" s="22">
        <v>8</v>
      </c>
      <c r="G111" s="22">
        <v>5</v>
      </c>
      <c r="H111" s="23">
        <f>SUM(C111:G111)</f>
        <v>22</v>
      </c>
    </row>
    <row r="112" spans="1:8" ht="15" customHeight="1" x14ac:dyDescent="0.3">
      <c r="A112" s="103"/>
      <c r="B112" s="12" t="s">
        <v>7</v>
      </c>
      <c r="C112" s="22">
        <v>0</v>
      </c>
      <c r="D112" s="22">
        <v>0</v>
      </c>
      <c r="E112" s="22">
        <v>204</v>
      </c>
      <c r="F112" s="22">
        <v>204</v>
      </c>
      <c r="G112" s="22">
        <v>73</v>
      </c>
      <c r="H112" s="23">
        <f t="shared" ref="H112:H122" si="20">SUM(C112:G112)</f>
        <v>481</v>
      </c>
    </row>
    <row r="113" spans="1:8" ht="15" customHeight="1" x14ac:dyDescent="0.3">
      <c r="A113" s="103"/>
      <c r="B113" s="12" t="s">
        <v>8</v>
      </c>
      <c r="C113" s="22">
        <v>0</v>
      </c>
      <c r="D113" s="22">
        <v>0</v>
      </c>
      <c r="E113" s="22">
        <v>527</v>
      </c>
      <c r="F113" s="22">
        <v>551</v>
      </c>
      <c r="G113" s="22">
        <v>272</v>
      </c>
      <c r="H113" s="23">
        <f t="shared" si="20"/>
        <v>1350</v>
      </c>
    </row>
    <row r="114" spans="1:8" ht="15" customHeight="1" x14ac:dyDescent="0.3">
      <c r="A114" s="104" t="s">
        <v>3</v>
      </c>
      <c r="B114" s="13" t="s">
        <v>6</v>
      </c>
      <c r="C114" s="20">
        <v>2</v>
      </c>
      <c r="D114" s="20">
        <v>12</v>
      </c>
      <c r="E114" s="20">
        <v>14</v>
      </c>
      <c r="F114" s="20">
        <v>6</v>
      </c>
      <c r="G114" s="20">
        <v>3</v>
      </c>
      <c r="H114" s="21">
        <f t="shared" si="20"/>
        <v>37</v>
      </c>
    </row>
    <row r="115" spans="1:8" ht="15" customHeight="1" x14ac:dyDescent="0.3">
      <c r="A115" s="104"/>
      <c r="B115" s="13" t="s">
        <v>7</v>
      </c>
      <c r="C115" s="20">
        <v>47</v>
      </c>
      <c r="D115" s="20">
        <v>286</v>
      </c>
      <c r="E115" s="20">
        <v>414</v>
      </c>
      <c r="F115" s="20">
        <v>110</v>
      </c>
      <c r="G115" s="20">
        <v>75</v>
      </c>
      <c r="H115" s="21">
        <f t="shared" si="20"/>
        <v>932</v>
      </c>
    </row>
    <row r="116" spans="1:8" ht="15" customHeight="1" x14ac:dyDescent="0.3">
      <c r="A116" s="104"/>
      <c r="B116" s="13" t="s">
        <v>8</v>
      </c>
      <c r="C116" s="20">
        <v>105</v>
      </c>
      <c r="D116" s="20">
        <v>619</v>
      </c>
      <c r="E116" s="20">
        <v>916</v>
      </c>
      <c r="F116" s="20">
        <v>207</v>
      </c>
      <c r="G116" s="20">
        <v>288</v>
      </c>
      <c r="H116" s="21">
        <f t="shared" si="20"/>
        <v>2135</v>
      </c>
    </row>
    <row r="117" spans="1:8" ht="15" customHeight="1" x14ac:dyDescent="0.3">
      <c r="A117" s="103" t="s">
        <v>4</v>
      </c>
      <c r="B117" s="12" t="s">
        <v>6</v>
      </c>
      <c r="C117" s="22">
        <v>1</v>
      </c>
      <c r="D117" s="22">
        <v>1</v>
      </c>
      <c r="E117" s="22">
        <v>18</v>
      </c>
      <c r="F117" s="22">
        <v>11</v>
      </c>
      <c r="G117" s="22">
        <v>2</v>
      </c>
      <c r="H117" s="23">
        <f t="shared" si="20"/>
        <v>33</v>
      </c>
    </row>
    <row r="118" spans="1:8" ht="15" customHeight="1" x14ac:dyDescent="0.3">
      <c r="A118" s="103"/>
      <c r="B118" s="12" t="s">
        <v>7</v>
      </c>
      <c r="C118" s="22">
        <v>14</v>
      </c>
      <c r="D118" s="22">
        <v>28</v>
      </c>
      <c r="E118" s="22">
        <v>500</v>
      </c>
      <c r="F118" s="22">
        <v>262</v>
      </c>
      <c r="G118" s="22">
        <v>50</v>
      </c>
      <c r="H118" s="23">
        <f t="shared" si="20"/>
        <v>854</v>
      </c>
    </row>
    <row r="119" spans="1:8" ht="15" customHeight="1" x14ac:dyDescent="0.3">
      <c r="A119" s="103"/>
      <c r="B119" s="12" t="s">
        <v>8</v>
      </c>
      <c r="C119" s="22">
        <v>32</v>
      </c>
      <c r="D119" s="22">
        <v>56</v>
      </c>
      <c r="E119" s="22">
        <v>1080</v>
      </c>
      <c r="F119" s="22">
        <v>523</v>
      </c>
      <c r="G119" s="22">
        <v>134</v>
      </c>
      <c r="H119" s="23">
        <f t="shared" si="20"/>
        <v>1825</v>
      </c>
    </row>
    <row r="120" spans="1:8" ht="15" customHeight="1" x14ac:dyDescent="0.3">
      <c r="A120" s="104" t="s">
        <v>5</v>
      </c>
      <c r="B120" s="13" t="s">
        <v>6</v>
      </c>
      <c r="C120" s="20">
        <v>1</v>
      </c>
      <c r="D120" s="20">
        <v>3</v>
      </c>
      <c r="E120" s="20">
        <v>17</v>
      </c>
      <c r="F120" s="20">
        <v>10</v>
      </c>
      <c r="G120" s="20">
        <v>2</v>
      </c>
      <c r="H120" s="21">
        <f t="shared" si="20"/>
        <v>33</v>
      </c>
    </row>
    <row r="121" spans="1:8" ht="15" customHeight="1" x14ac:dyDescent="0.3">
      <c r="A121" s="104"/>
      <c r="B121" s="13" t="s">
        <v>7</v>
      </c>
      <c r="C121" s="20">
        <v>38</v>
      </c>
      <c r="D121" s="20">
        <v>59</v>
      </c>
      <c r="E121" s="20">
        <v>343</v>
      </c>
      <c r="F121" s="20">
        <v>136</v>
      </c>
      <c r="G121" s="20">
        <v>43</v>
      </c>
      <c r="H121" s="21">
        <f t="shared" si="20"/>
        <v>619</v>
      </c>
    </row>
    <row r="122" spans="1:8" ht="15" customHeight="1" x14ac:dyDescent="0.3">
      <c r="A122" s="104"/>
      <c r="B122" s="13" t="s">
        <v>8</v>
      </c>
      <c r="C122" s="20">
        <v>82</v>
      </c>
      <c r="D122" s="20">
        <v>132</v>
      </c>
      <c r="E122" s="20">
        <v>715</v>
      </c>
      <c r="F122" s="20">
        <v>281</v>
      </c>
      <c r="G122" s="20">
        <v>124</v>
      </c>
      <c r="H122" s="21">
        <f t="shared" si="20"/>
        <v>1334</v>
      </c>
    </row>
    <row r="123" spans="1:8" ht="15" customHeight="1" x14ac:dyDescent="0.3">
      <c r="A123" s="105" t="s">
        <v>1</v>
      </c>
      <c r="B123" s="73" t="s">
        <v>6</v>
      </c>
      <c r="C123" s="74">
        <f>C111+C114+C117+C120</f>
        <v>4</v>
      </c>
      <c r="D123" s="74">
        <f t="shared" ref="D123:H123" si="21">D111+D114+D117+D120</f>
        <v>16</v>
      </c>
      <c r="E123" s="74">
        <f t="shared" si="21"/>
        <v>58</v>
      </c>
      <c r="F123" s="74">
        <f t="shared" si="21"/>
        <v>35</v>
      </c>
      <c r="G123" s="74">
        <f t="shared" si="21"/>
        <v>12</v>
      </c>
      <c r="H123" s="74">
        <f t="shared" si="21"/>
        <v>125</v>
      </c>
    </row>
    <row r="124" spans="1:8" ht="15" customHeight="1" x14ac:dyDescent="0.3">
      <c r="A124" s="105"/>
      <c r="B124" s="73" t="s">
        <v>7</v>
      </c>
      <c r="C124" s="74">
        <f>C112+C115+C118+C121</f>
        <v>99</v>
      </c>
      <c r="D124" s="74">
        <f t="shared" ref="D124:H124" si="22">D112+D115+D118+D121</f>
        <v>373</v>
      </c>
      <c r="E124" s="74">
        <f t="shared" si="22"/>
        <v>1461</v>
      </c>
      <c r="F124" s="74">
        <f t="shared" si="22"/>
        <v>712</v>
      </c>
      <c r="G124" s="74">
        <f t="shared" si="22"/>
        <v>241</v>
      </c>
      <c r="H124" s="74">
        <f t="shared" si="22"/>
        <v>2886</v>
      </c>
    </row>
    <row r="125" spans="1:8" ht="15" customHeight="1" x14ac:dyDescent="0.3">
      <c r="A125" s="105"/>
      <c r="B125" s="73" t="s">
        <v>8</v>
      </c>
      <c r="C125" s="74">
        <f>C113+C116+C119+C122</f>
        <v>219</v>
      </c>
      <c r="D125" s="74">
        <f t="shared" ref="D125:H125" si="23">D113+D116+D119+D122</f>
        <v>807</v>
      </c>
      <c r="E125" s="74">
        <f t="shared" si="23"/>
        <v>3238</v>
      </c>
      <c r="F125" s="74">
        <f t="shared" si="23"/>
        <v>1562</v>
      </c>
      <c r="G125" s="74">
        <f t="shared" si="23"/>
        <v>818</v>
      </c>
      <c r="H125" s="74">
        <f t="shared" si="23"/>
        <v>6644</v>
      </c>
    </row>
    <row r="126" spans="1:8" ht="15" customHeight="1" x14ac:dyDescent="0.3">
      <c r="A126" s="4" t="s">
        <v>91</v>
      </c>
      <c r="B126" s="62"/>
      <c r="C126" s="62"/>
      <c r="D126" s="62"/>
      <c r="E126" s="62"/>
      <c r="F126" s="62"/>
      <c r="G126" s="62"/>
      <c r="H126" s="62"/>
    </row>
    <row r="129" spans="1:8" ht="15" customHeight="1" x14ac:dyDescent="0.3">
      <c r="A129" s="102" t="s">
        <v>56</v>
      </c>
      <c r="B129" s="102"/>
      <c r="C129" s="102"/>
      <c r="D129" s="102"/>
      <c r="E129" s="102"/>
      <c r="F129" s="102"/>
      <c r="G129" s="102"/>
      <c r="H129" s="102"/>
    </row>
    <row r="130" spans="1:8" ht="15" customHeight="1" x14ac:dyDescent="0.3">
      <c r="A130" s="102" t="s">
        <v>75</v>
      </c>
      <c r="B130" s="102"/>
      <c r="C130" s="102"/>
      <c r="D130" s="102"/>
      <c r="E130" s="102"/>
      <c r="F130" s="102"/>
      <c r="G130" s="102"/>
      <c r="H130" s="102"/>
    </row>
    <row r="131" spans="1:8" ht="15" customHeight="1" x14ac:dyDescent="0.3">
      <c r="A131" s="71" t="s">
        <v>86</v>
      </c>
      <c r="B131" s="72"/>
      <c r="C131" s="72" t="s">
        <v>14</v>
      </c>
      <c r="D131" s="72" t="s">
        <v>15</v>
      </c>
      <c r="E131" s="72" t="s">
        <v>16</v>
      </c>
      <c r="F131" s="72" t="s">
        <v>17</v>
      </c>
      <c r="G131" s="72" t="s">
        <v>0</v>
      </c>
      <c r="H131" s="72" t="s">
        <v>1</v>
      </c>
    </row>
    <row r="132" spans="1:8" ht="15" customHeight="1" x14ac:dyDescent="0.3">
      <c r="A132" s="103" t="s">
        <v>2</v>
      </c>
      <c r="B132" s="12" t="s">
        <v>6</v>
      </c>
      <c r="C132" s="22">
        <v>0</v>
      </c>
      <c r="D132" s="22">
        <v>0</v>
      </c>
      <c r="E132" s="22">
        <v>9</v>
      </c>
      <c r="F132" s="22">
        <v>10</v>
      </c>
      <c r="G132" s="22">
        <v>4</v>
      </c>
      <c r="H132" s="23">
        <f>SUM(C132:G132)</f>
        <v>23</v>
      </c>
    </row>
    <row r="133" spans="1:8" ht="15" customHeight="1" x14ac:dyDescent="0.3">
      <c r="A133" s="103"/>
      <c r="B133" s="12" t="s">
        <v>7</v>
      </c>
      <c r="C133" s="22">
        <v>0</v>
      </c>
      <c r="D133" s="22">
        <v>0</v>
      </c>
      <c r="E133" s="22">
        <v>200</v>
      </c>
      <c r="F133" s="22">
        <v>224</v>
      </c>
      <c r="G133" s="22">
        <v>65</v>
      </c>
      <c r="H133" s="23">
        <f t="shared" ref="H133:H143" si="24">SUM(C133:G133)</f>
        <v>489</v>
      </c>
    </row>
    <row r="134" spans="1:8" ht="15" customHeight="1" x14ac:dyDescent="0.3">
      <c r="A134" s="103"/>
      <c r="B134" s="12" t="s">
        <v>8</v>
      </c>
      <c r="C134" s="22">
        <v>0</v>
      </c>
      <c r="D134" s="22">
        <v>0</v>
      </c>
      <c r="E134" s="22">
        <v>519</v>
      </c>
      <c r="F134" s="22">
        <v>585</v>
      </c>
      <c r="G134" s="22">
        <v>237</v>
      </c>
      <c r="H134" s="23">
        <f t="shared" si="24"/>
        <v>1341</v>
      </c>
    </row>
    <row r="135" spans="1:8" ht="15" customHeight="1" x14ac:dyDescent="0.3">
      <c r="A135" s="104" t="s">
        <v>3</v>
      </c>
      <c r="B135" s="13" t="s">
        <v>6</v>
      </c>
      <c r="C135" s="20">
        <v>2</v>
      </c>
      <c r="D135" s="20">
        <v>12</v>
      </c>
      <c r="E135" s="20">
        <v>14</v>
      </c>
      <c r="F135" s="20">
        <v>6</v>
      </c>
      <c r="G135" s="20">
        <v>3</v>
      </c>
      <c r="H135" s="21">
        <f t="shared" si="24"/>
        <v>37</v>
      </c>
    </row>
    <row r="136" spans="1:8" ht="15" customHeight="1" x14ac:dyDescent="0.3">
      <c r="A136" s="104"/>
      <c r="B136" s="13" t="s">
        <v>7</v>
      </c>
      <c r="C136" s="20">
        <v>47</v>
      </c>
      <c r="D136" s="20">
        <v>286</v>
      </c>
      <c r="E136" s="20">
        <v>397</v>
      </c>
      <c r="F136" s="20">
        <v>110</v>
      </c>
      <c r="G136" s="20">
        <v>75</v>
      </c>
      <c r="H136" s="21">
        <f t="shared" si="24"/>
        <v>915</v>
      </c>
    </row>
    <row r="137" spans="1:8" ht="15" customHeight="1" x14ac:dyDescent="0.3">
      <c r="A137" s="104"/>
      <c r="B137" s="13" t="s">
        <v>8</v>
      </c>
      <c r="C137" s="20">
        <v>105</v>
      </c>
      <c r="D137" s="20">
        <v>619</v>
      </c>
      <c r="E137" s="20">
        <v>916</v>
      </c>
      <c r="F137" s="20">
        <v>207</v>
      </c>
      <c r="G137" s="20">
        <v>288</v>
      </c>
      <c r="H137" s="21">
        <f t="shared" si="24"/>
        <v>2135</v>
      </c>
    </row>
    <row r="138" spans="1:8" ht="15" customHeight="1" x14ac:dyDescent="0.3">
      <c r="A138" s="103" t="s">
        <v>4</v>
      </c>
      <c r="B138" s="12" t="s">
        <v>6</v>
      </c>
      <c r="C138" s="22">
        <v>1</v>
      </c>
      <c r="D138" s="22">
        <v>1</v>
      </c>
      <c r="E138" s="22">
        <v>18</v>
      </c>
      <c r="F138" s="22">
        <v>11</v>
      </c>
      <c r="G138" s="22">
        <v>2</v>
      </c>
      <c r="H138" s="23">
        <f t="shared" si="24"/>
        <v>33</v>
      </c>
    </row>
    <row r="139" spans="1:8" ht="15" customHeight="1" x14ac:dyDescent="0.3">
      <c r="A139" s="103"/>
      <c r="B139" s="12" t="s">
        <v>7</v>
      </c>
      <c r="C139" s="22">
        <v>14</v>
      </c>
      <c r="D139" s="22">
        <v>28</v>
      </c>
      <c r="E139" s="22">
        <v>499</v>
      </c>
      <c r="F139" s="22">
        <v>262</v>
      </c>
      <c r="G139" s="22">
        <v>50</v>
      </c>
      <c r="H139" s="23">
        <f t="shared" si="24"/>
        <v>853</v>
      </c>
    </row>
    <row r="140" spans="1:8" ht="15" customHeight="1" x14ac:dyDescent="0.3">
      <c r="A140" s="103"/>
      <c r="B140" s="12" t="s">
        <v>8</v>
      </c>
      <c r="C140" s="22">
        <v>32</v>
      </c>
      <c r="D140" s="22">
        <v>56</v>
      </c>
      <c r="E140" s="22">
        <v>1007</v>
      </c>
      <c r="F140" s="22">
        <v>509</v>
      </c>
      <c r="G140" s="22">
        <v>134</v>
      </c>
      <c r="H140" s="23">
        <f t="shared" si="24"/>
        <v>1738</v>
      </c>
    </row>
    <row r="141" spans="1:8" ht="15" customHeight="1" x14ac:dyDescent="0.3">
      <c r="A141" s="104" t="s">
        <v>5</v>
      </c>
      <c r="B141" s="13" t="s">
        <v>6</v>
      </c>
      <c r="C141" s="20">
        <v>0</v>
      </c>
      <c r="D141" s="20">
        <v>3</v>
      </c>
      <c r="E141" s="20">
        <v>17</v>
      </c>
      <c r="F141" s="20">
        <v>10</v>
      </c>
      <c r="G141" s="20">
        <v>2</v>
      </c>
      <c r="H141" s="21">
        <f t="shared" si="24"/>
        <v>32</v>
      </c>
    </row>
    <row r="142" spans="1:8" ht="15" customHeight="1" x14ac:dyDescent="0.3">
      <c r="A142" s="104"/>
      <c r="B142" s="13" t="s">
        <v>7</v>
      </c>
      <c r="C142" s="20">
        <v>0</v>
      </c>
      <c r="D142" s="20">
        <v>59</v>
      </c>
      <c r="E142" s="20">
        <v>343</v>
      </c>
      <c r="F142" s="20">
        <v>136</v>
      </c>
      <c r="G142" s="20">
        <v>43</v>
      </c>
      <c r="H142" s="21">
        <f t="shared" si="24"/>
        <v>581</v>
      </c>
    </row>
    <row r="143" spans="1:8" ht="15" customHeight="1" x14ac:dyDescent="0.3">
      <c r="A143" s="104"/>
      <c r="B143" s="13" t="s">
        <v>8</v>
      </c>
      <c r="C143" s="20">
        <v>0</v>
      </c>
      <c r="D143" s="20">
        <v>132</v>
      </c>
      <c r="E143" s="20">
        <v>715</v>
      </c>
      <c r="F143" s="20">
        <v>281</v>
      </c>
      <c r="G143" s="20">
        <v>124</v>
      </c>
      <c r="H143" s="21">
        <f t="shared" si="24"/>
        <v>1252</v>
      </c>
    </row>
    <row r="144" spans="1:8" ht="15" customHeight="1" x14ac:dyDescent="0.3">
      <c r="A144" s="105" t="s">
        <v>1</v>
      </c>
      <c r="B144" s="73" t="s">
        <v>6</v>
      </c>
      <c r="C144" s="74">
        <f>C132+C135+C138+C141</f>
        <v>3</v>
      </c>
      <c r="D144" s="74">
        <f t="shared" ref="D144:H144" si="25">D132+D135+D138+D141</f>
        <v>16</v>
      </c>
      <c r="E144" s="74">
        <f t="shared" si="25"/>
        <v>58</v>
      </c>
      <c r="F144" s="74">
        <f t="shared" si="25"/>
        <v>37</v>
      </c>
      <c r="G144" s="74">
        <f t="shared" si="25"/>
        <v>11</v>
      </c>
      <c r="H144" s="74">
        <f t="shared" si="25"/>
        <v>125</v>
      </c>
    </row>
    <row r="145" spans="1:8" ht="15" customHeight="1" x14ac:dyDescent="0.3">
      <c r="A145" s="105"/>
      <c r="B145" s="73" t="s">
        <v>7</v>
      </c>
      <c r="C145" s="74">
        <f>C133+C136+C139+C142</f>
        <v>61</v>
      </c>
      <c r="D145" s="74">
        <f t="shared" ref="D145:H145" si="26">D133+D136+D139+D142</f>
        <v>373</v>
      </c>
      <c r="E145" s="74">
        <f t="shared" si="26"/>
        <v>1439</v>
      </c>
      <c r="F145" s="74">
        <f t="shared" si="26"/>
        <v>732</v>
      </c>
      <c r="G145" s="74">
        <f t="shared" si="26"/>
        <v>233</v>
      </c>
      <c r="H145" s="74">
        <f t="shared" si="26"/>
        <v>2838</v>
      </c>
    </row>
    <row r="146" spans="1:8" ht="15" customHeight="1" x14ac:dyDescent="0.3">
      <c r="A146" s="105"/>
      <c r="B146" s="73" t="s">
        <v>8</v>
      </c>
      <c r="C146" s="74">
        <f>C134+C137+C140+C143</f>
        <v>137</v>
      </c>
      <c r="D146" s="74">
        <f t="shared" ref="D146:H146" si="27">D134+D137+D140+D143</f>
        <v>807</v>
      </c>
      <c r="E146" s="74">
        <f t="shared" si="27"/>
        <v>3157</v>
      </c>
      <c r="F146" s="74">
        <f t="shared" si="27"/>
        <v>1582</v>
      </c>
      <c r="G146" s="74">
        <f t="shared" si="27"/>
        <v>783</v>
      </c>
      <c r="H146" s="74">
        <f t="shared" si="27"/>
        <v>6466</v>
      </c>
    </row>
    <row r="147" spans="1:8" ht="15" customHeight="1" x14ac:dyDescent="0.3">
      <c r="A147" s="4" t="s">
        <v>91</v>
      </c>
      <c r="B147" s="62"/>
      <c r="C147" s="62"/>
      <c r="D147" s="62"/>
      <c r="E147" s="62"/>
      <c r="F147" s="62"/>
      <c r="G147" s="62"/>
      <c r="H147" s="62"/>
    </row>
    <row r="150" spans="1:8" ht="15" customHeight="1" x14ac:dyDescent="0.3">
      <c r="A150" s="102" t="s">
        <v>56</v>
      </c>
      <c r="B150" s="102"/>
      <c r="C150" s="102"/>
      <c r="D150" s="102"/>
      <c r="E150" s="102"/>
      <c r="F150" s="102"/>
      <c r="G150" s="102"/>
      <c r="H150" s="102"/>
    </row>
    <row r="151" spans="1:8" ht="15" customHeight="1" x14ac:dyDescent="0.3">
      <c r="A151" s="102" t="s">
        <v>72</v>
      </c>
      <c r="B151" s="102"/>
      <c r="C151" s="102"/>
      <c r="D151" s="102"/>
      <c r="E151" s="102"/>
      <c r="F151" s="102"/>
      <c r="G151" s="102"/>
      <c r="H151" s="102"/>
    </row>
    <row r="152" spans="1:8" ht="15" customHeight="1" x14ac:dyDescent="0.3">
      <c r="A152" s="71" t="s">
        <v>86</v>
      </c>
      <c r="B152" s="72"/>
      <c r="C152" s="72" t="s">
        <v>14</v>
      </c>
      <c r="D152" s="72" t="s">
        <v>15</v>
      </c>
      <c r="E152" s="72" t="s">
        <v>16</v>
      </c>
      <c r="F152" s="72" t="s">
        <v>17</v>
      </c>
      <c r="G152" s="72" t="s">
        <v>0</v>
      </c>
      <c r="H152" s="72" t="s">
        <v>1</v>
      </c>
    </row>
    <row r="153" spans="1:8" ht="15" customHeight="1" x14ac:dyDescent="0.3">
      <c r="A153" s="103" t="s">
        <v>2</v>
      </c>
      <c r="B153" s="12" t="s">
        <v>6</v>
      </c>
      <c r="C153" s="22">
        <v>0</v>
      </c>
      <c r="D153" s="22">
        <v>0</v>
      </c>
      <c r="E153" s="22">
        <v>12</v>
      </c>
      <c r="F153" s="22">
        <v>9</v>
      </c>
      <c r="G153" s="22">
        <v>2</v>
      </c>
      <c r="H153" s="23">
        <f>SUM(C153:G153)</f>
        <v>23</v>
      </c>
    </row>
    <row r="154" spans="1:8" ht="15" customHeight="1" x14ac:dyDescent="0.3">
      <c r="A154" s="103"/>
      <c r="B154" s="12" t="s">
        <v>7</v>
      </c>
      <c r="C154" s="22">
        <v>0</v>
      </c>
      <c r="D154" s="22">
        <v>0</v>
      </c>
      <c r="E154" s="22">
        <v>332</v>
      </c>
      <c r="F154" s="22">
        <v>152</v>
      </c>
      <c r="G154" s="22">
        <v>30</v>
      </c>
      <c r="H154" s="23">
        <f t="shared" ref="H154:H164" si="28">SUM(C154:G154)</f>
        <v>514</v>
      </c>
    </row>
    <row r="155" spans="1:8" ht="15" customHeight="1" x14ac:dyDescent="0.3">
      <c r="A155" s="103"/>
      <c r="B155" s="12" t="s">
        <v>8</v>
      </c>
      <c r="C155" s="22">
        <v>0</v>
      </c>
      <c r="D155" s="22">
        <v>0</v>
      </c>
      <c r="E155" s="22">
        <v>729</v>
      </c>
      <c r="F155" s="22">
        <v>377</v>
      </c>
      <c r="G155" s="22">
        <v>103</v>
      </c>
      <c r="H155" s="23">
        <f t="shared" si="28"/>
        <v>1209</v>
      </c>
    </row>
    <row r="156" spans="1:8" ht="15" customHeight="1" x14ac:dyDescent="0.3">
      <c r="A156" s="104" t="s">
        <v>3</v>
      </c>
      <c r="B156" s="13" t="s">
        <v>6</v>
      </c>
      <c r="C156" s="20">
        <v>2</v>
      </c>
      <c r="D156" s="20">
        <v>12</v>
      </c>
      <c r="E156" s="20">
        <v>13</v>
      </c>
      <c r="F156" s="20">
        <v>5</v>
      </c>
      <c r="G156" s="20">
        <v>3</v>
      </c>
      <c r="H156" s="21">
        <f t="shared" si="28"/>
        <v>35</v>
      </c>
    </row>
    <row r="157" spans="1:8" ht="15" customHeight="1" x14ac:dyDescent="0.3">
      <c r="A157" s="104"/>
      <c r="B157" s="13" t="s">
        <v>7</v>
      </c>
      <c r="C157" s="20">
        <v>47</v>
      </c>
      <c r="D157" s="20">
        <v>287</v>
      </c>
      <c r="E157" s="20">
        <v>411</v>
      </c>
      <c r="F157" s="20">
        <v>91</v>
      </c>
      <c r="G157" s="20">
        <v>38</v>
      </c>
      <c r="H157" s="21">
        <f t="shared" si="28"/>
        <v>874</v>
      </c>
    </row>
    <row r="158" spans="1:8" ht="15" customHeight="1" x14ac:dyDescent="0.3">
      <c r="A158" s="104"/>
      <c r="B158" s="13" t="s">
        <v>8</v>
      </c>
      <c r="C158" s="20">
        <v>105</v>
      </c>
      <c r="D158" s="20">
        <v>619</v>
      </c>
      <c r="E158" s="20">
        <v>858</v>
      </c>
      <c r="F158" s="20">
        <v>169</v>
      </c>
      <c r="G158" s="20">
        <v>107</v>
      </c>
      <c r="H158" s="21">
        <f t="shared" si="28"/>
        <v>1858</v>
      </c>
    </row>
    <row r="159" spans="1:8" ht="15" customHeight="1" x14ac:dyDescent="0.3">
      <c r="A159" s="103" t="s">
        <v>4</v>
      </c>
      <c r="B159" s="12" t="s">
        <v>6</v>
      </c>
      <c r="C159" s="22">
        <v>1</v>
      </c>
      <c r="D159" s="22">
        <v>1</v>
      </c>
      <c r="E159" s="22">
        <v>18</v>
      </c>
      <c r="F159" s="22">
        <v>11</v>
      </c>
      <c r="G159" s="22">
        <v>2</v>
      </c>
      <c r="H159" s="23">
        <f t="shared" si="28"/>
        <v>33</v>
      </c>
    </row>
    <row r="160" spans="1:8" ht="15" customHeight="1" x14ac:dyDescent="0.3">
      <c r="A160" s="103"/>
      <c r="B160" s="12" t="s">
        <v>7</v>
      </c>
      <c r="C160" s="22">
        <v>14</v>
      </c>
      <c r="D160" s="22">
        <v>28</v>
      </c>
      <c r="E160" s="22">
        <v>502</v>
      </c>
      <c r="F160" s="22">
        <v>262</v>
      </c>
      <c r="G160" s="22">
        <v>50</v>
      </c>
      <c r="H160" s="23">
        <f t="shared" si="28"/>
        <v>856</v>
      </c>
    </row>
    <row r="161" spans="1:8" ht="15" customHeight="1" x14ac:dyDescent="0.3">
      <c r="A161" s="103"/>
      <c r="B161" s="12" t="s">
        <v>8</v>
      </c>
      <c r="C161" s="22">
        <v>32</v>
      </c>
      <c r="D161" s="22">
        <v>56</v>
      </c>
      <c r="E161" s="22">
        <v>1001</v>
      </c>
      <c r="F161" s="22">
        <v>509</v>
      </c>
      <c r="G161" s="22">
        <v>125</v>
      </c>
      <c r="H161" s="23">
        <f t="shared" si="28"/>
        <v>1723</v>
      </c>
    </row>
    <row r="162" spans="1:8" ht="15" customHeight="1" x14ac:dyDescent="0.3">
      <c r="A162" s="104" t="s">
        <v>5</v>
      </c>
      <c r="B162" s="13" t="s">
        <v>6</v>
      </c>
      <c r="C162" s="20">
        <v>0</v>
      </c>
      <c r="D162" s="20">
        <v>2</v>
      </c>
      <c r="E162" s="20">
        <v>18</v>
      </c>
      <c r="F162" s="20">
        <v>10</v>
      </c>
      <c r="G162" s="20">
        <v>1</v>
      </c>
      <c r="H162" s="21">
        <f t="shared" si="28"/>
        <v>31</v>
      </c>
    </row>
    <row r="163" spans="1:8" ht="15" customHeight="1" x14ac:dyDescent="0.3">
      <c r="A163" s="104"/>
      <c r="B163" s="13" t="s">
        <v>7</v>
      </c>
      <c r="C163" s="20">
        <v>0</v>
      </c>
      <c r="D163" s="20">
        <v>28</v>
      </c>
      <c r="E163" s="20">
        <v>374</v>
      </c>
      <c r="F163" s="20">
        <v>136</v>
      </c>
      <c r="G163" s="20">
        <v>12</v>
      </c>
      <c r="H163" s="21">
        <f t="shared" si="28"/>
        <v>550</v>
      </c>
    </row>
    <row r="164" spans="1:8" ht="15" customHeight="1" x14ac:dyDescent="0.3">
      <c r="A164" s="104"/>
      <c r="B164" s="13" t="s">
        <v>8</v>
      </c>
      <c r="C164" s="20">
        <v>0</v>
      </c>
      <c r="D164" s="20">
        <v>60</v>
      </c>
      <c r="E164" s="20">
        <v>772</v>
      </c>
      <c r="F164" s="20">
        <v>281</v>
      </c>
      <c r="G164" s="20">
        <v>24</v>
      </c>
      <c r="H164" s="21">
        <f t="shared" si="28"/>
        <v>1137</v>
      </c>
    </row>
    <row r="165" spans="1:8" ht="15" customHeight="1" x14ac:dyDescent="0.3">
      <c r="A165" s="105" t="s">
        <v>1</v>
      </c>
      <c r="B165" s="73" t="s">
        <v>6</v>
      </c>
      <c r="C165" s="74">
        <f>C153+C156+C159+C162</f>
        <v>3</v>
      </c>
      <c r="D165" s="74">
        <f t="shared" ref="D165:H167" si="29">D153+D156+D159+D162</f>
        <v>15</v>
      </c>
      <c r="E165" s="74">
        <f t="shared" si="29"/>
        <v>61</v>
      </c>
      <c r="F165" s="74">
        <f t="shared" si="29"/>
        <v>35</v>
      </c>
      <c r="G165" s="74">
        <f t="shared" si="29"/>
        <v>8</v>
      </c>
      <c r="H165" s="74">
        <f t="shared" si="29"/>
        <v>122</v>
      </c>
    </row>
    <row r="166" spans="1:8" ht="15" customHeight="1" x14ac:dyDescent="0.3">
      <c r="A166" s="105"/>
      <c r="B166" s="73" t="s">
        <v>7</v>
      </c>
      <c r="C166" s="74">
        <f>C154+C157+C160+C163</f>
        <v>61</v>
      </c>
      <c r="D166" s="74">
        <f t="shared" si="29"/>
        <v>343</v>
      </c>
      <c r="E166" s="74">
        <f t="shared" si="29"/>
        <v>1619</v>
      </c>
      <c r="F166" s="74">
        <f t="shared" si="29"/>
        <v>641</v>
      </c>
      <c r="G166" s="74">
        <f t="shared" si="29"/>
        <v>130</v>
      </c>
      <c r="H166" s="74">
        <f t="shared" si="29"/>
        <v>2794</v>
      </c>
    </row>
    <row r="167" spans="1:8" ht="15" customHeight="1" x14ac:dyDescent="0.3">
      <c r="A167" s="105"/>
      <c r="B167" s="73" t="s">
        <v>8</v>
      </c>
      <c r="C167" s="74">
        <f>C155+C158+C161+C164</f>
        <v>137</v>
      </c>
      <c r="D167" s="74">
        <f t="shared" si="29"/>
        <v>735</v>
      </c>
      <c r="E167" s="74">
        <f t="shared" si="29"/>
        <v>3360</v>
      </c>
      <c r="F167" s="74">
        <f t="shared" si="29"/>
        <v>1336</v>
      </c>
      <c r="G167" s="74">
        <f t="shared" si="29"/>
        <v>359</v>
      </c>
      <c r="H167" s="74">
        <f t="shared" si="29"/>
        <v>5927</v>
      </c>
    </row>
    <row r="168" spans="1:8" ht="15" customHeight="1" x14ac:dyDescent="0.3">
      <c r="A168" s="4" t="s">
        <v>91</v>
      </c>
      <c r="B168" s="62"/>
      <c r="C168" s="62"/>
      <c r="D168" s="62"/>
      <c r="E168" s="62"/>
      <c r="F168" s="62"/>
      <c r="G168" s="62"/>
      <c r="H168" s="62"/>
    </row>
    <row r="171" spans="1:8" ht="15" customHeight="1" x14ac:dyDescent="0.3">
      <c r="A171" s="102" t="s">
        <v>56</v>
      </c>
      <c r="B171" s="102"/>
      <c r="C171" s="102"/>
      <c r="D171" s="102"/>
      <c r="E171" s="102"/>
      <c r="F171" s="102"/>
      <c r="G171" s="102"/>
      <c r="H171" s="102"/>
    </row>
    <row r="172" spans="1:8" ht="15" customHeight="1" x14ac:dyDescent="0.3">
      <c r="A172" s="102" t="s">
        <v>57</v>
      </c>
      <c r="B172" s="102"/>
      <c r="C172" s="102"/>
      <c r="D172" s="102"/>
      <c r="E172" s="102"/>
      <c r="F172" s="102"/>
      <c r="G172" s="102"/>
      <c r="H172" s="102"/>
    </row>
    <row r="173" spans="1:8" ht="15" customHeight="1" x14ac:dyDescent="0.3">
      <c r="A173" s="71" t="s">
        <v>86</v>
      </c>
      <c r="B173" s="72"/>
      <c r="C173" s="72" t="s">
        <v>14</v>
      </c>
      <c r="D173" s="72" t="s">
        <v>15</v>
      </c>
      <c r="E173" s="72" t="s">
        <v>16</v>
      </c>
      <c r="F173" s="72" t="s">
        <v>17</v>
      </c>
      <c r="G173" s="72" t="s">
        <v>0</v>
      </c>
      <c r="H173" s="72" t="s">
        <v>1</v>
      </c>
    </row>
    <row r="174" spans="1:8" ht="15" customHeight="1" x14ac:dyDescent="0.3">
      <c r="A174" s="103" t="s">
        <v>2</v>
      </c>
      <c r="B174" s="12" t="s">
        <v>6</v>
      </c>
      <c r="C174" s="22">
        <v>0</v>
      </c>
      <c r="D174" s="22">
        <v>0</v>
      </c>
      <c r="E174" s="22">
        <v>12</v>
      </c>
      <c r="F174" s="22">
        <v>9</v>
      </c>
      <c r="G174" s="22">
        <v>3</v>
      </c>
      <c r="H174" s="23">
        <f>SUM(C174:G174)</f>
        <v>24</v>
      </c>
    </row>
    <row r="175" spans="1:8" ht="15" customHeight="1" x14ac:dyDescent="0.3">
      <c r="A175" s="103"/>
      <c r="B175" s="12" t="s">
        <v>7</v>
      </c>
      <c r="C175" s="22">
        <v>0</v>
      </c>
      <c r="D175" s="22">
        <v>0</v>
      </c>
      <c r="E175" s="22">
        <v>356</v>
      </c>
      <c r="F175" s="22">
        <v>152</v>
      </c>
      <c r="G175" s="22">
        <v>47</v>
      </c>
      <c r="H175" s="23">
        <f t="shared" ref="H175:H185" si="30">SUM(C175:G175)</f>
        <v>555</v>
      </c>
    </row>
    <row r="176" spans="1:8" ht="15" customHeight="1" x14ac:dyDescent="0.3">
      <c r="A176" s="103"/>
      <c r="B176" s="12" t="s">
        <v>8</v>
      </c>
      <c r="C176" s="22">
        <v>0</v>
      </c>
      <c r="D176" s="22">
        <v>0</v>
      </c>
      <c r="E176" s="22">
        <v>747</v>
      </c>
      <c r="F176" s="22">
        <v>377</v>
      </c>
      <c r="G176" s="22">
        <v>146</v>
      </c>
      <c r="H176" s="23">
        <f t="shared" si="30"/>
        <v>1270</v>
      </c>
    </row>
    <row r="177" spans="1:8" ht="15" customHeight="1" x14ac:dyDescent="0.3">
      <c r="A177" s="104" t="s">
        <v>3</v>
      </c>
      <c r="B177" s="13" t="s">
        <v>6</v>
      </c>
      <c r="C177" s="20">
        <v>2</v>
      </c>
      <c r="D177" s="20">
        <v>14</v>
      </c>
      <c r="E177" s="20">
        <v>13</v>
      </c>
      <c r="F177" s="20">
        <v>6</v>
      </c>
      <c r="G177" s="20">
        <v>3</v>
      </c>
      <c r="H177" s="21">
        <f t="shared" si="30"/>
        <v>38</v>
      </c>
    </row>
    <row r="178" spans="1:8" ht="15" customHeight="1" x14ac:dyDescent="0.3">
      <c r="A178" s="104"/>
      <c r="B178" s="13" t="s">
        <v>7</v>
      </c>
      <c r="C178" s="20">
        <v>47</v>
      </c>
      <c r="D178" s="20">
        <v>392</v>
      </c>
      <c r="E178" s="20">
        <v>353</v>
      </c>
      <c r="F178" s="20">
        <v>110</v>
      </c>
      <c r="G178" s="20">
        <v>64</v>
      </c>
      <c r="H178" s="21">
        <f t="shared" si="30"/>
        <v>966</v>
      </c>
    </row>
    <row r="179" spans="1:8" ht="15" customHeight="1" x14ac:dyDescent="0.3">
      <c r="A179" s="104"/>
      <c r="B179" s="13" t="s">
        <v>8</v>
      </c>
      <c r="C179" s="20">
        <v>105</v>
      </c>
      <c r="D179" s="20">
        <v>826</v>
      </c>
      <c r="E179" s="20">
        <v>775</v>
      </c>
      <c r="F179" s="20">
        <v>207</v>
      </c>
      <c r="G179" s="20">
        <v>156</v>
      </c>
      <c r="H179" s="21">
        <f t="shared" si="30"/>
        <v>2069</v>
      </c>
    </row>
    <row r="180" spans="1:8" ht="15" customHeight="1" x14ac:dyDescent="0.3">
      <c r="A180" s="103" t="s">
        <v>4</v>
      </c>
      <c r="B180" s="12" t="s">
        <v>6</v>
      </c>
      <c r="C180" s="22">
        <v>1</v>
      </c>
      <c r="D180" s="22">
        <v>1</v>
      </c>
      <c r="E180" s="22">
        <v>19</v>
      </c>
      <c r="F180" s="22">
        <v>11</v>
      </c>
      <c r="G180" s="22">
        <v>2</v>
      </c>
      <c r="H180" s="23">
        <f t="shared" si="30"/>
        <v>34</v>
      </c>
    </row>
    <row r="181" spans="1:8" ht="15" customHeight="1" x14ac:dyDescent="0.3">
      <c r="A181" s="103"/>
      <c r="B181" s="12" t="s">
        <v>7</v>
      </c>
      <c r="C181" s="22">
        <v>14</v>
      </c>
      <c r="D181" s="22">
        <v>28</v>
      </c>
      <c r="E181" s="22">
        <v>521</v>
      </c>
      <c r="F181" s="22">
        <v>269</v>
      </c>
      <c r="G181" s="22">
        <v>50</v>
      </c>
      <c r="H181" s="23">
        <f t="shared" si="30"/>
        <v>882</v>
      </c>
    </row>
    <row r="182" spans="1:8" ht="15" customHeight="1" x14ac:dyDescent="0.3">
      <c r="A182" s="103"/>
      <c r="B182" s="12" t="s">
        <v>8</v>
      </c>
      <c r="C182" s="22">
        <v>32</v>
      </c>
      <c r="D182" s="22">
        <v>56</v>
      </c>
      <c r="E182" s="22">
        <v>1042</v>
      </c>
      <c r="F182" s="22">
        <v>521</v>
      </c>
      <c r="G182" s="22">
        <v>125</v>
      </c>
      <c r="H182" s="23">
        <f t="shared" si="30"/>
        <v>1776</v>
      </c>
    </row>
    <row r="183" spans="1:8" ht="15" customHeight="1" x14ac:dyDescent="0.3">
      <c r="A183" s="104" t="s">
        <v>5</v>
      </c>
      <c r="B183" s="13" t="s">
        <v>6</v>
      </c>
      <c r="C183" s="20">
        <v>0</v>
      </c>
      <c r="D183" s="20">
        <v>2</v>
      </c>
      <c r="E183" s="20">
        <v>18</v>
      </c>
      <c r="F183" s="20">
        <v>10</v>
      </c>
      <c r="G183" s="20">
        <v>1</v>
      </c>
      <c r="H183" s="21">
        <f t="shared" si="30"/>
        <v>31</v>
      </c>
    </row>
    <row r="184" spans="1:8" ht="15" customHeight="1" x14ac:dyDescent="0.3">
      <c r="A184" s="104"/>
      <c r="B184" s="13" t="s">
        <v>7</v>
      </c>
      <c r="C184" s="20">
        <v>0</v>
      </c>
      <c r="D184" s="20">
        <v>28</v>
      </c>
      <c r="E184" s="20">
        <v>374</v>
      </c>
      <c r="F184" s="20">
        <v>136</v>
      </c>
      <c r="G184" s="20">
        <v>12</v>
      </c>
      <c r="H184" s="21">
        <f t="shared" si="30"/>
        <v>550</v>
      </c>
    </row>
    <row r="185" spans="1:8" ht="15" customHeight="1" x14ac:dyDescent="0.3">
      <c r="A185" s="104"/>
      <c r="B185" s="13" t="s">
        <v>8</v>
      </c>
      <c r="C185" s="20">
        <v>0</v>
      </c>
      <c r="D185" s="20">
        <v>60</v>
      </c>
      <c r="E185" s="20">
        <v>772</v>
      </c>
      <c r="F185" s="20">
        <v>281</v>
      </c>
      <c r="G185" s="20">
        <v>24</v>
      </c>
      <c r="H185" s="21">
        <f t="shared" si="30"/>
        <v>1137</v>
      </c>
    </row>
    <row r="186" spans="1:8" ht="15" customHeight="1" x14ac:dyDescent="0.3">
      <c r="A186" s="105" t="s">
        <v>1</v>
      </c>
      <c r="B186" s="73" t="s">
        <v>6</v>
      </c>
      <c r="C186" s="74">
        <f>C174+C177+C180+C183</f>
        <v>3</v>
      </c>
      <c r="D186" s="74">
        <f t="shared" ref="D186:H186" si="31">D174+D177+D180+D183</f>
        <v>17</v>
      </c>
      <c r="E186" s="74">
        <f t="shared" si="31"/>
        <v>62</v>
      </c>
      <c r="F186" s="74">
        <f t="shared" si="31"/>
        <v>36</v>
      </c>
      <c r="G186" s="74">
        <f t="shared" si="31"/>
        <v>9</v>
      </c>
      <c r="H186" s="74">
        <f t="shared" si="31"/>
        <v>127</v>
      </c>
    </row>
    <row r="187" spans="1:8" ht="15" customHeight="1" x14ac:dyDescent="0.3">
      <c r="A187" s="105"/>
      <c r="B187" s="73" t="s">
        <v>7</v>
      </c>
      <c r="C187" s="74">
        <f>C175+C178+C181+C184</f>
        <v>61</v>
      </c>
      <c r="D187" s="74">
        <f t="shared" ref="D187:H187" si="32">D175+D178+D181+D184</f>
        <v>448</v>
      </c>
      <c r="E187" s="74">
        <f t="shared" si="32"/>
        <v>1604</v>
      </c>
      <c r="F187" s="74">
        <f t="shared" si="32"/>
        <v>667</v>
      </c>
      <c r="G187" s="74">
        <f t="shared" si="32"/>
        <v>173</v>
      </c>
      <c r="H187" s="74">
        <f t="shared" si="32"/>
        <v>2953</v>
      </c>
    </row>
    <row r="188" spans="1:8" ht="15" customHeight="1" x14ac:dyDescent="0.3">
      <c r="A188" s="105"/>
      <c r="B188" s="73" t="s">
        <v>8</v>
      </c>
      <c r="C188" s="74">
        <f>C176+C179+C182+C185</f>
        <v>137</v>
      </c>
      <c r="D188" s="74">
        <f t="shared" ref="D188:H188" si="33">D176+D179+D182+D185</f>
        <v>942</v>
      </c>
      <c r="E188" s="74">
        <f t="shared" si="33"/>
        <v>3336</v>
      </c>
      <c r="F188" s="74">
        <f t="shared" si="33"/>
        <v>1386</v>
      </c>
      <c r="G188" s="74">
        <f t="shared" si="33"/>
        <v>451</v>
      </c>
      <c r="H188" s="74">
        <f t="shared" si="33"/>
        <v>6252</v>
      </c>
    </row>
    <row r="189" spans="1:8" ht="15" customHeight="1" x14ac:dyDescent="0.3">
      <c r="A189" s="4" t="s">
        <v>91</v>
      </c>
      <c r="B189" s="62"/>
      <c r="C189" s="62"/>
      <c r="D189" s="62"/>
      <c r="E189" s="62"/>
      <c r="F189" s="62"/>
      <c r="G189" s="62"/>
      <c r="H189" s="62"/>
    </row>
    <row r="192" spans="1:8" ht="15" customHeight="1" x14ac:dyDescent="0.3">
      <c r="A192" s="102" t="s">
        <v>56</v>
      </c>
      <c r="B192" s="102"/>
      <c r="C192" s="102"/>
      <c r="D192" s="102"/>
      <c r="E192" s="102"/>
      <c r="F192" s="102"/>
      <c r="G192" s="102"/>
      <c r="H192" s="102"/>
    </row>
    <row r="193" spans="1:8" ht="15" customHeight="1" x14ac:dyDescent="0.3">
      <c r="A193" s="102" t="s">
        <v>64</v>
      </c>
      <c r="B193" s="102"/>
      <c r="C193" s="102"/>
      <c r="D193" s="102"/>
      <c r="E193" s="102"/>
      <c r="F193" s="102"/>
      <c r="G193" s="102"/>
      <c r="H193" s="102"/>
    </row>
    <row r="194" spans="1:8" ht="15" customHeight="1" x14ac:dyDescent="0.3">
      <c r="A194" s="71" t="s">
        <v>86</v>
      </c>
      <c r="B194" s="72"/>
      <c r="C194" s="72" t="s">
        <v>14</v>
      </c>
      <c r="D194" s="72" t="s">
        <v>15</v>
      </c>
      <c r="E194" s="72" t="s">
        <v>16</v>
      </c>
      <c r="F194" s="72" t="s">
        <v>17</v>
      </c>
      <c r="G194" s="72" t="s">
        <v>0</v>
      </c>
      <c r="H194" s="72" t="s">
        <v>1</v>
      </c>
    </row>
    <row r="195" spans="1:8" ht="15" customHeight="1" x14ac:dyDescent="0.3">
      <c r="A195" s="103" t="s">
        <v>2</v>
      </c>
      <c r="B195" s="12" t="s">
        <v>6</v>
      </c>
      <c r="C195" s="22">
        <v>0</v>
      </c>
      <c r="D195" s="22">
        <v>2</v>
      </c>
      <c r="E195" s="22">
        <v>12</v>
      </c>
      <c r="F195" s="22">
        <v>8</v>
      </c>
      <c r="G195" s="22">
        <v>2</v>
      </c>
      <c r="H195" s="23">
        <f>SUM(C195:G195)</f>
        <v>24</v>
      </c>
    </row>
    <row r="196" spans="1:8" ht="15" customHeight="1" x14ac:dyDescent="0.3">
      <c r="A196" s="103"/>
      <c r="B196" s="12" t="s">
        <v>7</v>
      </c>
      <c r="C196" s="22">
        <v>0</v>
      </c>
      <c r="D196" s="22">
        <v>55</v>
      </c>
      <c r="E196" s="22">
        <v>344</v>
      </c>
      <c r="F196" s="22">
        <v>125</v>
      </c>
      <c r="G196" s="22">
        <v>30</v>
      </c>
      <c r="H196" s="23">
        <f t="shared" ref="H196:H206" si="34">SUM(C196:G196)</f>
        <v>554</v>
      </c>
    </row>
    <row r="197" spans="1:8" ht="15" customHeight="1" x14ac:dyDescent="0.3">
      <c r="A197" s="103"/>
      <c r="B197" s="12" t="s">
        <v>8</v>
      </c>
      <c r="C197" s="22">
        <v>0</v>
      </c>
      <c r="D197" s="22">
        <v>104</v>
      </c>
      <c r="E197" s="22">
        <v>780</v>
      </c>
      <c r="F197" s="22">
        <v>257</v>
      </c>
      <c r="G197" s="22">
        <v>87</v>
      </c>
      <c r="H197" s="23">
        <f t="shared" si="34"/>
        <v>1228</v>
      </c>
    </row>
    <row r="198" spans="1:8" ht="15" customHeight="1" x14ac:dyDescent="0.3">
      <c r="A198" s="104" t="s">
        <v>3</v>
      </c>
      <c r="B198" s="13" t="s">
        <v>6</v>
      </c>
      <c r="C198" s="20">
        <v>2</v>
      </c>
      <c r="D198" s="20">
        <v>13</v>
      </c>
      <c r="E198" s="20">
        <v>16</v>
      </c>
      <c r="F198" s="20">
        <v>7</v>
      </c>
      <c r="G198" s="20">
        <v>0</v>
      </c>
      <c r="H198" s="21">
        <f t="shared" si="34"/>
        <v>38</v>
      </c>
    </row>
    <row r="199" spans="1:8" ht="15" customHeight="1" x14ac:dyDescent="0.3">
      <c r="A199" s="104"/>
      <c r="B199" s="13" t="s">
        <v>7</v>
      </c>
      <c r="C199" s="20">
        <v>47</v>
      </c>
      <c r="D199" s="20">
        <v>305</v>
      </c>
      <c r="E199" s="20">
        <v>497</v>
      </c>
      <c r="F199" s="20">
        <v>114</v>
      </c>
      <c r="G199" s="20">
        <v>0</v>
      </c>
      <c r="H199" s="21">
        <f t="shared" si="34"/>
        <v>963</v>
      </c>
    </row>
    <row r="200" spans="1:8" ht="15" customHeight="1" x14ac:dyDescent="0.3">
      <c r="A200" s="104"/>
      <c r="B200" s="13" t="s">
        <v>8</v>
      </c>
      <c r="C200" s="20">
        <v>105</v>
      </c>
      <c r="D200" s="20">
        <v>659</v>
      </c>
      <c r="E200" s="20">
        <v>1065</v>
      </c>
      <c r="F200" s="20">
        <v>215</v>
      </c>
      <c r="G200" s="20">
        <v>0</v>
      </c>
      <c r="H200" s="21">
        <f t="shared" si="34"/>
        <v>2044</v>
      </c>
    </row>
    <row r="201" spans="1:8" ht="15" customHeight="1" x14ac:dyDescent="0.3">
      <c r="A201" s="103" t="s">
        <v>4</v>
      </c>
      <c r="B201" s="12" t="s">
        <v>6</v>
      </c>
      <c r="C201" s="22">
        <v>1</v>
      </c>
      <c r="D201" s="22">
        <v>1</v>
      </c>
      <c r="E201" s="22">
        <v>19</v>
      </c>
      <c r="F201" s="22">
        <v>11</v>
      </c>
      <c r="G201" s="22">
        <v>1</v>
      </c>
      <c r="H201" s="23">
        <f t="shared" si="34"/>
        <v>33</v>
      </c>
    </row>
    <row r="202" spans="1:8" ht="15" customHeight="1" x14ac:dyDescent="0.3">
      <c r="A202" s="103"/>
      <c r="B202" s="12" t="s">
        <v>7</v>
      </c>
      <c r="C202" s="22">
        <v>14</v>
      </c>
      <c r="D202" s="22">
        <v>28</v>
      </c>
      <c r="E202" s="22">
        <v>521</v>
      </c>
      <c r="F202" s="22">
        <v>269</v>
      </c>
      <c r="G202" s="22">
        <v>15</v>
      </c>
      <c r="H202" s="23">
        <f t="shared" si="34"/>
        <v>847</v>
      </c>
    </row>
    <row r="203" spans="1:8" ht="15" customHeight="1" x14ac:dyDescent="0.3">
      <c r="A203" s="103"/>
      <c r="B203" s="12" t="s">
        <v>8</v>
      </c>
      <c r="C203" s="22">
        <v>32</v>
      </c>
      <c r="D203" s="22">
        <v>56</v>
      </c>
      <c r="E203" s="22">
        <v>1042</v>
      </c>
      <c r="F203" s="22">
        <v>521</v>
      </c>
      <c r="G203" s="22">
        <v>30</v>
      </c>
      <c r="H203" s="23">
        <f t="shared" si="34"/>
        <v>1681</v>
      </c>
    </row>
    <row r="204" spans="1:8" ht="15" customHeight="1" x14ac:dyDescent="0.3">
      <c r="A204" s="104" t="s">
        <v>5</v>
      </c>
      <c r="B204" s="13" t="s">
        <v>6</v>
      </c>
      <c r="C204" s="20">
        <v>0</v>
      </c>
      <c r="D204" s="20">
        <v>2</v>
      </c>
      <c r="E204" s="20">
        <v>18</v>
      </c>
      <c r="F204" s="20">
        <v>10</v>
      </c>
      <c r="G204" s="20">
        <v>1</v>
      </c>
      <c r="H204" s="21">
        <f t="shared" si="34"/>
        <v>31</v>
      </c>
    </row>
    <row r="205" spans="1:8" ht="15" customHeight="1" x14ac:dyDescent="0.3">
      <c r="A205" s="104"/>
      <c r="B205" s="13" t="s">
        <v>7</v>
      </c>
      <c r="C205" s="20">
        <v>0</v>
      </c>
      <c r="D205" s="20">
        <v>28</v>
      </c>
      <c r="E205" s="20">
        <v>374</v>
      </c>
      <c r="F205" s="20">
        <v>136</v>
      </c>
      <c r="G205" s="20">
        <v>12</v>
      </c>
      <c r="H205" s="21">
        <f t="shared" si="34"/>
        <v>550</v>
      </c>
    </row>
    <row r="206" spans="1:8" ht="15" customHeight="1" x14ac:dyDescent="0.3">
      <c r="A206" s="104"/>
      <c r="B206" s="13" t="s">
        <v>8</v>
      </c>
      <c r="C206" s="20">
        <v>0</v>
      </c>
      <c r="D206" s="20">
        <v>60</v>
      </c>
      <c r="E206" s="20">
        <v>772</v>
      </c>
      <c r="F206" s="20">
        <v>281</v>
      </c>
      <c r="G206" s="20">
        <v>24</v>
      </c>
      <c r="H206" s="21">
        <f t="shared" si="34"/>
        <v>1137</v>
      </c>
    </row>
    <row r="207" spans="1:8" ht="15" customHeight="1" x14ac:dyDescent="0.3">
      <c r="A207" s="105" t="s">
        <v>1</v>
      </c>
      <c r="B207" s="73" t="s">
        <v>6</v>
      </c>
      <c r="C207" s="74">
        <f>C195+C198+C201+C204</f>
        <v>3</v>
      </c>
      <c r="D207" s="74">
        <f t="shared" ref="D207:H207" si="35">D195+D198+D201+D204</f>
        <v>18</v>
      </c>
      <c r="E207" s="74">
        <f t="shared" si="35"/>
        <v>65</v>
      </c>
      <c r="F207" s="74">
        <f t="shared" si="35"/>
        <v>36</v>
      </c>
      <c r="G207" s="74">
        <f t="shared" si="35"/>
        <v>4</v>
      </c>
      <c r="H207" s="74">
        <f t="shared" si="35"/>
        <v>126</v>
      </c>
    </row>
    <row r="208" spans="1:8" ht="15" customHeight="1" x14ac:dyDescent="0.3">
      <c r="A208" s="105"/>
      <c r="B208" s="73" t="s">
        <v>7</v>
      </c>
      <c r="C208" s="74">
        <f>C196+C199+C202+C205</f>
        <v>61</v>
      </c>
      <c r="D208" s="74">
        <f t="shared" ref="D208:H208" si="36">D196+D199+D202+D205</f>
        <v>416</v>
      </c>
      <c r="E208" s="74">
        <f t="shared" si="36"/>
        <v>1736</v>
      </c>
      <c r="F208" s="74">
        <f t="shared" si="36"/>
        <v>644</v>
      </c>
      <c r="G208" s="74">
        <f t="shared" si="36"/>
        <v>57</v>
      </c>
      <c r="H208" s="74">
        <f t="shared" si="36"/>
        <v>2914</v>
      </c>
    </row>
    <row r="209" spans="1:8" ht="15" customHeight="1" x14ac:dyDescent="0.3">
      <c r="A209" s="105"/>
      <c r="B209" s="73" t="s">
        <v>8</v>
      </c>
      <c r="C209" s="74">
        <f>C197+C200+C203+C206</f>
        <v>137</v>
      </c>
      <c r="D209" s="74">
        <f t="shared" ref="D209:H209" si="37">D197+D200+D203+D206</f>
        <v>879</v>
      </c>
      <c r="E209" s="74">
        <f t="shared" si="37"/>
        <v>3659</v>
      </c>
      <c r="F209" s="74">
        <f t="shared" si="37"/>
        <v>1274</v>
      </c>
      <c r="G209" s="74">
        <f t="shared" si="37"/>
        <v>141</v>
      </c>
      <c r="H209" s="74">
        <f t="shared" si="37"/>
        <v>6090</v>
      </c>
    </row>
    <row r="210" spans="1:8" ht="15" customHeight="1" x14ac:dyDescent="0.3">
      <c r="A210" s="4" t="s">
        <v>91</v>
      </c>
      <c r="B210" s="2"/>
      <c r="C210" s="2"/>
      <c r="D210" s="2"/>
      <c r="E210" s="2"/>
      <c r="F210" s="2"/>
    </row>
    <row r="211" spans="1:8" ht="15" customHeight="1" x14ac:dyDescent="0.3">
      <c r="A211" s="63"/>
      <c r="B211" s="63"/>
      <c r="C211" s="63"/>
      <c r="D211" s="63"/>
    </row>
    <row r="212" spans="1:8" ht="15" customHeight="1" x14ac:dyDescent="0.3">
      <c r="A212" s="63"/>
      <c r="B212" s="63"/>
      <c r="C212" s="63"/>
      <c r="D212" s="63"/>
    </row>
    <row r="213" spans="1:8" ht="15" customHeight="1" x14ac:dyDescent="0.3">
      <c r="A213" s="102" t="s">
        <v>56</v>
      </c>
      <c r="B213" s="102"/>
      <c r="C213" s="102"/>
      <c r="D213" s="102"/>
      <c r="E213" s="102"/>
      <c r="F213" s="102"/>
      <c r="G213" s="102"/>
      <c r="H213" s="102"/>
    </row>
    <row r="214" spans="1:8" ht="15" customHeight="1" x14ac:dyDescent="0.3">
      <c r="A214" s="102" t="s">
        <v>63</v>
      </c>
      <c r="B214" s="102"/>
      <c r="C214" s="102"/>
      <c r="D214" s="102"/>
      <c r="E214" s="102"/>
      <c r="F214" s="102"/>
      <c r="G214" s="102"/>
      <c r="H214" s="102"/>
    </row>
    <row r="215" spans="1:8" ht="15" customHeight="1" x14ac:dyDescent="0.3">
      <c r="A215" s="71" t="s">
        <v>86</v>
      </c>
      <c r="B215" s="72"/>
      <c r="C215" s="72" t="s">
        <v>14</v>
      </c>
      <c r="D215" s="72" t="s">
        <v>15</v>
      </c>
      <c r="E215" s="72" t="s">
        <v>16</v>
      </c>
      <c r="F215" s="72" t="s">
        <v>17</v>
      </c>
      <c r="G215" s="72" t="s">
        <v>0</v>
      </c>
      <c r="H215" s="72" t="s">
        <v>1</v>
      </c>
    </row>
    <row r="216" spans="1:8" ht="15" customHeight="1" x14ac:dyDescent="0.3">
      <c r="A216" s="103" t="s">
        <v>2</v>
      </c>
      <c r="B216" s="12" t="s">
        <v>6</v>
      </c>
      <c r="C216" s="22">
        <v>0</v>
      </c>
      <c r="D216" s="22">
        <v>2</v>
      </c>
      <c r="E216" s="22">
        <v>13</v>
      </c>
      <c r="F216" s="22">
        <v>8</v>
      </c>
      <c r="G216" s="22">
        <v>2</v>
      </c>
      <c r="H216" s="23">
        <f>SUM(C216:G216)</f>
        <v>25</v>
      </c>
    </row>
    <row r="217" spans="1:8" ht="15" customHeight="1" x14ac:dyDescent="0.3">
      <c r="A217" s="103"/>
      <c r="B217" s="12" t="s">
        <v>7</v>
      </c>
      <c r="C217" s="22">
        <v>0</v>
      </c>
      <c r="D217" s="22">
        <v>55</v>
      </c>
      <c r="E217" s="22">
        <v>342</v>
      </c>
      <c r="F217" s="22">
        <v>123</v>
      </c>
      <c r="G217" s="22">
        <v>30</v>
      </c>
      <c r="H217" s="23">
        <f t="shared" ref="H217:H227" si="38">SUM(C217:G217)</f>
        <v>550</v>
      </c>
    </row>
    <row r="218" spans="1:8" ht="15" customHeight="1" x14ac:dyDescent="0.3">
      <c r="A218" s="103"/>
      <c r="B218" s="12" t="s">
        <v>8</v>
      </c>
      <c r="C218" s="22">
        <v>0</v>
      </c>
      <c r="D218" s="22">
        <v>104</v>
      </c>
      <c r="E218" s="22">
        <v>687</v>
      </c>
      <c r="F218" s="22">
        <v>241</v>
      </c>
      <c r="G218" s="22">
        <v>58</v>
      </c>
      <c r="H218" s="23">
        <f t="shared" si="38"/>
        <v>1090</v>
      </c>
    </row>
    <row r="219" spans="1:8" ht="15" customHeight="1" x14ac:dyDescent="0.3">
      <c r="A219" s="104" t="s">
        <v>3</v>
      </c>
      <c r="B219" s="13" t="s">
        <v>6</v>
      </c>
      <c r="C219" s="20">
        <v>2</v>
      </c>
      <c r="D219" s="20">
        <v>13</v>
      </c>
      <c r="E219" s="20">
        <v>16</v>
      </c>
      <c r="F219" s="20">
        <v>7</v>
      </c>
      <c r="G219" s="20">
        <v>0</v>
      </c>
      <c r="H219" s="21">
        <f t="shared" si="38"/>
        <v>38</v>
      </c>
    </row>
    <row r="220" spans="1:8" ht="15" customHeight="1" x14ac:dyDescent="0.3">
      <c r="A220" s="104"/>
      <c r="B220" s="13" t="s">
        <v>7</v>
      </c>
      <c r="C220" s="20">
        <v>47</v>
      </c>
      <c r="D220" s="20">
        <v>305</v>
      </c>
      <c r="E220" s="20">
        <v>455</v>
      </c>
      <c r="F220" s="20">
        <v>114</v>
      </c>
      <c r="G220" s="20">
        <v>0</v>
      </c>
      <c r="H220" s="21">
        <f t="shared" si="38"/>
        <v>921</v>
      </c>
    </row>
    <row r="221" spans="1:8" ht="15" customHeight="1" x14ac:dyDescent="0.3">
      <c r="A221" s="104"/>
      <c r="B221" s="13" t="s">
        <v>8</v>
      </c>
      <c r="C221" s="20">
        <v>105</v>
      </c>
      <c r="D221" s="20">
        <v>659</v>
      </c>
      <c r="E221" s="20">
        <v>938</v>
      </c>
      <c r="F221" s="20">
        <v>215</v>
      </c>
      <c r="G221" s="20">
        <v>0</v>
      </c>
      <c r="H221" s="21">
        <f t="shared" si="38"/>
        <v>1917</v>
      </c>
    </row>
    <row r="222" spans="1:8" ht="15" customHeight="1" x14ac:dyDescent="0.3">
      <c r="A222" s="103" t="s">
        <v>4</v>
      </c>
      <c r="B222" s="12" t="s">
        <v>6</v>
      </c>
      <c r="C222" s="22">
        <v>1</v>
      </c>
      <c r="D222" s="22">
        <v>1</v>
      </c>
      <c r="E222" s="22">
        <v>19</v>
      </c>
      <c r="F222" s="22">
        <v>11</v>
      </c>
      <c r="G222" s="22">
        <v>1</v>
      </c>
      <c r="H222" s="23">
        <f t="shared" si="38"/>
        <v>33</v>
      </c>
    </row>
    <row r="223" spans="1:8" ht="15" customHeight="1" x14ac:dyDescent="0.3">
      <c r="A223" s="103"/>
      <c r="B223" s="12" t="s">
        <v>7</v>
      </c>
      <c r="C223" s="22">
        <v>14</v>
      </c>
      <c r="D223" s="22">
        <v>28</v>
      </c>
      <c r="E223" s="22">
        <v>521</v>
      </c>
      <c r="F223" s="22">
        <v>275</v>
      </c>
      <c r="G223" s="22">
        <v>15</v>
      </c>
      <c r="H223" s="23">
        <f t="shared" si="38"/>
        <v>853</v>
      </c>
    </row>
    <row r="224" spans="1:8" ht="15" customHeight="1" x14ac:dyDescent="0.3">
      <c r="A224" s="103"/>
      <c r="B224" s="12" t="s">
        <v>8</v>
      </c>
      <c r="C224" s="22">
        <v>32</v>
      </c>
      <c r="D224" s="22">
        <v>56</v>
      </c>
      <c r="E224" s="22">
        <v>1042</v>
      </c>
      <c r="F224" s="22">
        <v>521</v>
      </c>
      <c r="G224" s="22">
        <v>30</v>
      </c>
      <c r="H224" s="23">
        <f t="shared" si="38"/>
        <v>1681</v>
      </c>
    </row>
    <row r="225" spans="1:8" ht="15" customHeight="1" x14ac:dyDescent="0.3">
      <c r="A225" s="104" t="s">
        <v>5</v>
      </c>
      <c r="B225" s="13" t="s">
        <v>6</v>
      </c>
      <c r="C225" s="20">
        <v>0</v>
      </c>
      <c r="D225" s="20">
        <v>2</v>
      </c>
      <c r="E225" s="20">
        <v>17</v>
      </c>
      <c r="F225" s="20">
        <v>10</v>
      </c>
      <c r="G225" s="20">
        <v>1</v>
      </c>
      <c r="H225" s="21">
        <f t="shared" si="38"/>
        <v>30</v>
      </c>
    </row>
    <row r="226" spans="1:8" ht="15" customHeight="1" x14ac:dyDescent="0.3">
      <c r="A226" s="104"/>
      <c r="B226" s="13" t="s">
        <v>7</v>
      </c>
      <c r="C226" s="20">
        <v>0</v>
      </c>
      <c r="D226" s="20">
        <v>28</v>
      </c>
      <c r="E226" s="20">
        <v>364</v>
      </c>
      <c r="F226" s="20">
        <v>136</v>
      </c>
      <c r="G226" s="20">
        <v>12</v>
      </c>
      <c r="H226" s="21">
        <f t="shared" si="38"/>
        <v>540</v>
      </c>
    </row>
    <row r="227" spans="1:8" ht="15" customHeight="1" x14ac:dyDescent="0.3">
      <c r="A227" s="104"/>
      <c r="B227" s="13" t="s">
        <v>8</v>
      </c>
      <c r="C227" s="20">
        <v>0</v>
      </c>
      <c r="D227" s="20">
        <v>60</v>
      </c>
      <c r="E227" s="20">
        <v>752</v>
      </c>
      <c r="F227" s="20">
        <v>281</v>
      </c>
      <c r="G227" s="20">
        <v>24</v>
      </c>
      <c r="H227" s="21">
        <f t="shared" si="38"/>
        <v>1117</v>
      </c>
    </row>
    <row r="228" spans="1:8" ht="15" customHeight="1" x14ac:dyDescent="0.3">
      <c r="A228" s="105" t="s">
        <v>1</v>
      </c>
      <c r="B228" s="73" t="s">
        <v>6</v>
      </c>
      <c r="C228" s="74">
        <f>C216+C219+C222+C225</f>
        <v>3</v>
      </c>
      <c r="D228" s="74">
        <f t="shared" ref="D228:H228" si="39">D216+D219+D222+D225</f>
        <v>18</v>
      </c>
      <c r="E228" s="74">
        <f t="shared" si="39"/>
        <v>65</v>
      </c>
      <c r="F228" s="74">
        <f t="shared" si="39"/>
        <v>36</v>
      </c>
      <c r="G228" s="74">
        <f t="shared" si="39"/>
        <v>4</v>
      </c>
      <c r="H228" s="74">
        <f t="shared" si="39"/>
        <v>126</v>
      </c>
    </row>
    <row r="229" spans="1:8" ht="15" customHeight="1" x14ac:dyDescent="0.3">
      <c r="A229" s="105"/>
      <c r="B229" s="73" t="s">
        <v>7</v>
      </c>
      <c r="C229" s="74">
        <f>C217+C220+C223+C226</f>
        <v>61</v>
      </c>
      <c r="D229" s="74">
        <f t="shared" ref="D229:H229" si="40">D217+D220+D223+D226</f>
        <v>416</v>
      </c>
      <c r="E229" s="74">
        <f t="shared" si="40"/>
        <v>1682</v>
      </c>
      <c r="F229" s="74">
        <f t="shared" si="40"/>
        <v>648</v>
      </c>
      <c r="G229" s="74">
        <f t="shared" si="40"/>
        <v>57</v>
      </c>
      <c r="H229" s="74">
        <f t="shared" si="40"/>
        <v>2864</v>
      </c>
    </row>
    <row r="230" spans="1:8" ht="15" customHeight="1" x14ac:dyDescent="0.3">
      <c r="A230" s="105"/>
      <c r="B230" s="73" t="s">
        <v>8</v>
      </c>
      <c r="C230" s="74">
        <f>C218+C221+C224+C227</f>
        <v>137</v>
      </c>
      <c r="D230" s="74">
        <f t="shared" ref="D230:H230" si="41">D218+D221+D224+D227</f>
        <v>879</v>
      </c>
      <c r="E230" s="74">
        <f t="shared" si="41"/>
        <v>3419</v>
      </c>
      <c r="F230" s="74">
        <f t="shared" si="41"/>
        <v>1258</v>
      </c>
      <c r="G230" s="74">
        <f t="shared" si="41"/>
        <v>112</v>
      </c>
      <c r="H230" s="74">
        <f t="shared" si="41"/>
        <v>5805</v>
      </c>
    </row>
    <row r="231" spans="1:8" ht="15" customHeight="1" x14ac:dyDescent="0.3">
      <c r="A231" s="4" t="s">
        <v>91</v>
      </c>
      <c r="B231" s="2"/>
      <c r="C231" s="2"/>
      <c r="D231" s="2"/>
      <c r="E231" s="2"/>
      <c r="F231" s="2"/>
    </row>
    <row r="232" spans="1:8" ht="15" customHeight="1" x14ac:dyDescent="0.3">
      <c r="A232" s="63"/>
      <c r="B232" s="63"/>
      <c r="C232" s="63"/>
      <c r="D232" s="63"/>
    </row>
    <row r="233" spans="1:8" ht="15" customHeight="1" x14ac:dyDescent="0.3">
      <c r="A233" s="63"/>
      <c r="B233" s="63"/>
      <c r="C233" s="63"/>
      <c r="D233" s="63"/>
    </row>
    <row r="234" spans="1:8" ht="15" customHeight="1" x14ac:dyDescent="0.3">
      <c r="A234" s="102" t="s">
        <v>56</v>
      </c>
      <c r="B234" s="102"/>
      <c r="C234" s="102"/>
      <c r="D234" s="102"/>
      <c r="E234" s="102"/>
      <c r="F234" s="102"/>
      <c r="G234" s="102"/>
      <c r="H234" s="102"/>
    </row>
    <row r="235" spans="1:8" ht="15" customHeight="1" x14ac:dyDescent="0.3">
      <c r="A235" s="102" t="s">
        <v>62</v>
      </c>
      <c r="B235" s="102"/>
      <c r="C235" s="102"/>
      <c r="D235" s="102"/>
      <c r="E235" s="102"/>
      <c r="F235" s="102"/>
      <c r="G235" s="102"/>
      <c r="H235" s="102"/>
    </row>
    <row r="236" spans="1:8" ht="15" customHeight="1" x14ac:dyDescent="0.3">
      <c r="A236" s="71" t="s">
        <v>86</v>
      </c>
      <c r="B236" s="72"/>
      <c r="C236" s="72" t="s">
        <v>14</v>
      </c>
      <c r="D236" s="72" t="s">
        <v>15</v>
      </c>
      <c r="E236" s="72" t="s">
        <v>16</v>
      </c>
      <c r="F236" s="72" t="s">
        <v>17</v>
      </c>
      <c r="G236" s="72" t="s">
        <v>0</v>
      </c>
      <c r="H236" s="72" t="s">
        <v>1</v>
      </c>
    </row>
    <row r="237" spans="1:8" ht="15" customHeight="1" x14ac:dyDescent="0.3">
      <c r="A237" s="106" t="s">
        <v>2</v>
      </c>
      <c r="B237" s="12" t="s">
        <v>6</v>
      </c>
      <c r="C237" s="22">
        <v>0</v>
      </c>
      <c r="D237" s="22">
        <v>2</v>
      </c>
      <c r="E237" s="22">
        <v>12</v>
      </c>
      <c r="F237" s="22">
        <v>8</v>
      </c>
      <c r="G237" s="22">
        <v>2</v>
      </c>
      <c r="H237" s="23">
        <f>SUM(C237:G237)</f>
        <v>24</v>
      </c>
    </row>
    <row r="238" spans="1:8" ht="15" customHeight="1" x14ac:dyDescent="0.3">
      <c r="A238" s="106"/>
      <c r="B238" s="12" t="s">
        <v>7</v>
      </c>
      <c r="C238" s="22">
        <v>0</v>
      </c>
      <c r="D238" s="22">
        <v>55</v>
      </c>
      <c r="E238" s="22">
        <v>319</v>
      </c>
      <c r="F238" s="22">
        <v>123</v>
      </c>
      <c r="G238" s="22">
        <v>30</v>
      </c>
      <c r="H238" s="23">
        <f t="shared" ref="H238:H245" si="42">SUM(C238:G238)</f>
        <v>527</v>
      </c>
    </row>
    <row r="239" spans="1:8" ht="15" customHeight="1" x14ac:dyDescent="0.3">
      <c r="A239" s="106"/>
      <c r="B239" s="12" t="s">
        <v>8</v>
      </c>
      <c r="C239" s="22">
        <v>0</v>
      </c>
      <c r="D239" s="22">
        <v>104</v>
      </c>
      <c r="E239" s="22">
        <v>637</v>
      </c>
      <c r="F239" s="22">
        <v>241</v>
      </c>
      <c r="G239" s="22">
        <v>58</v>
      </c>
      <c r="H239" s="23">
        <f t="shared" si="42"/>
        <v>1040</v>
      </c>
    </row>
    <row r="240" spans="1:8" ht="15" customHeight="1" x14ac:dyDescent="0.3">
      <c r="A240" s="107" t="s">
        <v>3</v>
      </c>
      <c r="B240" s="13" t="s">
        <v>6</v>
      </c>
      <c r="C240" s="20">
        <v>2</v>
      </c>
      <c r="D240" s="20">
        <v>13</v>
      </c>
      <c r="E240" s="20">
        <v>17</v>
      </c>
      <c r="F240" s="20">
        <v>7</v>
      </c>
      <c r="G240" s="20">
        <v>0</v>
      </c>
      <c r="H240" s="21">
        <f t="shared" si="42"/>
        <v>39</v>
      </c>
    </row>
    <row r="241" spans="1:8" ht="15" customHeight="1" x14ac:dyDescent="0.3">
      <c r="A241" s="107"/>
      <c r="B241" s="13" t="s">
        <v>7</v>
      </c>
      <c r="C241" s="20">
        <v>47</v>
      </c>
      <c r="D241" s="20">
        <v>305</v>
      </c>
      <c r="E241" s="20">
        <v>512</v>
      </c>
      <c r="F241" s="20">
        <v>114</v>
      </c>
      <c r="G241" s="20">
        <v>0</v>
      </c>
      <c r="H241" s="21">
        <f t="shared" si="42"/>
        <v>978</v>
      </c>
    </row>
    <row r="242" spans="1:8" ht="15" customHeight="1" x14ac:dyDescent="0.3">
      <c r="A242" s="107"/>
      <c r="B242" s="13" t="s">
        <v>8</v>
      </c>
      <c r="C242" s="20">
        <v>105</v>
      </c>
      <c r="D242" s="20">
        <v>659</v>
      </c>
      <c r="E242" s="20">
        <v>1051</v>
      </c>
      <c r="F242" s="20">
        <v>215</v>
      </c>
      <c r="G242" s="20">
        <v>0</v>
      </c>
      <c r="H242" s="21">
        <f t="shared" si="42"/>
        <v>2030</v>
      </c>
    </row>
    <row r="243" spans="1:8" ht="15" customHeight="1" x14ac:dyDescent="0.3">
      <c r="A243" s="106" t="s">
        <v>4</v>
      </c>
      <c r="B243" s="12" t="s">
        <v>6</v>
      </c>
      <c r="C243" s="22">
        <v>1</v>
      </c>
      <c r="D243" s="22">
        <v>1</v>
      </c>
      <c r="E243" s="22">
        <v>19</v>
      </c>
      <c r="F243" s="22">
        <v>11</v>
      </c>
      <c r="G243" s="22">
        <v>1</v>
      </c>
      <c r="H243" s="23">
        <f t="shared" si="42"/>
        <v>33</v>
      </c>
    </row>
    <row r="244" spans="1:8" ht="15" customHeight="1" x14ac:dyDescent="0.3">
      <c r="A244" s="106"/>
      <c r="B244" s="12" t="s">
        <v>7</v>
      </c>
      <c r="C244" s="22">
        <v>14</v>
      </c>
      <c r="D244" s="22">
        <v>28</v>
      </c>
      <c r="E244" s="22">
        <v>521</v>
      </c>
      <c r="F244" s="22">
        <v>275</v>
      </c>
      <c r="G244" s="22">
        <v>15</v>
      </c>
      <c r="H244" s="23">
        <f t="shared" si="42"/>
        <v>853</v>
      </c>
    </row>
    <row r="245" spans="1:8" ht="15" customHeight="1" x14ac:dyDescent="0.3">
      <c r="A245" s="106"/>
      <c r="B245" s="12" t="s">
        <v>8</v>
      </c>
      <c r="C245" s="22">
        <v>32</v>
      </c>
      <c r="D245" s="22">
        <v>56</v>
      </c>
      <c r="E245" s="22">
        <v>1042</v>
      </c>
      <c r="F245" s="22">
        <v>521</v>
      </c>
      <c r="G245" s="22">
        <v>30</v>
      </c>
      <c r="H245" s="23">
        <f t="shared" si="42"/>
        <v>1681</v>
      </c>
    </row>
    <row r="246" spans="1:8" ht="15" customHeight="1" x14ac:dyDescent="0.3">
      <c r="A246" s="107" t="s">
        <v>5</v>
      </c>
      <c r="B246" s="13" t="s">
        <v>6</v>
      </c>
      <c r="C246" s="20">
        <v>0</v>
      </c>
      <c r="D246" s="20">
        <v>1</v>
      </c>
      <c r="E246" s="20">
        <v>17</v>
      </c>
      <c r="F246" s="20">
        <v>10</v>
      </c>
      <c r="G246" s="20">
        <v>1</v>
      </c>
      <c r="H246" s="21">
        <f>SUM(C246:G246)</f>
        <v>29</v>
      </c>
    </row>
    <row r="247" spans="1:8" ht="15" customHeight="1" x14ac:dyDescent="0.3">
      <c r="A247" s="107"/>
      <c r="B247" s="13" t="s">
        <v>7</v>
      </c>
      <c r="C247" s="20">
        <v>0</v>
      </c>
      <c r="D247" s="20">
        <v>10</v>
      </c>
      <c r="E247" s="20">
        <v>352</v>
      </c>
      <c r="F247" s="20">
        <v>149</v>
      </c>
      <c r="G247" s="20">
        <v>12</v>
      </c>
      <c r="H247" s="21">
        <f t="shared" ref="H247:H248" si="43">SUM(C247:G247)</f>
        <v>523</v>
      </c>
    </row>
    <row r="248" spans="1:8" ht="15" customHeight="1" x14ac:dyDescent="0.3">
      <c r="A248" s="107"/>
      <c r="B248" s="13" t="s">
        <v>8</v>
      </c>
      <c r="C248" s="20">
        <v>0</v>
      </c>
      <c r="D248" s="20">
        <v>21</v>
      </c>
      <c r="E248" s="20">
        <v>724</v>
      </c>
      <c r="F248" s="20">
        <v>307</v>
      </c>
      <c r="G248" s="20">
        <v>24</v>
      </c>
      <c r="H248" s="21">
        <f t="shared" si="43"/>
        <v>1076</v>
      </c>
    </row>
    <row r="249" spans="1:8" ht="15" customHeight="1" x14ac:dyDescent="0.3">
      <c r="A249" s="108" t="s">
        <v>1</v>
      </c>
      <c r="B249" s="73" t="s">
        <v>6</v>
      </c>
      <c r="C249" s="74">
        <f>C237+C240+C243+C246</f>
        <v>3</v>
      </c>
      <c r="D249" s="74">
        <f t="shared" ref="D249:H249" si="44">D237+D240+D243+D246</f>
        <v>17</v>
      </c>
      <c r="E249" s="74">
        <f t="shared" si="44"/>
        <v>65</v>
      </c>
      <c r="F249" s="74">
        <f t="shared" si="44"/>
        <v>36</v>
      </c>
      <c r="G249" s="74">
        <f t="shared" si="44"/>
        <v>4</v>
      </c>
      <c r="H249" s="74">
        <f t="shared" si="44"/>
        <v>125</v>
      </c>
    </row>
    <row r="250" spans="1:8" ht="15" customHeight="1" x14ac:dyDescent="0.3">
      <c r="A250" s="108"/>
      <c r="B250" s="73" t="s">
        <v>7</v>
      </c>
      <c r="C250" s="74">
        <f>C238+C241+C244+C247</f>
        <v>61</v>
      </c>
      <c r="D250" s="74">
        <f t="shared" ref="D250:H250" si="45">D238+D241+D244+D247</f>
        <v>398</v>
      </c>
      <c r="E250" s="74">
        <f t="shared" si="45"/>
        <v>1704</v>
      </c>
      <c r="F250" s="74">
        <f t="shared" si="45"/>
        <v>661</v>
      </c>
      <c r="G250" s="74">
        <f t="shared" si="45"/>
        <v>57</v>
      </c>
      <c r="H250" s="74">
        <f t="shared" si="45"/>
        <v>2881</v>
      </c>
    </row>
    <row r="251" spans="1:8" ht="15" customHeight="1" x14ac:dyDescent="0.3">
      <c r="A251" s="108"/>
      <c r="B251" s="73" t="s">
        <v>8</v>
      </c>
      <c r="C251" s="74">
        <f>C239+C242+C245+C248</f>
        <v>137</v>
      </c>
      <c r="D251" s="74">
        <f t="shared" ref="D251:H251" si="46">D239+D242+D245+D248</f>
        <v>840</v>
      </c>
      <c r="E251" s="74">
        <f t="shared" si="46"/>
        <v>3454</v>
      </c>
      <c r="F251" s="74">
        <f t="shared" si="46"/>
        <v>1284</v>
      </c>
      <c r="G251" s="74">
        <f t="shared" si="46"/>
        <v>112</v>
      </c>
      <c r="H251" s="74">
        <f t="shared" si="46"/>
        <v>5827</v>
      </c>
    </row>
    <row r="252" spans="1:8" ht="15" customHeight="1" x14ac:dyDescent="0.3">
      <c r="A252" s="4" t="s">
        <v>91</v>
      </c>
      <c r="B252" s="2"/>
      <c r="C252" s="2"/>
      <c r="D252" s="2"/>
      <c r="E252" s="2"/>
      <c r="F252" s="2"/>
    </row>
    <row r="253" spans="1:8" ht="15" customHeight="1" x14ac:dyDescent="0.3">
      <c r="A253" s="63"/>
      <c r="B253" s="63"/>
      <c r="C253" s="63"/>
      <c r="D253" s="63"/>
    </row>
    <row r="254" spans="1:8" ht="15" customHeight="1" x14ac:dyDescent="0.3">
      <c r="A254" s="63"/>
      <c r="B254" s="63"/>
      <c r="C254" s="63"/>
      <c r="D254" s="63"/>
    </row>
    <row r="255" spans="1:8" ht="15" customHeight="1" x14ac:dyDescent="0.3">
      <c r="A255" s="102" t="s">
        <v>56</v>
      </c>
      <c r="B255" s="102"/>
      <c r="C255" s="102"/>
      <c r="D255" s="102"/>
      <c r="E255" s="102"/>
      <c r="F255" s="102"/>
      <c r="G255" s="102"/>
      <c r="H255" s="102"/>
    </row>
    <row r="256" spans="1:8" ht="15" customHeight="1" x14ac:dyDescent="0.3">
      <c r="A256" s="102" t="s">
        <v>61</v>
      </c>
      <c r="B256" s="102"/>
      <c r="C256" s="102"/>
      <c r="D256" s="102"/>
      <c r="E256" s="102"/>
      <c r="F256" s="102"/>
      <c r="G256" s="102"/>
      <c r="H256" s="102"/>
    </row>
    <row r="257" spans="1:8" ht="15" customHeight="1" x14ac:dyDescent="0.3">
      <c r="A257" s="71" t="s">
        <v>86</v>
      </c>
      <c r="B257" s="72"/>
      <c r="C257" s="72" t="s">
        <v>14</v>
      </c>
      <c r="D257" s="72" t="s">
        <v>15</v>
      </c>
      <c r="E257" s="72" t="s">
        <v>16</v>
      </c>
      <c r="F257" s="72" t="s">
        <v>17</v>
      </c>
      <c r="G257" s="72" t="s">
        <v>0</v>
      </c>
      <c r="H257" s="72" t="s">
        <v>1</v>
      </c>
    </row>
    <row r="258" spans="1:8" ht="15" customHeight="1" x14ac:dyDescent="0.3">
      <c r="A258" s="106" t="s">
        <v>2</v>
      </c>
      <c r="B258" s="12" t="s">
        <v>6</v>
      </c>
      <c r="C258" s="22">
        <v>0</v>
      </c>
      <c r="D258" s="22">
        <v>2</v>
      </c>
      <c r="E258" s="22">
        <v>12</v>
      </c>
      <c r="F258" s="22">
        <v>7</v>
      </c>
      <c r="G258" s="22">
        <v>2</v>
      </c>
      <c r="H258" s="23">
        <f>SUM(C258:G258)</f>
        <v>23</v>
      </c>
    </row>
    <row r="259" spans="1:8" ht="15" customHeight="1" x14ac:dyDescent="0.3">
      <c r="A259" s="106"/>
      <c r="B259" s="12" t="s">
        <v>7</v>
      </c>
      <c r="C259" s="22">
        <v>0</v>
      </c>
      <c r="D259" s="22">
        <v>55</v>
      </c>
      <c r="E259" s="22">
        <v>319</v>
      </c>
      <c r="F259" s="22">
        <v>122</v>
      </c>
      <c r="G259" s="22">
        <v>30</v>
      </c>
      <c r="H259" s="23">
        <f t="shared" ref="H259:H269" si="47">SUM(C259:G259)</f>
        <v>526</v>
      </c>
    </row>
    <row r="260" spans="1:8" ht="15" customHeight="1" x14ac:dyDescent="0.3">
      <c r="A260" s="106"/>
      <c r="B260" s="12" t="s">
        <v>8</v>
      </c>
      <c r="C260" s="22">
        <v>0</v>
      </c>
      <c r="D260" s="22">
        <v>104</v>
      </c>
      <c r="E260" s="22">
        <v>637</v>
      </c>
      <c r="F260" s="22">
        <v>232</v>
      </c>
      <c r="G260" s="22">
        <v>58</v>
      </c>
      <c r="H260" s="23">
        <f t="shared" si="47"/>
        <v>1031</v>
      </c>
    </row>
    <row r="261" spans="1:8" ht="15" customHeight="1" x14ac:dyDescent="0.3">
      <c r="A261" s="107" t="s">
        <v>3</v>
      </c>
      <c r="B261" s="13" t="s">
        <v>6</v>
      </c>
      <c r="C261" s="20">
        <v>2</v>
      </c>
      <c r="D261" s="20">
        <v>13</v>
      </c>
      <c r="E261" s="20">
        <v>18</v>
      </c>
      <c r="F261" s="20">
        <v>6</v>
      </c>
      <c r="G261" s="20">
        <v>0</v>
      </c>
      <c r="H261" s="21">
        <f t="shared" si="47"/>
        <v>39</v>
      </c>
    </row>
    <row r="262" spans="1:8" ht="15" customHeight="1" x14ac:dyDescent="0.3">
      <c r="A262" s="107"/>
      <c r="B262" s="13" t="s">
        <v>7</v>
      </c>
      <c r="C262" s="20">
        <v>48</v>
      </c>
      <c r="D262" s="20">
        <v>305</v>
      </c>
      <c r="E262" s="20">
        <v>548</v>
      </c>
      <c r="F262" s="20">
        <v>103</v>
      </c>
      <c r="G262" s="20">
        <v>0</v>
      </c>
      <c r="H262" s="21">
        <f t="shared" si="47"/>
        <v>1004</v>
      </c>
    </row>
    <row r="263" spans="1:8" ht="15" customHeight="1" x14ac:dyDescent="0.3">
      <c r="A263" s="107"/>
      <c r="B263" s="13" t="s">
        <v>8</v>
      </c>
      <c r="C263" s="20">
        <v>105</v>
      </c>
      <c r="D263" s="20">
        <v>659</v>
      </c>
      <c r="E263" s="20">
        <v>1117</v>
      </c>
      <c r="F263" s="20">
        <v>196</v>
      </c>
      <c r="G263" s="20">
        <v>0</v>
      </c>
      <c r="H263" s="21">
        <f t="shared" si="47"/>
        <v>2077</v>
      </c>
    </row>
    <row r="264" spans="1:8" ht="15" customHeight="1" x14ac:dyDescent="0.3">
      <c r="A264" s="106" t="s">
        <v>4</v>
      </c>
      <c r="B264" s="12" t="s">
        <v>6</v>
      </c>
      <c r="C264" s="22">
        <v>1</v>
      </c>
      <c r="D264" s="22">
        <v>1</v>
      </c>
      <c r="E264" s="22">
        <v>20</v>
      </c>
      <c r="F264" s="22">
        <v>11</v>
      </c>
      <c r="G264" s="22">
        <v>1</v>
      </c>
      <c r="H264" s="23">
        <f t="shared" si="47"/>
        <v>34</v>
      </c>
    </row>
    <row r="265" spans="1:8" ht="15" customHeight="1" x14ac:dyDescent="0.3">
      <c r="A265" s="106"/>
      <c r="B265" s="12" t="s">
        <v>7</v>
      </c>
      <c r="C265" s="22">
        <v>14</v>
      </c>
      <c r="D265" s="22">
        <v>28</v>
      </c>
      <c r="E265" s="22">
        <v>532</v>
      </c>
      <c r="F265" s="22">
        <v>275</v>
      </c>
      <c r="G265" s="22">
        <v>15</v>
      </c>
      <c r="H265" s="23">
        <f t="shared" si="47"/>
        <v>864</v>
      </c>
    </row>
    <row r="266" spans="1:8" ht="15" customHeight="1" x14ac:dyDescent="0.3">
      <c r="A266" s="106"/>
      <c r="B266" s="12" t="s">
        <v>8</v>
      </c>
      <c r="C266" s="22">
        <v>32</v>
      </c>
      <c r="D266" s="22">
        <v>56</v>
      </c>
      <c r="E266" s="22">
        <v>1067</v>
      </c>
      <c r="F266" s="22">
        <v>521</v>
      </c>
      <c r="G266" s="22">
        <v>30</v>
      </c>
      <c r="H266" s="23">
        <f t="shared" si="47"/>
        <v>1706</v>
      </c>
    </row>
    <row r="267" spans="1:8" ht="15" customHeight="1" x14ac:dyDescent="0.3">
      <c r="A267" s="107" t="s">
        <v>5</v>
      </c>
      <c r="B267" s="13" t="s">
        <v>6</v>
      </c>
      <c r="C267" s="20">
        <v>0</v>
      </c>
      <c r="D267" s="20">
        <v>1</v>
      </c>
      <c r="E267" s="20">
        <v>17</v>
      </c>
      <c r="F267" s="20">
        <v>10</v>
      </c>
      <c r="G267" s="20">
        <v>1</v>
      </c>
      <c r="H267" s="21">
        <f t="shared" si="47"/>
        <v>29</v>
      </c>
    </row>
    <row r="268" spans="1:8" ht="15" customHeight="1" x14ac:dyDescent="0.3">
      <c r="A268" s="107"/>
      <c r="B268" s="13" t="s">
        <v>7</v>
      </c>
      <c r="C268" s="20">
        <v>0</v>
      </c>
      <c r="D268" s="20">
        <v>10</v>
      </c>
      <c r="E268" s="20">
        <v>352</v>
      </c>
      <c r="F268" s="20">
        <v>149</v>
      </c>
      <c r="G268" s="20">
        <v>12</v>
      </c>
      <c r="H268" s="21">
        <f t="shared" si="47"/>
        <v>523</v>
      </c>
    </row>
    <row r="269" spans="1:8" ht="15" customHeight="1" x14ac:dyDescent="0.3">
      <c r="A269" s="107"/>
      <c r="B269" s="13" t="s">
        <v>8</v>
      </c>
      <c r="C269" s="20">
        <v>0</v>
      </c>
      <c r="D269" s="20">
        <v>21</v>
      </c>
      <c r="E269" s="20">
        <v>723</v>
      </c>
      <c r="F269" s="20">
        <v>307</v>
      </c>
      <c r="G269" s="20">
        <v>24</v>
      </c>
      <c r="H269" s="21">
        <f t="shared" si="47"/>
        <v>1075</v>
      </c>
    </row>
    <row r="270" spans="1:8" ht="15" customHeight="1" x14ac:dyDescent="0.3">
      <c r="A270" s="108" t="s">
        <v>1</v>
      </c>
      <c r="B270" s="73" t="s">
        <v>6</v>
      </c>
      <c r="C270" s="74">
        <f>C258+C261+C264+C267</f>
        <v>3</v>
      </c>
      <c r="D270" s="74">
        <f t="shared" ref="D270:H270" si="48">D258+D261+D264+D267</f>
        <v>17</v>
      </c>
      <c r="E270" s="74">
        <f t="shared" si="48"/>
        <v>67</v>
      </c>
      <c r="F270" s="74">
        <f t="shared" si="48"/>
        <v>34</v>
      </c>
      <c r="G270" s="74">
        <f t="shared" si="48"/>
        <v>4</v>
      </c>
      <c r="H270" s="74">
        <f t="shared" si="48"/>
        <v>125</v>
      </c>
    </row>
    <row r="271" spans="1:8" ht="15" customHeight="1" x14ac:dyDescent="0.3">
      <c r="A271" s="108"/>
      <c r="B271" s="73" t="s">
        <v>7</v>
      </c>
      <c r="C271" s="74">
        <f>C259+C262+C265+C268</f>
        <v>62</v>
      </c>
      <c r="D271" s="74">
        <f t="shared" ref="D271:H271" si="49">D259+D262+D265+D268</f>
        <v>398</v>
      </c>
      <c r="E271" s="74">
        <f t="shared" si="49"/>
        <v>1751</v>
      </c>
      <c r="F271" s="74">
        <f t="shared" si="49"/>
        <v>649</v>
      </c>
      <c r="G271" s="74">
        <f t="shared" si="49"/>
        <v>57</v>
      </c>
      <c r="H271" s="74">
        <f t="shared" si="49"/>
        <v>2917</v>
      </c>
    </row>
    <row r="272" spans="1:8" ht="15" customHeight="1" x14ac:dyDescent="0.3">
      <c r="A272" s="108"/>
      <c r="B272" s="73" t="s">
        <v>8</v>
      </c>
      <c r="C272" s="74">
        <f>C260+C263+C266+C269</f>
        <v>137</v>
      </c>
      <c r="D272" s="74">
        <f t="shared" ref="D272:H272" si="50">D260+D263+D266+D269</f>
        <v>840</v>
      </c>
      <c r="E272" s="74">
        <f t="shared" si="50"/>
        <v>3544</v>
      </c>
      <c r="F272" s="74">
        <f t="shared" si="50"/>
        <v>1256</v>
      </c>
      <c r="G272" s="74">
        <f t="shared" si="50"/>
        <v>112</v>
      </c>
      <c r="H272" s="74">
        <f t="shared" si="50"/>
        <v>5889</v>
      </c>
    </row>
    <row r="273" spans="1:8" ht="15" customHeight="1" x14ac:dyDescent="0.3">
      <c r="A273" s="4" t="s">
        <v>91</v>
      </c>
      <c r="B273" s="2"/>
      <c r="C273" s="2"/>
      <c r="D273" s="2"/>
      <c r="E273" s="2"/>
      <c r="F273" s="2"/>
    </row>
    <row r="276" spans="1:8" ht="15" customHeight="1" x14ac:dyDescent="0.3">
      <c r="A276" s="102" t="s">
        <v>56</v>
      </c>
      <c r="B276" s="102"/>
      <c r="C276" s="102"/>
      <c r="D276" s="102"/>
      <c r="E276" s="102"/>
      <c r="F276" s="102"/>
      <c r="G276" s="102"/>
      <c r="H276" s="102"/>
    </row>
    <row r="277" spans="1:8" ht="15" customHeight="1" x14ac:dyDescent="0.3">
      <c r="A277" s="102" t="s">
        <v>60</v>
      </c>
      <c r="B277" s="102"/>
      <c r="C277" s="102"/>
      <c r="D277" s="102"/>
      <c r="E277" s="102"/>
      <c r="F277" s="102"/>
      <c r="G277" s="102"/>
      <c r="H277" s="102"/>
    </row>
    <row r="278" spans="1:8" ht="15" customHeight="1" x14ac:dyDescent="0.3">
      <c r="A278" s="71" t="s">
        <v>86</v>
      </c>
      <c r="B278" s="72"/>
      <c r="C278" s="72" t="s">
        <v>14</v>
      </c>
      <c r="D278" s="72" t="s">
        <v>15</v>
      </c>
      <c r="E278" s="72" t="s">
        <v>16</v>
      </c>
      <c r="F278" s="72" t="s">
        <v>17</v>
      </c>
      <c r="G278" s="72" t="s">
        <v>0</v>
      </c>
      <c r="H278" s="72" t="s">
        <v>1</v>
      </c>
    </row>
    <row r="279" spans="1:8" ht="15" customHeight="1" x14ac:dyDescent="0.3">
      <c r="A279" s="106" t="s">
        <v>2</v>
      </c>
      <c r="B279" s="12" t="s">
        <v>6</v>
      </c>
      <c r="C279" s="22">
        <v>0</v>
      </c>
      <c r="D279" s="22">
        <v>2</v>
      </c>
      <c r="E279" s="22">
        <v>11</v>
      </c>
      <c r="F279" s="22">
        <v>9</v>
      </c>
      <c r="G279" s="22">
        <v>3</v>
      </c>
      <c r="H279" s="23">
        <f>SUM(C279:G279)</f>
        <v>25</v>
      </c>
    </row>
    <row r="280" spans="1:8" ht="15" customHeight="1" x14ac:dyDescent="0.3">
      <c r="A280" s="106"/>
      <c r="B280" s="12" t="s">
        <v>7</v>
      </c>
      <c r="C280" s="22">
        <v>0</v>
      </c>
      <c r="D280" s="22">
        <v>55</v>
      </c>
      <c r="E280" s="22">
        <v>287</v>
      </c>
      <c r="F280" s="22">
        <v>146</v>
      </c>
      <c r="G280" s="22">
        <v>40</v>
      </c>
      <c r="H280" s="23">
        <f t="shared" ref="H280:H290" si="51">SUM(C280:G280)</f>
        <v>528</v>
      </c>
    </row>
    <row r="281" spans="1:8" ht="15" customHeight="1" x14ac:dyDescent="0.3">
      <c r="A281" s="106"/>
      <c r="B281" s="12" t="s">
        <v>8</v>
      </c>
      <c r="C281" s="22">
        <v>0</v>
      </c>
      <c r="D281" s="22">
        <v>104</v>
      </c>
      <c r="E281" s="22">
        <v>599</v>
      </c>
      <c r="F281" s="22">
        <v>278</v>
      </c>
      <c r="G281" s="22">
        <v>78</v>
      </c>
      <c r="H281" s="23">
        <f t="shared" si="51"/>
        <v>1059</v>
      </c>
    </row>
    <row r="282" spans="1:8" ht="15" customHeight="1" x14ac:dyDescent="0.3">
      <c r="A282" s="107" t="s">
        <v>3</v>
      </c>
      <c r="B282" s="13" t="s">
        <v>6</v>
      </c>
      <c r="C282" s="20">
        <v>1</v>
      </c>
      <c r="D282" s="20">
        <v>9</v>
      </c>
      <c r="E282" s="20">
        <v>16</v>
      </c>
      <c r="F282" s="20">
        <v>7</v>
      </c>
      <c r="G282" s="20">
        <v>0</v>
      </c>
      <c r="H282" s="21">
        <f t="shared" si="51"/>
        <v>33</v>
      </c>
    </row>
    <row r="283" spans="1:8" ht="15" customHeight="1" x14ac:dyDescent="0.3">
      <c r="A283" s="107"/>
      <c r="B283" s="13" t="s">
        <v>7</v>
      </c>
      <c r="C283" s="20">
        <v>38</v>
      </c>
      <c r="D283" s="20">
        <v>225</v>
      </c>
      <c r="E283" s="20">
        <v>509</v>
      </c>
      <c r="F283" s="20">
        <v>139</v>
      </c>
      <c r="G283" s="20">
        <v>0</v>
      </c>
      <c r="H283" s="21">
        <f t="shared" si="51"/>
        <v>911</v>
      </c>
    </row>
    <row r="284" spans="1:8" ht="15" customHeight="1" x14ac:dyDescent="0.3">
      <c r="A284" s="107"/>
      <c r="B284" s="13" t="s">
        <v>8</v>
      </c>
      <c r="C284" s="20">
        <v>86</v>
      </c>
      <c r="D284" s="20">
        <v>495</v>
      </c>
      <c r="E284" s="20">
        <v>1020</v>
      </c>
      <c r="F284" s="20">
        <v>264</v>
      </c>
      <c r="G284" s="20">
        <v>0</v>
      </c>
      <c r="H284" s="21">
        <f t="shared" si="51"/>
        <v>1865</v>
      </c>
    </row>
    <row r="285" spans="1:8" ht="15" customHeight="1" x14ac:dyDescent="0.3">
      <c r="A285" s="106" t="s">
        <v>4</v>
      </c>
      <c r="B285" s="12" t="s">
        <v>6</v>
      </c>
      <c r="C285" s="22">
        <v>1</v>
      </c>
      <c r="D285" s="22">
        <v>1</v>
      </c>
      <c r="E285" s="22">
        <v>20</v>
      </c>
      <c r="F285" s="22">
        <v>11</v>
      </c>
      <c r="G285" s="22">
        <v>1</v>
      </c>
      <c r="H285" s="23">
        <f t="shared" si="51"/>
        <v>34</v>
      </c>
    </row>
    <row r="286" spans="1:8" ht="15" customHeight="1" x14ac:dyDescent="0.3">
      <c r="A286" s="106"/>
      <c r="B286" s="12" t="s">
        <v>7</v>
      </c>
      <c r="C286" s="22">
        <v>14</v>
      </c>
      <c r="D286" s="22">
        <v>28</v>
      </c>
      <c r="E286" s="22">
        <v>507</v>
      </c>
      <c r="F286" s="22">
        <v>276</v>
      </c>
      <c r="G286" s="22">
        <v>15</v>
      </c>
      <c r="H286" s="23">
        <f t="shared" si="51"/>
        <v>840</v>
      </c>
    </row>
    <row r="287" spans="1:8" ht="15" customHeight="1" x14ac:dyDescent="0.3">
      <c r="A287" s="106"/>
      <c r="B287" s="12" t="s">
        <v>8</v>
      </c>
      <c r="C287" s="22">
        <v>32</v>
      </c>
      <c r="D287" s="22">
        <v>56</v>
      </c>
      <c r="E287" s="22">
        <v>1025</v>
      </c>
      <c r="F287" s="22">
        <v>521</v>
      </c>
      <c r="G287" s="22">
        <v>30</v>
      </c>
      <c r="H287" s="23">
        <f t="shared" si="51"/>
        <v>1664</v>
      </c>
    </row>
    <row r="288" spans="1:8" ht="15" customHeight="1" x14ac:dyDescent="0.3">
      <c r="A288" s="107" t="s">
        <v>5</v>
      </c>
      <c r="B288" s="13" t="s">
        <v>6</v>
      </c>
      <c r="C288" s="20">
        <v>0</v>
      </c>
      <c r="D288" s="20">
        <v>1</v>
      </c>
      <c r="E288" s="20">
        <v>17</v>
      </c>
      <c r="F288" s="20">
        <v>12</v>
      </c>
      <c r="G288" s="20">
        <v>1</v>
      </c>
      <c r="H288" s="21">
        <f t="shared" si="51"/>
        <v>31</v>
      </c>
    </row>
    <row r="289" spans="1:8" ht="15" customHeight="1" x14ac:dyDescent="0.3">
      <c r="A289" s="107"/>
      <c r="B289" s="13" t="s">
        <v>7</v>
      </c>
      <c r="C289" s="20">
        <v>0</v>
      </c>
      <c r="D289" s="20">
        <v>10</v>
      </c>
      <c r="E289" s="20">
        <v>326</v>
      </c>
      <c r="F289" s="20">
        <v>185</v>
      </c>
      <c r="G289" s="20">
        <v>12</v>
      </c>
      <c r="H289" s="21">
        <f t="shared" si="51"/>
        <v>533</v>
      </c>
    </row>
    <row r="290" spans="1:8" ht="15" customHeight="1" x14ac:dyDescent="0.3">
      <c r="A290" s="107"/>
      <c r="B290" s="13" t="s">
        <v>8</v>
      </c>
      <c r="C290" s="20">
        <v>0</v>
      </c>
      <c r="D290" s="20">
        <v>21</v>
      </c>
      <c r="E290" s="20">
        <v>676</v>
      </c>
      <c r="F290" s="20">
        <v>387</v>
      </c>
      <c r="G290" s="20">
        <v>24</v>
      </c>
      <c r="H290" s="21">
        <f t="shared" si="51"/>
        <v>1108</v>
      </c>
    </row>
    <row r="291" spans="1:8" ht="15" customHeight="1" x14ac:dyDescent="0.3">
      <c r="A291" s="108" t="s">
        <v>1</v>
      </c>
      <c r="B291" s="73" t="s">
        <v>6</v>
      </c>
      <c r="C291" s="74">
        <f>C279+C282+C285+C288</f>
        <v>2</v>
      </c>
      <c r="D291" s="74">
        <f t="shared" ref="D291:H291" si="52">D279+D282+D285+D288</f>
        <v>13</v>
      </c>
      <c r="E291" s="74">
        <f t="shared" si="52"/>
        <v>64</v>
      </c>
      <c r="F291" s="74">
        <f t="shared" si="52"/>
        <v>39</v>
      </c>
      <c r="G291" s="74">
        <f t="shared" si="52"/>
        <v>5</v>
      </c>
      <c r="H291" s="74">
        <f t="shared" si="52"/>
        <v>123</v>
      </c>
    </row>
    <row r="292" spans="1:8" ht="15" customHeight="1" x14ac:dyDescent="0.3">
      <c r="A292" s="108"/>
      <c r="B292" s="73" t="s">
        <v>7</v>
      </c>
      <c r="C292" s="74">
        <f>C280+C283+C286+C289</f>
        <v>52</v>
      </c>
      <c r="D292" s="74">
        <f t="shared" ref="D292:H292" si="53">D280+D283+D286+D289</f>
        <v>318</v>
      </c>
      <c r="E292" s="74">
        <f t="shared" si="53"/>
        <v>1629</v>
      </c>
      <c r="F292" s="74">
        <f t="shared" si="53"/>
        <v>746</v>
      </c>
      <c r="G292" s="74">
        <f t="shared" si="53"/>
        <v>67</v>
      </c>
      <c r="H292" s="74">
        <f t="shared" si="53"/>
        <v>2812</v>
      </c>
    </row>
    <row r="293" spans="1:8" ht="15" customHeight="1" x14ac:dyDescent="0.3">
      <c r="A293" s="108"/>
      <c r="B293" s="73" t="s">
        <v>8</v>
      </c>
      <c r="C293" s="74">
        <f>C281+C284+C287+C290</f>
        <v>118</v>
      </c>
      <c r="D293" s="74">
        <f t="shared" ref="D293:H293" si="54">D281+D284+D287+D290</f>
        <v>676</v>
      </c>
      <c r="E293" s="74">
        <f t="shared" si="54"/>
        <v>3320</v>
      </c>
      <c r="F293" s="74">
        <f t="shared" si="54"/>
        <v>1450</v>
      </c>
      <c r="G293" s="74">
        <f t="shared" si="54"/>
        <v>132</v>
      </c>
      <c r="H293" s="74">
        <f t="shared" si="54"/>
        <v>5696</v>
      </c>
    </row>
    <row r="294" spans="1:8" ht="15" customHeight="1" x14ac:dyDescent="0.3">
      <c r="A294" s="4" t="s">
        <v>91</v>
      </c>
      <c r="B294" s="2"/>
      <c r="C294" s="2"/>
      <c r="D294" s="2"/>
      <c r="E294" s="2"/>
      <c r="F294" s="63"/>
    </row>
    <row r="297" spans="1:8" ht="15" customHeight="1" x14ac:dyDescent="0.3">
      <c r="A297" s="102" t="s">
        <v>56</v>
      </c>
      <c r="B297" s="102"/>
      <c r="C297" s="102"/>
      <c r="D297" s="102"/>
      <c r="E297" s="102"/>
      <c r="F297" s="102"/>
      <c r="G297" s="102"/>
      <c r="H297" s="102"/>
    </row>
    <row r="298" spans="1:8" ht="15" customHeight="1" x14ac:dyDescent="0.3">
      <c r="A298" s="102" t="s">
        <v>59</v>
      </c>
      <c r="B298" s="102"/>
      <c r="C298" s="102"/>
      <c r="D298" s="102"/>
      <c r="E298" s="102"/>
      <c r="F298" s="102"/>
      <c r="G298" s="102"/>
      <c r="H298" s="102"/>
    </row>
    <row r="299" spans="1:8" ht="15" customHeight="1" x14ac:dyDescent="0.3">
      <c r="A299" s="71" t="s">
        <v>86</v>
      </c>
      <c r="B299" s="72"/>
      <c r="C299" s="72" t="s">
        <v>14</v>
      </c>
      <c r="D299" s="72" t="s">
        <v>15</v>
      </c>
      <c r="E299" s="72" t="s">
        <v>16</v>
      </c>
      <c r="F299" s="72" t="s">
        <v>17</v>
      </c>
      <c r="G299" s="72" t="s">
        <v>0</v>
      </c>
      <c r="H299" s="72" t="s">
        <v>1</v>
      </c>
    </row>
    <row r="300" spans="1:8" ht="15" customHeight="1" x14ac:dyDescent="0.3">
      <c r="A300" s="106" t="s">
        <v>2</v>
      </c>
      <c r="B300" s="12" t="s">
        <v>6</v>
      </c>
      <c r="C300" s="22">
        <v>0</v>
      </c>
      <c r="D300" s="22">
        <v>2</v>
      </c>
      <c r="E300" s="22">
        <v>11</v>
      </c>
      <c r="F300" s="22">
        <v>9</v>
      </c>
      <c r="G300" s="22">
        <v>3</v>
      </c>
      <c r="H300" s="23">
        <f>SUM(C300:G300)</f>
        <v>25</v>
      </c>
    </row>
    <row r="301" spans="1:8" ht="15" customHeight="1" x14ac:dyDescent="0.3">
      <c r="A301" s="106"/>
      <c r="B301" s="12" t="s">
        <v>7</v>
      </c>
      <c r="C301" s="22">
        <v>0</v>
      </c>
      <c r="D301" s="22">
        <v>55</v>
      </c>
      <c r="E301" s="22">
        <v>287</v>
      </c>
      <c r="F301" s="22">
        <v>146</v>
      </c>
      <c r="G301" s="22">
        <v>40</v>
      </c>
      <c r="H301" s="23">
        <f t="shared" ref="H301:H311" si="55">SUM(C301:G301)</f>
        <v>528</v>
      </c>
    </row>
    <row r="302" spans="1:8" ht="15" customHeight="1" x14ac:dyDescent="0.3">
      <c r="A302" s="106"/>
      <c r="B302" s="12" t="s">
        <v>8</v>
      </c>
      <c r="C302" s="22">
        <v>0</v>
      </c>
      <c r="D302" s="22">
        <v>104</v>
      </c>
      <c r="E302" s="22">
        <v>599</v>
      </c>
      <c r="F302" s="22">
        <v>278</v>
      </c>
      <c r="G302" s="22">
        <v>78</v>
      </c>
      <c r="H302" s="23">
        <f t="shared" si="55"/>
        <v>1059</v>
      </c>
    </row>
    <row r="303" spans="1:8" ht="15" customHeight="1" x14ac:dyDescent="0.3">
      <c r="A303" s="107" t="s">
        <v>3</v>
      </c>
      <c r="B303" s="13" t="s">
        <v>6</v>
      </c>
      <c r="C303" s="20">
        <v>1</v>
      </c>
      <c r="D303" s="20">
        <v>9</v>
      </c>
      <c r="E303" s="20">
        <v>16</v>
      </c>
      <c r="F303" s="20">
        <v>7</v>
      </c>
      <c r="G303" s="20">
        <v>0</v>
      </c>
      <c r="H303" s="21">
        <f t="shared" si="55"/>
        <v>33</v>
      </c>
    </row>
    <row r="304" spans="1:8" ht="15" customHeight="1" x14ac:dyDescent="0.3">
      <c r="A304" s="107"/>
      <c r="B304" s="13" t="s">
        <v>7</v>
      </c>
      <c r="C304" s="20">
        <v>38</v>
      </c>
      <c r="D304" s="20">
        <v>225</v>
      </c>
      <c r="E304" s="20">
        <v>509</v>
      </c>
      <c r="F304" s="20">
        <v>139</v>
      </c>
      <c r="G304" s="20">
        <v>0</v>
      </c>
      <c r="H304" s="21">
        <f t="shared" si="55"/>
        <v>911</v>
      </c>
    </row>
    <row r="305" spans="1:8" ht="15" customHeight="1" x14ac:dyDescent="0.3">
      <c r="A305" s="107"/>
      <c r="B305" s="13" t="s">
        <v>8</v>
      </c>
      <c r="C305" s="20">
        <v>86</v>
      </c>
      <c r="D305" s="20">
        <v>495</v>
      </c>
      <c r="E305" s="20">
        <v>1020</v>
      </c>
      <c r="F305" s="20">
        <v>264</v>
      </c>
      <c r="G305" s="20">
        <v>0</v>
      </c>
      <c r="H305" s="21">
        <f t="shared" si="55"/>
        <v>1865</v>
      </c>
    </row>
    <row r="306" spans="1:8" ht="15" customHeight="1" x14ac:dyDescent="0.3">
      <c r="A306" s="106" t="s">
        <v>4</v>
      </c>
      <c r="B306" s="12" t="s">
        <v>6</v>
      </c>
      <c r="C306" s="22">
        <v>1</v>
      </c>
      <c r="D306" s="22">
        <v>1</v>
      </c>
      <c r="E306" s="22">
        <v>20</v>
      </c>
      <c r="F306" s="22">
        <v>11</v>
      </c>
      <c r="G306" s="22">
        <v>1</v>
      </c>
      <c r="H306" s="23">
        <f t="shared" si="55"/>
        <v>34</v>
      </c>
    </row>
    <row r="307" spans="1:8" ht="15" customHeight="1" x14ac:dyDescent="0.3">
      <c r="A307" s="106"/>
      <c r="B307" s="12" t="s">
        <v>7</v>
      </c>
      <c r="C307" s="22">
        <v>14</v>
      </c>
      <c r="D307" s="22">
        <v>28</v>
      </c>
      <c r="E307" s="22">
        <v>507</v>
      </c>
      <c r="F307" s="22">
        <v>275</v>
      </c>
      <c r="G307" s="22">
        <v>15</v>
      </c>
      <c r="H307" s="23">
        <f t="shared" si="55"/>
        <v>839</v>
      </c>
    </row>
    <row r="308" spans="1:8" ht="15" customHeight="1" x14ac:dyDescent="0.3">
      <c r="A308" s="106"/>
      <c r="B308" s="12" t="s">
        <v>8</v>
      </c>
      <c r="C308" s="22">
        <v>32</v>
      </c>
      <c r="D308" s="22">
        <v>56</v>
      </c>
      <c r="E308" s="22">
        <v>1025</v>
      </c>
      <c r="F308" s="22">
        <v>515</v>
      </c>
      <c r="G308" s="22">
        <v>30</v>
      </c>
      <c r="H308" s="23">
        <f t="shared" si="55"/>
        <v>1658</v>
      </c>
    </row>
    <row r="309" spans="1:8" ht="15" customHeight="1" x14ac:dyDescent="0.3">
      <c r="A309" s="107" t="s">
        <v>5</v>
      </c>
      <c r="B309" s="13" t="s">
        <v>6</v>
      </c>
      <c r="C309" s="20">
        <v>0</v>
      </c>
      <c r="D309" s="20">
        <v>1</v>
      </c>
      <c r="E309" s="20">
        <v>17</v>
      </c>
      <c r="F309" s="20">
        <v>12</v>
      </c>
      <c r="G309" s="20">
        <v>1</v>
      </c>
      <c r="H309" s="21">
        <f t="shared" si="55"/>
        <v>31</v>
      </c>
    </row>
    <row r="310" spans="1:8" ht="15" customHeight="1" x14ac:dyDescent="0.3">
      <c r="A310" s="107"/>
      <c r="B310" s="13" t="s">
        <v>7</v>
      </c>
      <c r="C310" s="20">
        <v>0</v>
      </c>
      <c r="D310" s="20">
        <v>10</v>
      </c>
      <c r="E310" s="20">
        <v>326</v>
      </c>
      <c r="F310" s="20">
        <v>185</v>
      </c>
      <c r="G310" s="20">
        <v>12</v>
      </c>
      <c r="H310" s="21">
        <f t="shared" si="55"/>
        <v>533</v>
      </c>
    </row>
    <row r="311" spans="1:8" ht="15" customHeight="1" x14ac:dyDescent="0.3">
      <c r="A311" s="107"/>
      <c r="B311" s="13" t="s">
        <v>8</v>
      </c>
      <c r="C311" s="20">
        <v>0</v>
      </c>
      <c r="D311" s="20">
        <v>21</v>
      </c>
      <c r="E311" s="20">
        <v>676</v>
      </c>
      <c r="F311" s="20">
        <v>387</v>
      </c>
      <c r="G311" s="20">
        <v>24</v>
      </c>
      <c r="H311" s="21">
        <f t="shared" si="55"/>
        <v>1108</v>
      </c>
    </row>
    <row r="312" spans="1:8" ht="15" customHeight="1" x14ac:dyDescent="0.3">
      <c r="A312" s="108" t="s">
        <v>1</v>
      </c>
      <c r="B312" s="73" t="s">
        <v>6</v>
      </c>
      <c r="C312" s="74">
        <f>C300+C303+C306+C309</f>
        <v>2</v>
      </c>
      <c r="D312" s="74">
        <f t="shared" ref="D312:H312" si="56">D300+D303+D306+D309</f>
        <v>13</v>
      </c>
      <c r="E312" s="74">
        <f t="shared" si="56"/>
        <v>64</v>
      </c>
      <c r="F312" s="74">
        <f t="shared" si="56"/>
        <v>39</v>
      </c>
      <c r="G312" s="74">
        <f t="shared" si="56"/>
        <v>5</v>
      </c>
      <c r="H312" s="74">
        <f t="shared" si="56"/>
        <v>123</v>
      </c>
    </row>
    <row r="313" spans="1:8" ht="15" customHeight="1" x14ac:dyDescent="0.3">
      <c r="A313" s="108"/>
      <c r="B313" s="73" t="s">
        <v>7</v>
      </c>
      <c r="C313" s="74">
        <f>C301+C304+C307+C310</f>
        <v>52</v>
      </c>
      <c r="D313" s="74">
        <f t="shared" ref="D313:H313" si="57">D301+D304+D307+D310</f>
        <v>318</v>
      </c>
      <c r="E313" s="74">
        <f t="shared" si="57"/>
        <v>1629</v>
      </c>
      <c r="F313" s="74">
        <f t="shared" si="57"/>
        <v>745</v>
      </c>
      <c r="G313" s="74">
        <f t="shared" si="57"/>
        <v>67</v>
      </c>
      <c r="H313" s="74">
        <f t="shared" si="57"/>
        <v>2811</v>
      </c>
    </row>
    <row r="314" spans="1:8" ht="15" customHeight="1" x14ac:dyDescent="0.3">
      <c r="A314" s="108"/>
      <c r="B314" s="73" t="s">
        <v>8</v>
      </c>
      <c r="C314" s="74">
        <f>C302+C305+C308+C311</f>
        <v>118</v>
      </c>
      <c r="D314" s="74">
        <f t="shared" ref="D314:H314" si="58">D302+D305+D308+D311</f>
        <v>676</v>
      </c>
      <c r="E314" s="74">
        <f t="shared" si="58"/>
        <v>3320</v>
      </c>
      <c r="F314" s="74">
        <f t="shared" si="58"/>
        <v>1444</v>
      </c>
      <c r="G314" s="74">
        <f t="shared" si="58"/>
        <v>132</v>
      </c>
      <c r="H314" s="74">
        <f t="shared" si="58"/>
        <v>5690</v>
      </c>
    </row>
    <row r="315" spans="1:8" ht="15" customHeight="1" x14ac:dyDescent="0.3">
      <c r="A315" s="4" t="s">
        <v>91</v>
      </c>
      <c r="B315" s="63"/>
      <c r="C315" s="63"/>
      <c r="D315" s="63"/>
      <c r="E315" s="63"/>
      <c r="F315" s="63"/>
    </row>
    <row r="318" spans="1:8" ht="15" customHeight="1" x14ac:dyDescent="0.3">
      <c r="A318" s="102" t="s">
        <v>56</v>
      </c>
      <c r="B318" s="102"/>
      <c r="C318" s="102"/>
      <c r="D318" s="102"/>
      <c r="E318" s="102"/>
      <c r="F318" s="102"/>
      <c r="G318" s="102"/>
      <c r="H318" s="102"/>
    </row>
    <row r="319" spans="1:8" ht="15" customHeight="1" x14ac:dyDescent="0.3">
      <c r="A319" s="102" t="s">
        <v>58</v>
      </c>
      <c r="B319" s="102"/>
      <c r="C319" s="102"/>
      <c r="D319" s="102"/>
      <c r="E319" s="102"/>
      <c r="F319" s="102"/>
      <c r="G319" s="102"/>
      <c r="H319" s="102"/>
    </row>
    <row r="320" spans="1:8" ht="15" customHeight="1" x14ac:dyDescent="0.3">
      <c r="A320" s="71" t="s">
        <v>86</v>
      </c>
      <c r="B320" s="72"/>
      <c r="C320" s="72" t="s">
        <v>14</v>
      </c>
      <c r="D320" s="72" t="s">
        <v>15</v>
      </c>
      <c r="E320" s="72" t="s">
        <v>16</v>
      </c>
      <c r="F320" s="72" t="s">
        <v>17</v>
      </c>
      <c r="G320" s="72" t="s">
        <v>0</v>
      </c>
      <c r="H320" s="72" t="s">
        <v>1</v>
      </c>
    </row>
    <row r="321" spans="1:8" ht="15" customHeight="1" x14ac:dyDescent="0.3">
      <c r="A321" s="106" t="s">
        <v>2</v>
      </c>
      <c r="B321" s="12" t="s">
        <v>6</v>
      </c>
      <c r="C321" s="22">
        <v>0</v>
      </c>
      <c r="D321" s="22">
        <v>1</v>
      </c>
      <c r="E321" s="22">
        <v>11</v>
      </c>
      <c r="F321" s="22">
        <v>9</v>
      </c>
      <c r="G321" s="22">
        <v>3</v>
      </c>
      <c r="H321" s="23">
        <f>SUM(C321:G321)</f>
        <v>24</v>
      </c>
    </row>
    <row r="322" spans="1:8" ht="15" customHeight="1" x14ac:dyDescent="0.3">
      <c r="A322" s="106"/>
      <c r="B322" s="12" t="s">
        <v>7</v>
      </c>
      <c r="C322" s="22">
        <v>0</v>
      </c>
      <c r="D322" s="22">
        <v>28</v>
      </c>
      <c r="E322" s="22">
        <v>298</v>
      </c>
      <c r="F322" s="22">
        <v>133</v>
      </c>
      <c r="G322" s="22">
        <v>40</v>
      </c>
      <c r="H322" s="23">
        <f t="shared" ref="H322:H332" si="59">SUM(C322:G322)</f>
        <v>499</v>
      </c>
    </row>
    <row r="323" spans="1:8" ht="15" customHeight="1" x14ac:dyDescent="0.3">
      <c r="A323" s="106"/>
      <c r="B323" s="12" t="s">
        <v>8</v>
      </c>
      <c r="C323" s="22">
        <v>0</v>
      </c>
      <c r="D323" s="22">
        <v>56</v>
      </c>
      <c r="E323" s="22">
        <v>628</v>
      </c>
      <c r="F323" s="22">
        <v>250</v>
      </c>
      <c r="G323" s="22">
        <v>78</v>
      </c>
      <c r="H323" s="23">
        <f t="shared" si="59"/>
        <v>1012</v>
      </c>
    </row>
    <row r="324" spans="1:8" ht="15" customHeight="1" x14ac:dyDescent="0.3">
      <c r="A324" s="107" t="s">
        <v>3</v>
      </c>
      <c r="B324" s="13" t="s">
        <v>6</v>
      </c>
      <c r="C324" s="20">
        <v>1</v>
      </c>
      <c r="D324" s="20">
        <v>9</v>
      </c>
      <c r="E324" s="20">
        <v>15</v>
      </c>
      <c r="F324" s="20">
        <v>9</v>
      </c>
      <c r="G324" s="20">
        <v>0</v>
      </c>
      <c r="H324" s="21">
        <f t="shared" si="59"/>
        <v>34</v>
      </c>
    </row>
    <row r="325" spans="1:8" ht="15" customHeight="1" x14ac:dyDescent="0.3">
      <c r="A325" s="107"/>
      <c r="B325" s="13" t="s">
        <v>7</v>
      </c>
      <c r="C325" s="20">
        <v>38</v>
      </c>
      <c r="D325" s="20">
        <v>225</v>
      </c>
      <c r="E325" s="20">
        <v>490</v>
      </c>
      <c r="F325" s="20">
        <v>168</v>
      </c>
      <c r="G325" s="20">
        <v>0</v>
      </c>
      <c r="H325" s="21">
        <f t="shared" si="59"/>
        <v>921</v>
      </c>
    </row>
    <row r="326" spans="1:8" ht="15" customHeight="1" x14ac:dyDescent="0.3">
      <c r="A326" s="107"/>
      <c r="B326" s="13" t="s">
        <v>8</v>
      </c>
      <c r="C326" s="20">
        <v>86</v>
      </c>
      <c r="D326" s="20">
        <v>495</v>
      </c>
      <c r="E326" s="20">
        <v>977</v>
      </c>
      <c r="F326" s="20">
        <v>307</v>
      </c>
      <c r="G326" s="20">
        <v>0</v>
      </c>
      <c r="H326" s="21">
        <f t="shared" si="59"/>
        <v>1865</v>
      </c>
    </row>
    <row r="327" spans="1:8" ht="15" customHeight="1" x14ac:dyDescent="0.3">
      <c r="A327" s="106" t="s">
        <v>4</v>
      </c>
      <c r="B327" s="12" t="s">
        <v>6</v>
      </c>
      <c r="C327" s="22">
        <v>1</v>
      </c>
      <c r="D327" s="22">
        <v>1</v>
      </c>
      <c r="E327" s="22">
        <v>20</v>
      </c>
      <c r="F327" s="22">
        <v>12</v>
      </c>
      <c r="G327" s="22">
        <v>1</v>
      </c>
      <c r="H327" s="23">
        <f t="shared" si="59"/>
        <v>35</v>
      </c>
    </row>
    <row r="328" spans="1:8" ht="15" customHeight="1" x14ac:dyDescent="0.3">
      <c r="A328" s="106"/>
      <c r="B328" s="12" t="s">
        <v>7</v>
      </c>
      <c r="C328" s="22">
        <v>14</v>
      </c>
      <c r="D328" s="22">
        <v>24</v>
      </c>
      <c r="E328" s="22">
        <v>464</v>
      </c>
      <c r="F328" s="22">
        <v>346</v>
      </c>
      <c r="G328" s="22">
        <v>15</v>
      </c>
      <c r="H328" s="23">
        <f t="shared" si="59"/>
        <v>863</v>
      </c>
    </row>
    <row r="329" spans="1:8" ht="15" customHeight="1" x14ac:dyDescent="0.3">
      <c r="A329" s="106"/>
      <c r="B329" s="12" t="s">
        <v>8</v>
      </c>
      <c r="C329" s="22">
        <v>32</v>
      </c>
      <c r="D329" s="22">
        <v>48</v>
      </c>
      <c r="E329" s="22">
        <v>939</v>
      </c>
      <c r="F329" s="22">
        <v>631</v>
      </c>
      <c r="G329" s="22">
        <v>30</v>
      </c>
      <c r="H329" s="23">
        <f t="shared" si="59"/>
        <v>1680</v>
      </c>
    </row>
    <row r="330" spans="1:8" ht="15" customHeight="1" x14ac:dyDescent="0.3">
      <c r="A330" s="107" t="s">
        <v>5</v>
      </c>
      <c r="B330" s="13" t="s">
        <v>6</v>
      </c>
      <c r="C330" s="20">
        <v>0</v>
      </c>
      <c r="D330" s="20">
        <v>1</v>
      </c>
      <c r="E330" s="20">
        <v>17</v>
      </c>
      <c r="F330" s="20">
        <v>16</v>
      </c>
      <c r="G330" s="20">
        <v>1</v>
      </c>
      <c r="H330" s="21">
        <f t="shared" si="59"/>
        <v>35</v>
      </c>
    </row>
    <row r="331" spans="1:8" ht="15" customHeight="1" x14ac:dyDescent="0.3">
      <c r="A331" s="107"/>
      <c r="B331" s="13" t="s">
        <v>7</v>
      </c>
      <c r="C331" s="20">
        <v>0</v>
      </c>
      <c r="D331" s="20">
        <v>10</v>
      </c>
      <c r="E331" s="20">
        <v>298</v>
      </c>
      <c r="F331" s="20">
        <v>283</v>
      </c>
      <c r="G331" s="20">
        <v>12</v>
      </c>
      <c r="H331" s="21">
        <f t="shared" si="59"/>
        <v>603</v>
      </c>
    </row>
    <row r="332" spans="1:8" ht="15" customHeight="1" x14ac:dyDescent="0.3">
      <c r="A332" s="107"/>
      <c r="B332" s="13" t="s">
        <v>8</v>
      </c>
      <c r="C332" s="20">
        <v>0</v>
      </c>
      <c r="D332" s="20">
        <v>21</v>
      </c>
      <c r="E332" s="20">
        <v>612</v>
      </c>
      <c r="F332" s="20">
        <v>575</v>
      </c>
      <c r="G332" s="20">
        <v>24</v>
      </c>
      <c r="H332" s="21">
        <f t="shared" si="59"/>
        <v>1232</v>
      </c>
    </row>
    <row r="333" spans="1:8" ht="15" customHeight="1" x14ac:dyDescent="0.3">
      <c r="A333" s="108" t="s">
        <v>1</v>
      </c>
      <c r="B333" s="73" t="s">
        <v>6</v>
      </c>
      <c r="C333" s="74">
        <f>C321+C324+C327+C330</f>
        <v>2</v>
      </c>
      <c r="D333" s="74">
        <f t="shared" ref="D333:H333" si="60">D321+D324+D327+D330</f>
        <v>12</v>
      </c>
      <c r="E333" s="74">
        <f t="shared" si="60"/>
        <v>63</v>
      </c>
      <c r="F333" s="74">
        <f t="shared" si="60"/>
        <v>46</v>
      </c>
      <c r="G333" s="74">
        <f t="shared" si="60"/>
        <v>5</v>
      </c>
      <c r="H333" s="74">
        <f t="shared" si="60"/>
        <v>128</v>
      </c>
    </row>
    <row r="334" spans="1:8" ht="15" customHeight="1" x14ac:dyDescent="0.3">
      <c r="A334" s="108"/>
      <c r="B334" s="73" t="s">
        <v>7</v>
      </c>
      <c r="C334" s="74">
        <f>C322+C325+C328+C331</f>
        <v>52</v>
      </c>
      <c r="D334" s="74">
        <f t="shared" ref="D334:H334" si="61">D322+D325+D328+D331</f>
        <v>287</v>
      </c>
      <c r="E334" s="74">
        <f t="shared" si="61"/>
        <v>1550</v>
      </c>
      <c r="F334" s="74">
        <f t="shared" si="61"/>
        <v>930</v>
      </c>
      <c r="G334" s="74">
        <f t="shared" si="61"/>
        <v>67</v>
      </c>
      <c r="H334" s="74">
        <f t="shared" si="61"/>
        <v>2886</v>
      </c>
    </row>
    <row r="335" spans="1:8" ht="15" customHeight="1" x14ac:dyDescent="0.3">
      <c r="A335" s="108"/>
      <c r="B335" s="73" t="s">
        <v>8</v>
      </c>
      <c r="C335" s="74">
        <f>C323+C326+C329+C332</f>
        <v>118</v>
      </c>
      <c r="D335" s="74">
        <f t="shared" ref="D335:H335" si="62">D323+D326+D329+D332</f>
        <v>620</v>
      </c>
      <c r="E335" s="74">
        <f t="shared" si="62"/>
        <v>3156</v>
      </c>
      <c r="F335" s="74">
        <f t="shared" si="62"/>
        <v>1763</v>
      </c>
      <c r="G335" s="74">
        <f t="shared" si="62"/>
        <v>132</v>
      </c>
      <c r="H335" s="74">
        <f t="shared" si="62"/>
        <v>5789</v>
      </c>
    </row>
    <row r="336" spans="1:8" ht="15" customHeight="1" x14ac:dyDescent="0.3">
      <c r="A336" s="4" t="s">
        <v>91</v>
      </c>
      <c r="B336" s="63"/>
      <c r="C336" s="63"/>
      <c r="D336" s="63"/>
      <c r="E336" s="63"/>
      <c r="F336" s="63"/>
    </row>
  </sheetData>
  <mergeCells count="112">
    <mergeCell ref="A123:A125"/>
    <mergeCell ref="A108:H108"/>
    <mergeCell ref="A109:H109"/>
    <mergeCell ref="A111:A113"/>
    <mergeCell ref="A114:A116"/>
    <mergeCell ref="A117:A119"/>
    <mergeCell ref="A66:H66"/>
    <mergeCell ref="A67:H67"/>
    <mergeCell ref="A69:A71"/>
    <mergeCell ref="A72:A74"/>
    <mergeCell ref="A75:A77"/>
    <mergeCell ref="A99:A101"/>
    <mergeCell ref="A102:A104"/>
    <mergeCell ref="A87:H87"/>
    <mergeCell ref="A88:H88"/>
    <mergeCell ref="A90:A92"/>
    <mergeCell ref="A93:A95"/>
    <mergeCell ref="A96:A98"/>
    <mergeCell ref="A78:A80"/>
    <mergeCell ref="A81:A83"/>
    <mergeCell ref="A219:A221"/>
    <mergeCell ref="A258:A260"/>
    <mergeCell ref="A261:A263"/>
    <mergeCell ref="A264:A266"/>
    <mergeCell ref="A333:A335"/>
    <mergeCell ref="A285:A287"/>
    <mergeCell ref="A291:A293"/>
    <mergeCell ref="A300:A302"/>
    <mergeCell ref="A330:A332"/>
    <mergeCell ref="A324:A326"/>
    <mergeCell ref="A327:A329"/>
    <mergeCell ref="A297:H297"/>
    <mergeCell ref="A312:A314"/>
    <mergeCell ref="A321:A323"/>
    <mergeCell ref="A298:H298"/>
    <mergeCell ref="A318:H318"/>
    <mergeCell ref="A309:A311"/>
    <mergeCell ref="A303:A305"/>
    <mergeCell ref="A319:H319"/>
    <mergeCell ref="A306:A308"/>
    <mergeCell ref="A288:A290"/>
    <mergeCell ref="A277:H277"/>
    <mergeCell ref="A243:A245"/>
    <mergeCell ref="A246:A248"/>
    <mergeCell ref="A222:A224"/>
    <mergeCell ref="A279:A281"/>
    <mergeCell ref="A282:A284"/>
    <mergeCell ref="A235:H235"/>
    <mergeCell ref="A267:A269"/>
    <mergeCell ref="A225:A227"/>
    <mergeCell ref="A228:A230"/>
    <mergeCell ref="A234:H234"/>
    <mergeCell ref="A249:A251"/>
    <mergeCell ref="A237:A239"/>
    <mergeCell ref="A240:A242"/>
    <mergeCell ref="A256:H256"/>
    <mergeCell ref="A276:H276"/>
    <mergeCell ref="A270:A272"/>
    <mergeCell ref="A255:H255"/>
    <mergeCell ref="A192:H192"/>
    <mergeCell ref="A193:H193"/>
    <mergeCell ref="A216:A218"/>
    <mergeCell ref="A183:A185"/>
    <mergeCell ref="A186:A188"/>
    <mergeCell ref="A174:A176"/>
    <mergeCell ref="A177:A179"/>
    <mergeCell ref="A180:A182"/>
    <mergeCell ref="A207:A209"/>
    <mergeCell ref="A195:A197"/>
    <mergeCell ref="A198:A200"/>
    <mergeCell ref="A201:A203"/>
    <mergeCell ref="A204:A206"/>
    <mergeCell ref="A213:H213"/>
    <mergeCell ref="A214:H214"/>
    <mergeCell ref="A57:A59"/>
    <mergeCell ref="A60:A62"/>
    <mergeCell ref="A45:H45"/>
    <mergeCell ref="A46:H46"/>
    <mergeCell ref="A48:A50"/>
    <mergeCell ref="A51:A53"/>
    <mergeCell ref="A54:A56"/>
    <mergeCell ref="A171:H171"/>
    <mergeCell ref="A172:H172"/>
    <mergeCell ref="A162:A164"/>
    <mergeCell ref="A165:A167"/>
    <mergeCell ref="A150:H150"/>
    <mergeCell ref="A151:H151"/>
    <mergeCell ref="A153:A155"/>
    <mergeCell ref="A156:A158"/>
    <mergeCell ref="A159:A161"/>
    <mergeCell ref="A141:A143"/>
    <mergeCell ref="A144:A146"/>
    <mergeCell ref="A129:H129"/>
    <mergeCell ref="A130:H130"/>
    <mergeCell ref="A132:A134"/>
    <mergeCell ref="A135:A137"/>
    <mergeCell ref="A138:A140"/>
    <mergeCell ref="A120:A122"/>
    <mergeCell ref="A3:H3"/>
    <mergeCell ref="A4:H4"/>
    <mergeCell ref="A6:A8"/>
    <mergeCell ref="A9:A11"/>
    <mergeCell ref="A12:A14"/>
    <mergeCell ref="A15:A17"/>
    <mergeCell ref="A18:A20"/>
    <mergeCell ref="A36:A38"/>
    <mergeCell ref="A39:A41"/>
    <mergeCell ref="A24:H24"/>
    <mergeCell ref="A25:H25"/>
    <mergeCell ref="A27:A29"/>
    <mergeCell ref="A30:A32"/>
    <mergeCell ref="A33:A35"/>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47" max="7" man="1"/>
    <brk id="168" max="7" man="1"/>
    <brk id="189" max="7" man="1"/>
    <brk id="210" max="7" man="1"/>
    <brk id="231" max="16383" man="1"/>
    <brk id="252" max="7" man="1"/>
    <brk id="273" max="7" man="1"/>
    <brk id="294" max="7" man="1"/>
    <brk id="315" max="7" man="1"/>
  </rowBreaks>
  <colBreaks count="1" manualBreakCount="1">
    <brk id="8" min="189" max="286"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DE1DC-2817-43DB-A53D-0D8C26DB77AB}">
  <sheetPr>
    <tabColor theme="5" tint="0.39997558519241921"/>
  </sheetPr>
  <dimension ref="A3:AD54"/>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3" spans="1:30" x14ac:dyDescent="0.3">
      <c r="A3" s="109" t="s">
        <v>122</v>
      </c>
      <c r="B3" s="109"/>
      <c r="C3" s="109"/>
      <c r="D3" s="109"/>
      <c r="E3" s="109"/>
      <c r="F3" s="109"/>
      <c r="G3" s="109"/>
      <c r="H3" s="109"/>
      <c r="I3" s="85"/>
      <c r="J3" s="85"/>
      <c r="K3" s="85"/>
      <c r="L3" s="109" t="s">
        <v>123</v>
      </c>
      <c r="M3" s="109"/>
      <c r="N3" s="109"/>
      <c r="O3" s="109"/>
      <c r="P3" s="109"/>
      <c r="Q3" s="109"/>
      <c r="R3" s="109"/>
      <c r="S3" s="109"/>
      <c r="T3" s="85"/>
      <c r="U3" s="85"/>
      <c r="V3" s="85"/>
      <c r="W3" s="109" t="s">
        <v>124</v>
      </c>
      <c r="X3" s="109"/>
      <c r="Y3" s="109"/>
      <c r="Z3" s="109"/>
      <c r="AA3" s="109"/>
      <c r="AB3" s="109"/>
      <c r="AC3" s="109"/>
      <c r="AD3" s="109"/>
    </row>
    <row r="4" spans="1:30" x14ac:dyDescent="0.3">
      <c r="A4" s="86" t="s">
        <v>86</v>
      </c>
      <c r="B4" s="86" t="s">
        <v>115</v>
      </c>
      <c r="C4" s="86">
        <v>2019</v>
      </c>
      <c r="D4" s="86">
        <v>2020</v>
      </c>
      <c r="E4" s="86">
        <v>2021</v>
      </c>
      <c r="F4" s="86">
        <v>2022</v>
      </c>
      <c r="G4" s="86">
        <v>2023</v>
      </c>
      <c r="H4" s="86">
        <v>2024</v>
      </c>
      <c r="I4" s="85"/>
      <c r="J4" s="85"/>
      <c r="K4" s="85"/>
      <c r="L4" s="86" t="s">
        <v>86</v>
      </c>
      <c r="M4" s="86" t="s">
        <v>115</v>
      </c>
      <c r="N4" s="86">
        <v>2019</v>
      </c>
      <c r="O4" s="86">
        <v>2020</v>
      </c>
      <c r="P4" s="86">
        <v>2021</v>
      </c>
      <c r="Q4" s="86">
        <v>2022</v>
      </c>
      <c r="R4" s="86">
        <v>2023</v>
      </c>
      <c r="S4" s="86">
        <v>2024</v>
      </c>
      <c r="T4" s="85"/>
      <c r="U4" s="85"/>
      <c r="V4" s="85"/>
      <c r="W4" s="86" t="s">
        <v>86</v>
      </c>
      <c r="X4" s="86" t="s">
        <v>115</v>
      </c>
      <c r="Y4" s="86">
        <v>2019</v>
      </c>
      <c r="Z4" s="86">
        <v>2020</v>
      </c>
      <c r="AA4" s="86">
        <v>2021</v>
      </c>
      <c r="AB4" s="86">
        <v>2022</v>
      </c>
      <c r="AC4" s="86">
        <v>2023</v>
      </c>
      <c r="AD4" s="86">
        <v>2024</v>
      </c>
    </row>
    <row r="5" spans="1:30" x14ac:dyDescent="0.3">
      <c r="A5" s="110" t="s">
        <v>3</v>
      </c>
      <c r="B5" s="85" t="s">
        <v>103</v>
      </c>
      <c r="C5" s="87">
        <v>160</v>
      </c>
      <c r="D5" s="87">
        <v>178</v>
      </c>
      <c r="E5" s="87">
        <v>140</v>
      </c>
      <c r="F5" s="87">
        <v>141</v>
      </c>
      <c r="G5" s="87">
        <v>176</v>
      </c>
      <c r="H5" s="87">
        <v>230</v>
      </c>
      <c r="I5" s="85"/>
      <c r="J5" s="85"/>
      <c r="K5" s="85"/>
      <c r="L5" s="110" t="s">
        <v>3</v>
      </c>
      <c r="M5" s="85" t="s">
        <v>103</v>
      </c>
      <c r="N5" s="87">
        <v>211</v>
      </c>
      <c r="O5" s="87">
        <v>246</v>
      </c>
      <c r="P5" s="87">
        <v>195</v>
      </c>
      <c r="Q5" s="87">
        <v>203</v>
      </c>
      <c r="R5" s="87">
        <v>260</v>
      </c>
      <c r="S5" s="87">
        <v>366</v>
      </c>
      <c r="T5" s="85"/>
      <c r="U5" s="85"/>
      <c r="V5" s="85"/>
      <c r="W5" s="110" t="s">
        <v>3</v>
      </c>
      <c r="X5" s="85" t="s">
        <v>103</v>
      </c>
      <c r="Y5" s="87">
        <v>589</v>
      </c>
      <c r="Z5" s="87">
        <v>692</v>
      </c>
      <c r="AA5" s="87">
        <v>561</v>
      </c>
      <c r="AB5" s="87">
        <v>570</v>
      </c>
      <c r="AC5" s="87">
        <v>705</v>
      </c>
      <c r="AD5" s="87">
        <v>987</v>
      </c>
    </row>
    <row r="6" spans="1:30" x14ac:dyDescent="0.3">
      <c r="A6" s="110"/>
      <c r="B6" s="85" t="s">
        <v>104</v>
      </c>
      <c r="C6" s="87">
        <v>152</v>
      </c>
      <c r="D6" s="87">
        <v>178</v>
      </c>
      <c r="E6" s="87">
        <v>126</v>
      </c>
      <c r="F6" s="87">
        <v>131</v>
      </c>
      <c r="G6" s="87">
        <v>179</v>
      </c>
      <c r="H6" s="87">
        <v>236</v>
      </c>
      <c r="I6" s="85"/>
      <c r="J6" s="85"/>
      <c r="K6" s="85"/>
      <c r="L6" s="110"/>
      <c r="M6" s="85" t="s">
        <v>104</v>
      </c>
      <c r="N6" s="87">
        <v>198</v>
      </c>
      <c r="O6" s="87">
        <v>243</v>
      </c>
      <c r="P6" s="87">
        <v>181</v>
      </c>
      <c r="Q6" s="87">
        <v>186</v>
      </c>
      <c r="R6" s="87">
        <v>270</v>
      </c>
      <c r="S6" s="87">
        <v>363</v>
      </c>
      <c r="T6" s="85"/>
      <c r="U6" s="85"/>
      <c r="V6" s="85"/>
      <c r="W6" s="110"/>
      <c r="X6" s="85" t="s">
        <v>104</v>
      </c>
      <c r="Y6" s="87">
        <v>564</v>
      </c>
      <c r="Z6" s="87">
        <v>682</v>
      </c>
      <c r="AA6" s="87">
        <v>508</v>
      </c>
      <c r="AB6" s="87">
        <v>522</v>
      </c>
      <c r="AC6" s="87">
        <v>727</v>
      </c>
      <c r="AD6" s="87">
        <v>997</v>
      </c>
    </row>
    <row r="7" spans="1:30" x14ac:dyDescent="0.3">
      <c r="A7" s="110"/>
      <c r="B7" s="85" t="s">
        <v>105</v>
      </c>
      <c r="C7" s="87">
        <v>154</v>
      </c>
      <c r="D7" s="87">
        <v>177</v>
      </c>
      <c r="E7" s="87">
        <v>121</v>
      </c>
      <c r="F7" s="87">
        <v>129</v>
      </c>
      <c r="G7" s="87">
        <v>186</v>
      </c>
      <c r="H7" s="87">
        <v>242</v>
      </c>
      <c r="I7" s="85"/>
      <c r="J7" s="85"/>
      <c r="K7" s="85"/>
      <c r="L7" s="110"/>
      <c r="M7" s="85" t="s">
        <v>105</v>
      </c>
      <c r="N7" s="87">
        <v>201</v>
      </c>
      <c r="O7" s="87">
        <v>239</v>
      </c>
      <c r="P7" s="87">
        <v>173</v>
      </c>
      <c r="Q7" s="87">
        <v>182</v>
      </c>
      <c r="R7" s="87">
        <v>278</v>
      </c>
      <c r="S7" s="87">
        <v>382</v>
      </c>
      <c r="T7" s="85"/>
      <c r="U7" s="85"/>
      <c r="V7" s="85"/>
      <c r="W7" s="110"/>
      <c r="X7" s="85" t="s">
        <v>105</v>
      </c>
      <c r="Y7" s="87">
        <v>569</v>
      </c>
      <c r="Z7" s="87">
        <v>670</v>
      </c>
      <c r="AA7" s="87">
        <v>487</v>
      </c>
      <c r="AB7" s="87">
        <v>513</v>
      </c>
      <c r="AC7" s="87">
        <v>743</v>
      </c>
      <c r="AD7" s="87">
        <v>1023</v>
      </c>
    </row>
    <row r="8" spans="1:30" x14ac:dyDescent="0.3">
      <c r="A8" s="110"/>
      <c r="B8" s="85" t="s">
        <v>106</v>
      </c>
      <c r="C8" s="87">
        <v>154</v>
      </c>
      <c r="D8" s="87">
        <v>171</v>
      </c>
      <c r="E8" s="87">
        <v>123</v>
      </c>
      <c r="F8" s="87">
        <v>130</v>
      </c>
      <c r="G8" s="87">
        <v>188</v>
      </c>
      <c r="H8" s="87">
        <v>246</v>
      </c>
      <c r="I8" s="85"/>
      <c r="J8" s="85"/>
      <c r="K8" s="85"/>
      <c r="L8" s="110"/>
      <c r="M8" s="85" t="s">
        <v>106</v>
      </c>
      <c r="N8" s="87">
        <v>194</v>
      </c>
      <c r="O8" s="87">
        <v>231</v>
      </c>
      <c r="P8" s="87">
        <v>178</v>
      </c>
      <c r="Q8" s="87">
        <v>182</v>
      </c>
      <c r="R8" s="87">
        <v>278</v>
      </c>
      <c r="S8" s="87">
        <v>387</v>
      </c>
      <c r="T8" s="85"/>
      <c r="U8" s="85"/>
      <c r="V8" s="85"/>
      <c r="W8" s="110"/>
      <c r="X8" s="85" t="s">
        <v>106</v>
      </c>
      <c r="Y8" s="87">
        <v>548</v>
      </c>
      <c r="Z8" s="87">
        <v>643</v>
      </c>
      <c r="AA8" s="87">
        <v>506</v>
      </c>
      <c r="AB8" s="87">
        <v>516</v>
      </c>
      <c r="AC8" s="87">
        <v>740</v>
      </c>
      <c r="AD8" s="87">
        <v>1044</v>
      </c>
    </row>
    <row r="9" spans="1:30" x14ac:dyDescent="0.3">
      <c r="A9" s="110"/>
      <c r="B9" s="85" t="s">
        <v>107</v>
      </c>
      <c r="C9" s="87">
        <v>146</v>
      </c>
      <c r="D9" s="87">
        <v>167</v>
      </c>
      <c r="E9" s="87">
        <v>123</v>
      </c>
      <c r="F9" s="87">
        <v>131</v>
      </c>
      <c r="G9" s="87">
        <v>190</v>
      </c>
      <c r="H9" s="87">
        <v>238</v>
      </c>
      <c r="I9" s="85"/>
      <c r="J9" s="85"/>
      <c r="K9" s="85"/>
      <c r="L9" s="110"/>
      <c r="M9" s="85" t="s">
        <v>107</v>
      </c>
      <c r="N9" s="87">
        <v>191</v>
      </c>
      <c r="O9" s="87">
        <v>234</v>
      </c>
      <c r="P9" s="87">
        <v>175</v>
      </c>
      <c r="Q9" s="87">
        <v>184</v>
      </c>
      <c r="R9" s="87">
        <v>282</v>
      </c>
      <c r="S9" s="87">
        <v>377</v>
      </c>
      <c r="T9" s="85"/>
      <c r="U9" s="85"/>
      <c r="V9" s="85"/>
      <c r="W9" s="110"/>
      <c r="X9" s="85" t="s">
        <v>107</v>
      </c>
      <c r="Y9" s="87">
        <v>547</v>
      </c>
      <c r="Z9" s="87">
        <v>645</v>
      </c>
      <c r="AA9" s="87">
        <v>503</v>
      </c>
      <c r="AB9" s="87">
        <v>522</v>
      </c>
      <c r="AC9" s="87">
        <v>752</v>
      </c>
      <c r="AD9" s="87">
        <v>1012</v>
      </c>
    </row>
    <row r="10" spans="1:30" x14ac:dyDescent="0.3">
      <c r="A10" s="110"/>
      <c r="B10" s="85" t="s">
        <v>108</v>
      </c>
      <c r="C10" s="87">
        <v>160</v>
      </c>
      <c r="D10" s="87">
        <v>163</v>
      </c>
      <c r="E10" s="87">
        <v>140</v>
      </c>
      <c r="F10" s="87">
        <v>148</v>
      </c>
      <c r="G10" s="87">
        <v>188</v>
      </c>
      <c r="H10" s="87">
        <v>236</v>
      </c>
      <c r="I10" s="85"/>
      <c r="J10" s="85"/>
      <c r="K10" s="85"/>
      <c r="L10" s="110"/>
      <c r="M10" s="85" t="s">
        <v>108</v>
      </c>
      <c r="N10" s="87">
        <v>210</v>
      </c>
      <c r="O10" s="87">
        <v>230</v>
      </c>
      <c r="P10" s="87">
        <v>193</v>
      </c>
      <c r="Q10" s="87">
        <v>206</v>
      </c>
      <c r="R10" s="87">
        <v>277</v>
      </c>
      <c r="S10" s="87">
        <v>384</v>
      </c>
      <c r="T10" s="85"/>
      <c r="U10" s="85"/>
      <c r="V10" s="85"/>
      <c r="W10" s="110"/>
      <c r="X10" s="85" t="s">
        <v>108</v>
      </c>
      <c r="Y10" s="87">
        <v>589</v>
      </c>
      <c r="Z10" s="87">
        <v>639</v>
      </c>
      <c r="AA10" s="87">
        <v>560</v>
      </c>
      <c r="AB10" s="87">
        <v>587</v>
      </c>
      <c r="AC10" s="87">
        <v>750</v>
      </c>
      <c r="AD10" s="87">
        <v>1025</v>
      </c>
    </row>
    <row r="11" spans="1:30" x14ac:dyDescent="0.3">
      <c r="A11" s="110"/>
      <c r="B11" s="85" t="s">
        <v>109</v>
      </c>
      <c r="C11" s="87">
        <v>162</v>
      </c>
      <c r="D11" s="87">
        <v>159</v>
      </c>
      <c r="E11" s="87">
        <v>139</v>
      </c>
      <c r="F11" s="87">
        <v>156</v>
      </c>
      <c r="G11" s="87">
        <v>194</v>
      </c>
      <c r="H11" s="87">
        <v>252</v>
      </c>
      <c r="I11" s="85"/>
      <c r="J11" s="85"/>
      <c r="K11" s="85"/>
      <c r="L11" s="110"/>
      <c r="M11" s="85" t="s">
        <v>109</v>
      </c>
      <c r="N11" s="87">
        <v>219</v>
      </c>
      <c r="O11" s="87">
        <v>227</v>
      </c>
      <c r="P11" s="87">
        <v>195</v>
      </c>
      <c r="Q11" s="87">
        <v>224</v>
      </c>
      <c r="R11" s="87">
        <v>287</v>
      </c>
      <c r="S11" s="87">
        <v>398</v>
      </c>
      <c r="T11" s="85"/>
      <c r="U11" s="85"/>
      <c r="V11" s="85"/>
      <c r="W11" s="110"/>
      <c r="X11" s="85" t="s">
        <v>109</v>
      </c>
      <c r="Y11" s="87">
        <v>615</v>
      </c>
      <c r="Z11" s="87">
        <v>626</v>
      </c>
      <c r="AA11" s="87">
        <v>561</v>
      </c>
      <c r="AB11" s="87">
        <v>609</v>
      </c>
      <c r="AC11" s="87">
        <v>778</v>
      </c>
      <c r="AD11" s="87">
        <v>1081</v>
      </c>
    </row>
    <row r="12" spans="1:30" x14ac:dyDescent="0.3">
      <c r="A12" s="110"/>
      <c r="B12" s="85" t="s">
        <v>110</v>
      </c>
      <c r="C12" s="87">
        <v>163</v>
      </c>
      <c r="D12" s="87">
        <v>160</v>
      </c>
      <c r="E12" s="87">
        <v>141</v>
      </c>
      <c r="F12" s="87">
        <v>153</v>
      </c>
      <c r="G12" s="87">
        <v>182</v>
      </c>
      <c r="H12" s="87">
        <v>269</v>
      </c>
      <c r="I12" s="85"/>
      <c r="J12" s="85"/>
      <c r="K12" s="85"/>
      <c r="L12" s="110"/>
      <c r="M12" s="85" t="s">
        <v>110</v>
      </c>
      <c r="N12" s="87">
        <v>220</v>
      </c>
      <c r="O12" s="87">
        <v>224</v>
      </c>
      <c r="P12" s="87">
        <v>202</v>
      </c>
      <c r="Q12" s="87">
        <v>224</v>
      </c>
      <c r="R12" s="87">
        <v>273</v>
      </c>
      <c r="S12" s="87">
        <v>429</v>
      </c>
      <c r="T12" s="85"/>
      <c r="U12" s="85"/>
      <c r="V12" s="85"/>
      <c r="W12" s="110"/>
      <c r="X12" s="85" t="s">
        <v>110</v>
      </c>
      <c r="Y12" s="87">
        <v>612</v>
      </c>
      <c r="Z12" s="87">
        <v>629</v>
      </c>
      <c r="AA12" s="87">
        <v>576</v>
      </c>
      <c r="AB12" s="87">
        <v>607</v>
      </c>
      <c r="AC12" s="87">
        <v>733</v>
      </c>
      <c r="AD12" s="87">
        <v>1138</v>
      </c>
    </row>
    <row r="13" spans="1:30" x14ac:dyDescent="0.3">
      <c r="A13" s="110"/>
      <c r="B13" s="85" t="s">
        <v>111</v>
      </c>
      <c r="C13" s="87">
        <v>162</v>
      </c>
      <c r="D13" s="87">
        <v>161</v>
      </c>
      <c r="E13" s="87">
        <v>144</v>
      </c>
      <c r="F13" s="87">
        <v>154</v>
      </c>
      <c r="G13" s="87">
        <v>179</v>
      </c>
      <c r="H13" s="87">
        <v>262</v>
      </c>
      <c r="I13" s="85"/>
      <c r="J13" s="85"/>
      <c r="K13" s="85"/>
      <c r="L13" s="110"/>
      <c r="M13" s="85" t="s">
        <v>111</v>
      </c>
      <c r="N13" s="87">
        <v>219</v>
      </c>
      <c r="O13" s="87">
        <v>225</v>
      </c>
      <c r="P13" s="87">
        <v>204</v>
      </c>
      <c r="Q13" s="87">
        <v>223</v>
      </c>
      <c r="R13" s="87">
        <v>270</v>
      </c>
      <c r="S13" s="87">
        <v>420</v>
      </c>
      <c r="T13" s="85"/>
      <c r="U13" s="85"/>
      <c r="V13" s="85"/>
      <c r="W13" s="110"/>
      <c r="X13" s="85" t="s">
        <v>111</v>
      </c>
      <c r="Y13" s="87">
        <v>611</v>
      </c>
      <c r="Z13" s="87">
        <v>635</v>
      </c>
      <c r="AA13" s="87">
        <v>581</v>
      </c>
      <c r="AB13" s="87">
        <v>612</v>
      </c>
      <c r="AC13" s="87">
        <v>721</v>
      </c>
      <c r="AD13" s="87">
        <v>1126</v>
      </c>
    </row>
    <row r="14" spans="1:30" x14ac:dyDescent="0.3">
      <c r="A14" s="110"/>
      <c r="B14" s="85" t="s">
        <v>112</v>
      </c>
      <c r="C14" s="87">
        <v>167</v>
      </c>
      <c r="D14" s="87">
        <v>149</v>
      </c>
      <c r="E14" s="87">
        <v>138</v>
      </c>
      <c r="F14" s="87">
        <v>157</v>
      </c>
      <c r="G14" s="87">
        <v>189</v>
      </c>
      <c r="H14" s="87">
        <v>284</v>
      </c>
      <c r="I14" s="85"/>
      <c r="J14" s="85"/>
      <c r="K14" s="85"/>
      <c r="L14" s="110"/>
      <c r="M14" s="85" t="s">
        <v>112</v>
      </c>
      <c r="N14" s="87">
        <v>229</v>
      </c>
      <c r="O14" s="87">
        <v>209</v>
      </c>
      <c r="P14" s="87">
        <v>201</v>
      </c>
      <c r="Q14" s="87">
        <v>222</v>
      </c>
      <c r="R14" s="87">
        <v>285</v>
      </c>
      <c r="S14" s="87">
        <v>435</v>
      </c>
      <c r="T14" s="85"/>
      <c r="U14" s="85"/>
      <c r="V14" s="85"/>
      <c r="W14" s="110"/>
      <c r="X14" s="85" t="s">
        <v>112</v>
      </c>
      <c r="Y14" s="87">
        <v>637</v>
      </c>
      <c r="Z14" s="87">
        <v>591</v>
      </c>
      <c r="AA14" s="87">
        <v>567</v>
      </c>
      <c r="AB14" s="87">
        <v>613</v>
      </c>
      <c r="AC14" s="87">
        <v>774</v>
      </c>
      <c r="AD14" s="87">
        <v>1196</v>
      </c>
    </row>
    <row r="15" spans="1:30" x14ac:dyDescent="0.3">
      <c r="A15" s="110"/>
      <c r="B15" s="85" t="s">
        <v>113</v>
      </c>
      <c r="C15" s="87">
        <v>171</v>
      </c>
      <c r="D15" s="87">
        <v>156</v>
      </c>
      <c r="E15" s="87">
        <v>143</v>
      </c>
      <c r="F15" s="87">
        <v>158</v>
      </c>
      <c r="G15" s="87">
        <v>193</v>
      </c>
      <c r="H15" s="87">
        <v>294</v>
      </c>
      <c r="I15" s="85"/>
      <c r="J15" s="85"/>
      <c r="K15" s="85"/>
      <c r="L15" s="110"/>
      <c r="M15" s="85" t="s">
        <v>113</v>
      </c>
      <c r="N15" s="87">
        <v>232</v>
      </c>
      <c r="O15" s="87">
        <v>213</v>
      </c>
      <c r="P15" s="87">
        <v>208</v>
      </c>
      <c r="Q15" s="87">
        <v>230</v>
      </c>
      <c r="R15" s="87">
        <v>293</v>
      </c>
      <c r="S15" s="87">
        <v>463</v>
      </c>
      <c r="T15" s="85"/>
      <c r="U15" s="85"/>
      <c r="V15" s="85"/>
      <c r="W15" s="110"/>
      <c r="X15" s="85" t="s">
        <v>113</v>
      </c>
      <c r="Y15" s="87">
        <v>656</v>
      </c>
      <c r="Z15" s="87">
        <v>612</v>
      </c>
      <c r="AA15" s="87">
        <v>579</v>
      </c>
      <c r="AB15" s="87">
        <v>632</v>
      </c>
      <c r="AC15" s="87">
        <v>791</v>
      </c>
      <c r="AD15" s="87">
        <v>1241</v>
      </c>
    </row>
    <row r="16" spans="1:30" x14ac:dyDescent="0.3">
      <c r="A16" s="110"/>
      <c r="B16" s="85" t="s">
        <v>114</v>
      </c>
      <c r="C16" s="87">
        <v>175</v>
      </c>
      <c r="D16" s="87">
        <v>147</v>
      </c>
      <c r="E16" s="87">
        <v>142</v>
      </c>
      <c r="F16" s="87">
        <v>172</v>
      </c>
      <c r="G16" s="87">
        <v>225</v>
      </c>
      <c r="H16" s="87">
        <v>322</v>
      </c>
      <c r="I16" s="85"/>
      <c r="J16" s="85"/>
      <c r="K16" s="85"/>
      <c r="L16" s="110"/>
      <c r="M16" s="85" t="s">
        <v>114</v>
      </c>
      <c r="N16" s="87">
        <v>239</v>
      </c>
      <c r="O16" s="87">
        <v>206</v>
      </c>
      <c r="P16" s="87">
        <v>208</v>
      </c>
      <c r="Q16" s="87">
        <v>255</v>
      </c>
      <c r="R16" s="87">
        <v>353</v>
      </c>
      <c r="S16" s="87">
        <v>522</v>
      </c>
      <c r="T16" s="85"/>
      <c r="U16" s="85"/>
      <c r="V16" s="85"/>
      <c r="W16" s="110"/>
      <c r="X16" s="85" t="s">
        <v>114</v>
      </c>
      <c r="Y16" s="87">
        <v>678</v>
      </c>
      <c r="Z16" s="87">
        <v>590</v>
      </c>
      <c r="AA16" s="87">
        <v>580</v>
      </c>
      <c r="AB16" s="87">
        <v>697</v>
      </c>
      <c r="AC16" s="87">
        <v>955</v>
      </c>
      <c r="AD16" s="87">
        <v>1375</v>
      </c>
    </row>
    <row r="17" spans="1:30" x14ac:dyDescent="0.3">
      <c r="A17" s="111" t="s">
        <v>5</v>
      </c>
      <c r="B17" s="88" t="s">
        <v>103</v>
      </c>
      <c r="C17" s="89">
        <v>111</v>
      </c>
      <c r="D17" s="89">
        <v>130</v>
      </c>
      <c r="E17" s="89">
        <v>100</v>
      </c>
      <c r="F17" s="89">
        <v>110</v>
      </c>
      <c r="G17" s="89">
        <v>115</v>
      </c>
      <c r="H17" s="89">
        <v>119</v>
      </c>
      <c r="I17" s="85"/>
      <c r="J17" s="85"/>
      <c r="K17" s="85"/>
      <c r="L17" s="111" t="s">
        <v>5</v>
      </c>
      <c r="M17" s="88" t="s">
        <v>103</v>
      </c>
      <c r="N17" s="89">
        <v>155</v>
      </c>
      <c r="O17" s="89">
        <v>182</v>
      </c>
      <c r="P17" s="89">
        <v>156</v>
      </c>
      <c r="Q17" s="89">
        <v>161</v>
      </c>
      <c r="R17" s="89">
        <v>174</v>
      </c>
      <c r="S17" s="89">
        <v>179</v>
      </c>
      <c r="T17" s="85"/>
      <c r="U17" s="85"/>
      <c r="V17" s="85"/>
      <c r="W17" s="111" t="s">
        <v>5</v>
      </c>
      <c r="X17" s="88" t="s">
        <v>103</v>
      </c>
      <c r="Y17" s="89">
        <v>433</v>
      </c>
      <c r="Z17" s="89">
        <v>515</v>
      </c>
      <c r="AA17" s="89">
        <v>456</v>
      </c>
      <c r="AB17" s="89">
        <v>456</v>
      </c>
      <c r="AC17" s="89">
        <v>489</v>
      </c>
      <c r="AD17" s="89">
        <v>502</v>
      </c>
    </row>
    <row r="18" spans="1:30" x14ac:dyDescent="0.3">
      <c r="A18" s="111"/>
      <c r="B18" s="88" t="s">
        <v>104</v>
      </c>
      <c r="C18" s="89">
        <v>110</v>
      </c>
      <c r="D18" s="89">
        <v>128</v>
      </c>
      <c r="E18" s="89">
        <v>93</v>
      </c>
      <c r="F18" s="89">
        <v>100</v>
      </c>
      <c r="G18" s="89">
        <v>116</v>
      </c>
      <c r="H18" s="89">
        <v>123</v>
      </c>
      <c r="I18" s="85"/>
      <c r="J18" s="85"/>
      <c r="K18" s="85"/>
      <c r="L18" s="111"/>
      <c r="M18" s="88" t="s">
        <v>104</v>
      </c>
      <c r="N18" s="89">
        <v>147</v>
      </c>
      <c r="O18" s="89">
        <v>181</v>
      </c>
      <c r="P18" s="89">
        <v>147</v>
      </c>
      <c r="Q18" s="89">
        <v>150</v>
      </c>
      <c r="R18" s="89">
        <v>174</v>
      </c>
      <c r="S18" s="89">
        <v>183</v>
      </c>
      <c r="T18" s="85"/>
      <c r="U18" s="85"/>
      <c r="V18" s="85"/>
      <c r="W18" s="111"/>
      <c r="X18" s="88" t="s">
        <v>104</v>
      </c>
      <c r="Y18" s="89">
        <v>417</v>
      </c>
      <c r="Z18" s="89">
        <v>512</v>
      </c>
      <c r="AA18" s="89">
        <v>438</v>
      </c>
      <c r="AB18" s="89">
        <v>425</v>
      </c>
      <c r="AC18" s="89">
        <v>499</v>
      </c>
      <c r="AD18" s="89">
        <v>520</v>
      </c>
    </row>
    <row r="19" spans="1:30" x14ac:dyDescent="0.3">
      <c r="A19" s="111"/>
      <c r="B19" s="88" t="s">
        <v>105</v>
      </c>
      <c r="C19" s="89">
        <v>108</v>
      </c>
      <c r="D19" s="89">
        <v>129</v>
      </c>
      <c r="E19" s="89">
        <v>89</v>
      </c>
      <c r="F19" s="89">
        <v>100</v>
      </c>
      <c r="G19" s="89">
        <v>117</v>
      </c>
      <c r="H19" s="89">
        <v>124</v>
      </c>
      <c r="I19" s="85"/>
      <c r="J19" s="85"/>
      <c r="K19" s="85"/>
      <c r="L19" s="111"/>
      <c r="M19" s="88" t="s">
        <v>105</v>
      </c>
      <c r="N19" s="89">
        <v>149</v>
      </c>
      <c r="O19" s="89">
        <v>180</v>
      </c>
      <c r="P19" s="89">
        <v>144</v>
      </c>
      <c r="Q19" s="89">
        <v>150</v>
      </c>
      <c r="R19" s="89">
        <v>176</v>
      </c>
      <c r="S19" s="89">
        <v>185</v>
      </c>
      <c r="T19" s="85"/>
      <c r="U19" s="85"/>
      <c r="V19" s="85"/>
      <c r="W19" s="111"/>
      <c r="X19" s="88" t="s">
        <v>105</v>
      </c>
      <c r="Y19" s="89">
        <v>409</v>
      </c>
      <c r="Z19" s="89">
        <v>515</v>
      </c>
      <c r="AA19" s="89">
        <v>426</v>
      </c>
      <c r="AB19" s="89">
        <v>425</v>
      </c>
      <c r="AC19" s="89">
        <v>502</v>
      </c>
      <c r="AD19" s="89">
        <v>525</v>
      </c>
    </row>
    <row r="20" spans="1:30" x14ac:dyDescent="0.3">
      <c r="A20" s="111"/>
      <c r="B20" s="88" t="s">
        <v>106</v>
      </c>
      <c r="C20" s="89">
        <v>99</v>
      </c>
      <c r="D20" s="89">
        <v>121</v>
      </c>
      <c r="E20" s="89">
        <v>92</v>
      </c>
      <c r="F20" s="89">
        <v>93</v>
      </c>
      <c r="G20" s="89">
        <v>114</v>
      </c>
      <c r="H20" s="89">
        <v>130</v>
      </c>
      <c r="I20" s="85"/>
      <c r="J20" s="85"/>
      <c r="K20" s="85"/>
      <c r="L20" s="111"/>
      <c r="M20" s="88" t="s">
        <v>106</v>
      </c>
      <c r="N20" s="89">
        <v>140</v>
      </c>
      <c r="O20" s="89">
        <v>170</v>
      </c>
      <c r="P20" s="89">
        <v>147</v>
      </c>
      <c r="Q20" s="89">
        <v>144</v>
      </c>
      <c r="R20" s="89">
        <v>174</v>
      </c>
      <c r="S20" s="89">
        <v>192</v>
      </c>
      <c r="T20" s="85"/>
      <c r="U20" s="85"/>
      <c r="V20" s="85"/>
      <c r="W20" s="111"/>
      <c r="X20" s="88" t="s">
        <v>106</v>
      </c>
      <c r="Y20" s="89">
        <v>384</v>
      </c>
      <c r="Z20" s="89">
        <v>482</v>
      </c>
      <c r="AA20" s="89">
        <v>436</v>
      </c>
      <c r="AB20" s="89">
        <v>412</v>
      </c>
      <c r="AC20" s="89">
        <v>497</v>
      </c>
      <c r="AD20" s="89">
        <v>545</v>
      </c>
    </row>
    <row r="21" spans="1:30" x14ac:dyDescent="0.3">
      <c r="A21" s="111"/>
      <c r="B21" s="88" t="s">
        <v>107</v>
      </c>
      <c r="C21" s="89">
        <v>101</v>
      </c>
      <c r="D21" s="89">
        <v>116</v>
      </c>
      <c r="E21" s="89">
        <v>87</v>
      </c>
      <c r="F21" s="89">
        <v>95</v>
      </c>
      <c r="G21" s="89">
        <v>116</v>
      </c>
      <c r="H21" s="89">
        <v>128</v>
      </c>
      <c r="I21" s="85"/>
      <c r="J21" s="85"/>
      <c r="K21" s="85"/>
      <c r="L21" s="111"/>
      <c r="M21" s="88" t="s">
        <v>107</v>
      </c>
      <c r="N21" s="89">
        <v>145</v>
      </c>
      <c r="O21" s="89">
        <v>167</v>
      </c>
      <c r="P21" s="89">
        <v>143</v>
      </c>
      <c r="Q21" s="89">
        <v>148</v>
      </c>
      <c r="R21" s="89">
        <v>174</v>
      </c>
      <c r="S21" s="89">
        <v>194</v>
      </c>
      <c r="T21" s="85"/>
      <c r="U21" s="85"/>
      <c r="V21" s="85"/>
      <c r="W21" s="111"/>
      <c r="X21" s="88" t="s">
        <v>107</v>
      </c>
      <c r="Y21" s="89">
        <v>390</v>
      </c>
      <c r="Z21" s="89">
        <v>469</v>
      </c>
      <c r="AA21" s="89">
        <v>424</v>
      </c>
      <c r="AB21" s="89">
        <v>420</v>
      </c>
      <c r="AC21" s="89">
        <v>492</v>
      </c>
      <c r="AD21" s="89">
        <v>548</v>
      </c>
    </row>
    <row r="22" spans="1:30" x14ac:dyDescent="0.3">
      <c r="A22" s="111"/>
      <c r="B22" s="88" t="s">
        <v>108</v>
      </c>
      <c r="C22" s="89">
        <v>112</v>
      </c>
      <c r="D22" s="89">
        <v>117</v>
      </c>
      <c r="E22" s="89">
        <v>98</v>
      </c>
      <c r="F22" s="89">
        <v>111</v>
      </c>
      <c r="G22" s="89">
        <v>112</v>
      </c>
      <c r="H22" s="89">
        <v>122</v>
      </c>
      <c r="I22" s="85"/>
      <c r="J22" s="85"/>
      <c r="K22" s="85"/>
      <c r="L22" s="111"/>
      <c r="M22" s="88" t="s">
        <v>108</v>
      </c>
      <c r="N22" s="89">
        <v>153</v>
      </c>
      <c r="O22" s="89">
        <v>167</v>
      </c>
      <c r="P22" s="89">
        <v>153</v>
      </c>
      <c r="Q22" s="89">
        <v>161</v>
      </c>
      <c r="R22" s="89">
        <v>170</v>
      </c>
      <c r="S22" s="89">
        <v>187</v>
      </c>
      <c r="T22" s="85"/>
      <c r="U22" s="85"/>
      <c r="V22" s="85"/>
      <c r="W22" s="111"/>
      <c r="X22" s="88" t="s">
        <v>108</v>
      </c>
      <c r="Y22" s="89">
        <v>421</v>
      </c>
      <c r="Z22" s="89">
        <v>473</v>
      </c>
      <c r="AA22" s="89">
        <v>443</v>
      </c>
      <c r="AB22" s="89">
        <v>465</v>
      </c>
      <c r="AC22" s="89">
        <v>480</v>
      </c>
      <c r="AD22" s="89">
        <v>541</v>
      </c>
    </row>
    <row r="23" spans="1:30" x14ac:dyDescent="0.3">
      <c r="A23" s="111"/>
      <c r="B23" s="88" t="s">
        <v>109</v>
      </c>
      <c r="C23" s="89">
        <v>115</v>
      </c>
      <c r="D23" s="89">
        <v>120</v>
      </c>
      <c r="E23" s="89">
        <v>107</v>
      </c>
      <c r="F23" s="89">
        <v>106</v>
      </c>
      <c r="G23" s="89">
        <v>119</v>
      </c>
      <c r="H23" s="89">
        <v>129</v>
      </c>
      <c r="I23" s="85"/>
      <c r="J23" s="85"/>
      <c r="K23" s="85"/>
      <c r="L23" s="111"/>
      <c r="M23" s="88" t="s">
        <v>109</v>
      </c>
      <c r="N23" s="89">
        <v>156</v>
      </c>
      <c r="O23" s="89">
        <v>173</v>
      </c>
      <c r="P23" s="89">
        <v>161</v>
      </c>
      <c r="Q23" s="89">
        <v>167</v>
      </c>
      <c r="R23" s="89">
        <v>179</v>
      </c>
      <c r="S23" s="89">
        <v>198</v>
      </c>
      <c r="T23" s="85"/>
      <c r="U23" s="85"/>
      <c r="V23" s="85"/>
      <c r="W23" s="111"/>
      <c r="X23" s="88" t="s">
        <v>109</v>
      </c>
      <c r="Y23" s="89">
        <v>430</v>
      </c>
      <c r="Z23" s="89">
        <v>499</v>
      </c>
      <c r="AA23" s="89">
        <v>463</v>
      </c>
      <c r="AB23" s="89">
        <v>468</v>
      </c>
      <c r="AC23" s="89">
        <v>501</v>
      </c>
      <c r="AD23" s="89">
        <v>563</v>
      </c>
    </row>
    <row r="24" spans="1:30" x14ac:dyDescent="0.3">
      <c r="A24" s="111"/>
      <c r="B24" s="88" t="s">
        <v>110</v>
      </c>
      <c r="C24" s="89">
        <v>114</v>
      </c>
      <c r="D24" s="89">
        <v>123</v>
      </c>
      <c r="E24" s="89">
        <v>111</v>
      </c>
      <c r="F24" s="89">
        <v>112</v>
      </c>
      <c r="G24" s="89">
        <v>127</v>
      </c>
      <c r="H24" s="89">
        <v>134</v>
      </c>
      <c r="I24" s="85"/>
      <c r="J24" s="85"/>
      <c r="K24" s="85"/>
      <c r="L24" s="111"/>
      <c r="M24" s="88" t="s">
        <v>110</v>
      </c>
      <c r="N24" s="89">
        <v>156</v>
      </c>
      <c r="O24" s="89">
        <v>176</v>
      </c>
      <c r="P24" s="89">
        <v>164</v>
      </c>
      <c r="Q24" s="89">
        <v>175</v>
      </c>
      <c r="R24" s="89">
        <v>185</v>
      </c>
      <c r="S24" s="89">
        <v>205</v>
      </c>
      <c r="T24" s="85"/>
      <c r="U24" s="85"/>
      <c r="V24" s="85"/>
      <c r="W24" s="111"/>
      <c r="X24" s="88" t="s">
        <v>110</v>
      </c>
      <c r="Y24" s="89">
        <v>433</v>
      </c>
      <c r="Z24" s="89">
        <v>506</v>
      </c>
      <c r="AA24" s="89">
        <v>472</v>
      </c>
      <c r="AB24" s="89">
        <v>484</v>
      </c>
      <c r="AC24" s="89">
        <v>517</v>
      </c>
      <c r="AD24" s="89">
        <v>586</v>
      </c>
    </row>
    <row r="25" spans="1:30" x14ac:dyDescent="0.3">
      <c r="A25" s="111"/>
      <c r="B25" s="88" t="s">
        <v>111</v>
      </c>
      <c r="C25" s="89">
        <v>116</v>
      </c>
      <c r="D25" s="89">
        <v>124</v>
      </c>
      <c r="E25" s="89">
        <v>118</v>
      </c>
      <c r="F25" s="89">
        <v>114</v>
      </c>
      <c r="G25" s="89">
        <v>126</v>
      </c>
      <c r="H25" s="89">
        <v>137</v>
      </c>
      <c r="I25" s="85"/>
      <c r="J25" s="85"/>
      <c r="K25" s="85"/>
      <c r="L25" s="111"/>
      <c r="M25" s="88" t="s">
        <v>111</v>
      </c>
      <c r="N25" s="89">
        <v>160</v>
      </c>
      <c r="O25" s="89">
        <v>178</v>
      </c>
      <c r="P25" s="89">
        <v>172</v>
      </c>
      <c r="Q25" s="89">
        <v>180</v>
      </c>
      <c r="R25" s="89">
        <v>186</v>
      </c>
      <c r="S25" s="89">
        <v>206</v>
      </c>
      <c r="T25" s="85"/>
      <c r="U25" s="85"/>
      <c r="V25" s="85"/>
      <c r="W25" s="111"/>
      <c r="X25" s="88" t="s">
        <v>111</v>
      </c>
      <c r="Y25" s="89">
        <v>446</v>
      </c>
      <c r="Z25" s="89">
        <v>508</v>
      </c>
      <c r="AA25" s="89">
        <v>485</v>
      </c>
      <c r="AB25" s="89">
        <v>490</v>
      </c>
      <c r="AC25" s="89">
        <v>511</v>
      </c>
      <c r="AD25" s="89">
        <v>592</v>
      </c>
    </row>
    <row r="26" spans="1:30" x14ac:dyDescent="0.3">
      <c r="A26" s="111"/>
      <c r="B26" s="88" t="s">
        <v>112</v>
      </c>
      <c r="C26" s="89">
        <v>117</v>
      </c>
      <c r="D26" s="89">
        <v>124</v>
      </c>
      <c r="E26" s="89">
        <v>118</v>
      </c>
      <c r="F26" s="89">
        <v>121</v>
      </c>
      <c r="G26" s="89">
        <v>125</v>
      </c>
      <c r="H26" s="89">
        <v>141</v>
      </c>
      <c r="I26" s="85"/>
      <c r="J26" s="85"/>
      <c r="K26" s="85"/>
      <c r="L26" s="111"/>
      <c r="M26" s="88" t="s">
        <v>112</v>
      </c>
      <c r="N26" s="89">
        <v>160</v>
      </c>
      <c r="O26" s="89">
        <v>180</v>
      </c>
      <c r="P26" s="89">
        <v>171</v>
      </c>
      <c r="Q26" s="89">
        <v>188</v>
      </c>
      <c r="R26" s="89">
        <v>188</v>
      </c>
      <c r="S26" s="89">
        <v>210</v>
      </c>
      <c r="T26" s="85"/>
      <c r="U26" s="85"/>
      <c r="V26" s="85"/>
      <c r="W26" s="111"/>
      <c r="X26" s="88" t="s">
        <v>112</v>
      </c>
      <c r="Y26" s="89">
        <v>451</v>
      </c>
      <c r="Z26" s="89">
        <v>515</v>
      </c>
      <c r="AA26" s="89">
        <v>484</v>
      </c>
      <c r="AB26" s="89">
        <v>509</v>
      </c>
      <c r="AC26" s="89">
        <v>524</v>
      </c>
      <c r="AD26" s="89">
        <v>601</v>
      </c>
    </row>
    <row r="27" spans="1:30" x14ac:dyDescent="0.3">
      <c r="A27" s="111"/>
      <c r="B27" s="88" t="s">
        <v>113</v>
      </c>
      <c r="C27" s="89">
        <v>115</v>
      </c>
      <c r="D27" s="89">
        <v>116</v>
      </c>
      <c r="E27" s="89">
        <v>117</v>
      </c>
      <c r="F27" s="89">
        <v>119</v>
      </c>
      <c r="G27" s="89">
        <v>123</v>
      </c>
      <c r="H27" s="89">
        <v>141</v>
      </c>
      <c r="I27" s="85"/>
      <c r="J27" s="85"/>
      <c r="K27" s="85"/>
      <c r="L27" s="111"/>
      <c r="M27" s="88" t="s">
        <v>113</v>
      </c>
      <c r="N27" s="89">
        <v>159</v>
      </c>
      <c r="O27" s="89">
        <v>170</v>
      </c>
      <c r="P27" s="89">
        <v>167</v>
      </c>
      <c r="Q27" s="89">
        <v>188</v>
      </c>
      <c r="R27" s="89">
        <v>185</v>
      </c>
      <c r="S27" s="89">
        <v>209</v>
      </c>
      <c r="T27" s="85"/>
      <c r="U27" s="85"/>
      <c r="V27" s="85"/>
      <c r="W27" s="111"/>
      <c r="X27" s="88" t="s">
        <v>113</v>
      </c>
      <c r="Y27" s="89">
        <v>445</v>
      </c>
      <c r="Z27" s="89">
        <v>492</v>
      </c>
      <c r="AA27" s="89">
        <v>486</v>
      </c>
      <c r="AB27" s="89">
        <v>510</v>
      </c>
      <c r="AC27" s="89">
        <v>518</v>
      </c>
      <c r="AD27" s="89">
        <v>600</v>
      </c>
    </row>
    <row r="28" spans="1:30" x14ac:dyDescent="0.3">
      <c r="A28" s="111"/>
      <c r="B28" s="88" t="s">
        <v>114</v>
      </c>
      <c r="C28" s="89">
        <v>121</v>
      </c>
      <c r="D28" s="89">
        <v>114</v>
      </c>
      <c r="E28" s="89">
        <v>110</v>
      </c>
      <c r="F28" s="89">
        <v>119</v>
      </c>
      <c r="G28" s="89">
        <v>124</v>
      </c>
      <c r="H28" s="89">
        <v>146</v>
      </c>
      <c r="I28" s="85"/>
      <c r="J28" s="85"/>
      <c r="K28" s="85"/>
      <c r="L28" s="111"/>
      <c r="M28" s="88" t="s">
        <v>114</v>
      </c>
      <c r="N28" s="89">
        <v>168</v>
      </c>
      <c r="O28" s="89">
        <v>170</v>
      </c>
      <c r="P28" s="89">
        <v>160</v>
      </c>
      <c r="Q28" s="89">
        <v>185</v>
      </c>
      <c r="R28" s="89">
        <v>183</v>
      </c>
      <c r="S28" s="89">
        <v>224</v>
      </c>
      <c r="T28" s="85"/>
      <c r="U28" s="85"/>
      <c r="V28" s="85"/>
      <c r="W28" s="111"/>
      <c r="X28" s="88" t="s">
        <v>114</v>
      </c>
      <c r="Y28" s="89">
        <v>475</v>
      </c>
      <c r="Z28" s="89">
        <v>492</v>
      </c>
      <c r="AA28" s="89">
        <v>466</v>
      </c>
      <c r="AB28" s="89">
        <v>511</v>
      </c>
      <c r="AC28" s="89">
        <v>516</v>
      </c>
      <c r="AD28" s="89">
        <v>633</v>
      </c>
    </row>
    <row r="29" spans="1:30" x14ac:dyDescent="0.3">
      <c r="A29" s="110" t="s">
        <v>2</v>
      </c>
      <c r="B29" s="85" t="s">
        <v>103</v>
      </c>
      <c r="C29" s="87">
        <v>58</v>
      </c>
      <c r="D29" s="87">
        <v>54</v>
      </c>
      <c r="E29" s="87">
        <v>55</v>
      </c>
      <c r="F29" s="87">
        <v>65</v>
      </c>
      <c r="G29" s="87">
        <v>72</v>
      </c>
      <c r="H29" s="87">
        <v>82</v>
      </c>
      <c r="I29" s="85"/>
      <c r="J29" s="85"/>
      <c r="K29" s="85"/>
      <c r="L29" s="110" t="s">
        <v>2</v>
      </c>
      <c r="M29" s="85" t="s">
        <v>103</v>
      </c>
      <c r="N29" s="87">
        <v>118</v>
      </c>
      <c r="O29" s="87">
        <v>120</v>
      </c>
      <c r="P29" s="87">
        <v>121</v>
      </c>
      <c r="Q29" s="87">
        <v>127</v>
      </c>
      <c r="R29" s="87">
        <v>135</v>
      </c>
      <c r="S29" s="87">
        <v>150</v>
      </c>
      <c r="T29" s="85"/>
      <c r="U29" s="85"/>
      <c r="V29" s="85"/>
      <c r="W29" s="110" t="s">
        <v>2</v>
      </c>
      <c r="X29" s="85" t="s">
        <v>103</v>
      </c>
      <c r="Y29" s="87">
        <v>309</v>
      </c>
      <c r="Z29" s="87">
        <v>303</v>
      </c>
      <c r="AA29" s="87">
        <v>307</v>
      </c>
      <c r="AB29" s="87">
        <v>320</v>
      </c>
      <c r="AC29" s="87">
        <v>327</v>
      </c>
      <c r="AD29" s="87">
        <v>354</v>
      </c>
    </row>
    <row r="30" spans="1:30" x14ac:dyDescent="0.3">
      <c r="A30" s="110"/>
      <c r="B30" s="85" t="s">
        <v>104</v>
      </c>
      <c r="C30" s="87">
        <v>52</v>
      </c>
      <c r="D30" s="87">
        <v>53</v>
      </c>
      <c r="E30" s="87">
        <v>56</v>
      </c>
      <c r="F30" s="87">
        <v>62</v>
      </c>
      <c r="G30" s="87">
        <v>72</v>
      </c>
      <c r="H30" s="87">
        <v>81</v>
      </c>
      <c r="I30" s="85"/>
      <c r="J30" s="85"/>
      <c r="K30" s="85"/>
      <c r="L30" s="110"/>
      <c r="M30" s="85" t="s">
        <v>104</v>
      </c>
      <c r="N30" s="87">
        <v>111</v>
      </c>
      <c r="O30" s="87">
        <v>117</v>
      </c>
      <c r="P30" s="87">
        <v>121</v>
      </c>
      <c r="Q30" s="87">
        <v>122</v>
      </c>
      <c r="R30" s="87">
        <v>140</v>
      </c>
      <c r="S30" s="87">
        <v>149</v>
      </c>
      <c r="T30" s="85"/>
      <c r="U30" s="85"/>
      <c r="V30" s="85"/>
      <c r="W30" s="110"/>
      <c r="X30" s="85" t="s">
        <v>104</v>
      </c>
      <c r="Y30" s="87">
        <v>293</v>
      </c>
      <c r="Z30" s="87">
        <v>299</v>
      </c>
      <c r="AA30" s="87">
        <v>309</v>
      </c>
      <c r="AB30" s="87">
        <v>301</v>
      </c>
      <c r="AC30" s="87">
        <v>330</v>
      </c>
      <c r="AD30" s="87">
        <v>355</v>
      </c>
    </row>
    <row r="31" spans="1:30" x14ac:dyDescent="0.3">
      <c r="A31" s="110"/>
      <c r="B31" s="85" t="s">
        <v>105</v>
      </c>
      <c r="C31" s="87">
        <v>58</v>
      </c>
      <c r="D31" s="87">
        <v>50</v>
      </c>
      <c r="E31" s="87">
        <v>58</v>
      </c>
      <c r="F31" s="87">
        <v>62</v>
      </c>
      <c r="G31" s="87">
        <v>70</v>
      </c>
      <c r="H31" s="87">
        <v>85</v>
      </c>
      <c r="I31" s="85"/>
      <c r="J31" s="85"/>
      <c r="K31" s="85"/>
      <c r="L31" s="110"/>
      <c r="M31" s="85" t="s">
        <v>105</v>
      </c>
      <c r="N31" s="87">
        <v>124</v>
      </c>
      <c r="O31" s="87">
        <v>110</v>
      </c>
      <c r="P31" s="87">
        <v>125</v>
      </c>
      <c r="Q31" s="87">
        <v>121</v>
      </c>
      <c r="R31" s="87">
        <v>134</v>
      </c>
      <c r="S31" s="87">
        <v>151</v>
      </c>
      <c r="T31" s="85"/>
      <c r="U31" s="85"/>
      <c r="V31" s="85"/>
      <c r="W31" s="110"/>
      <c r="X31" s="85" t="s">
        <v>105</v>
      </c>
      <c r="Y31" s="87">
        <v>315</v>
      </c>
      <c r="Z31" s="87">
        <v>280</v>
      </c>
      <c r="AA31" s="87">
        <v>321</v>
      </c>
      <c r="AB31" s="87">
        <v>294</v>
      </c>
      <c r="AC31" s="87">
        <v>319</v>
      </c>
      <c r="AD31" s="87">
        <v>359</v>
      </c>
    </row>
    <row r="32" spans="1:30" x14ac:dyDescent="0.3">
      <c r="A32" s="110"/>
      <c r="B32" s="85" t="s">
        <v>106</v>
      </c>
      <c r="C32" s="87">
        <v>54</v>
      </c>
      <c r="D32" s="87">
        <v>50</v>
      </c>
      <c r="E32" s="87">
        <v>55</v>
      </c>
      <c r="F32" s="87">
        <v>61</v>
      </c>
      <c r="G32" s="87">
        <v>69</v>
      </c>
      <c r="H32" s="87">
        <v>83</v>
      </c>
      <c r="I32" s="85"/>
      <c r="J32" s="85"/>
      <c r="K32" s="85"/>
      <c r="L32" s="110"/>
      <c r="M32" s="85" t="s">
        <v>106</v>
      </c>
      <c r="N32" s="87">
        <v>120</v>
      </c>
      <c r="O32" s="87">
        <v>108</v>
      </c>
      <c r="P32" s="87">
        <v>120</v>
      </c>
      <c r="Q32" s="87">
        <v>119</v>
      </c>
      <c r="R32" s="87">
        <v>132</v>
      </c>
      <c r="S32" s="87">
        <v>147</v>
      </c>
      <c r="T32" s="85"/>
      <c r="U32" s="85"/>
      <c r="V32" s="85"/>
      <c r="W32" s="110"/>
      <c r="X32" s="85" t="s">
        <v>106</v>
      </c>
      <c r="Y32" s="87">
        <v>303</v>
      </c>
      <c r="Z32" s="87">
        <v>278</v>
      </c>
      <c r="AA32" s="87">
        <v>306</v>
      </c>
      <c r="AB32" s="87">
        <v>288</v>
      </c>
      <c r="AC32" s="87">
        <v>317</v>
      </c>
      <c r="AD32" s="87">
        <v>354</v>
      </c>
    </row>
    <row r="33" spans="1:30" x14ac:dyDescent="0.3">
      <c r="A33" s="110"/>
      <c r="B33" s="85" t="s">
        <v>107</v>
      </c>
      <c r="C33" s="87">
        <v>55</v>
      </c>
      <c r="D33" s="87">
        <v>51</v>
      </c>
      <c r="E33" s="87">
        <v>57</v>
      </c>
      <c r="F33" s="87">
        <v>62</v>
      </c>
      <c r="G33" s="87">
        <v>63</v>
      </c>
      <c r="H33" s="87">
        <v>85</v>
      </c>
      <c r="I33" s="85"/>
      <c r="J33" s="85"/>
      <c r="K33" s="85"/>
      <c r="L33" s="110"/>
      <c r="M33" s="85" t="s">
        <v>107</v>
      </c>
      <c r="N33" s="87">
        <v>120</v>
      </c>
      <c r="O33" s="87">
        <v>111</v>
      </c>
      <c r="P33" s="87">
        <v>122</v>
      </c>
      <c r="Q33" s="87">
        <v>121</v>
      </c>
      <c r="R33" s="87">
        <v>129</v>
      </c>
      <c r="S33" s="87">
        <v>149</v>
      </c>
      <c r="T33" s="85"/>
      <c r="U33" s="85"/>
      <c r="V33" s="85"/>
      <c r="W33" s="110"/>
      <c r="X33" s="85" t="s">
        <v>107</v>
      </c>
      <c r="Y33" s="87">
        <v>319</v>
      </c>
      <c r="Z33" s="87">
        <v>287</v>
      </c>
      <c r="AA33" s="87">
        <v>312</v>
      </c>
      <c r="AB33" s="87">
        <v>292</v>
      </c>
      <c r="AC33" s="87">
        <v>303</v>
      </c>
      <c r="AD33" s="87">
        <v>357</v>
      </c>
    </row>
    <row r="34" spans="1:30" x14ac:dyDescent="0.3">
      <c r="A34" s="110"/>
      <c r="B34" s="85" t="s">
        <v>108</v>
      </c>
      <c r="C34" s="87">
        <v>48</v>
      </c>
      <c r="D34" s="87">
        <v>52</v>
      </c>
      <c r="E34" s="87">
        <v>59</v>
      </c>
      <c r="F34" s="87">
        <v>62</v>
      </c>
      <c r="G34" s="87">
        <v>77</v>
      </c>
      <c r="H34" s="87">
        <v>90</v>
      </c>
      <c r="I34" s="85"/>
      <c r="J34" s="85"/>
      <c r="K34" s="85"/>
      <c r="L34" s="110"/>
      <c r="M34" s="85" t="s">
        <v>108</v>
      </c>
      <c r="N34" s="87">
        <v>108</v>
      </c>
      <c r="O34" s="87">
        <v>111</v>
      </c>
      <c r="P34" s="87">
        <v>121</v>
      </c>
      <c r="Q34" s="87">
        <v>120</v>
      </c>
      <c r="R34" s="87">
        <v>146</v>
      </c>
      <c r="S34" s="87">
        <v>160</v>
      </c>
      <c r="T34" s="85"/>
      <c r="U34" s="85"/>
      <c r="V34" s="85"/>
      <c r="W34" s="110"/>
      <c r="X34" s="85" t="s">
        <v>108</v>
      </c>
      <c r="Y34" s="87">
        <v>287</v>
      </c>
      <c r="Z34" s="87">
        <v>289</v>
      </c>
      <c r="AA34" s="87">
        <v>314</v>
      </c>
      <c r="AB34" s="87">
        <v>290</v>
      </c>
      <c r="AC34" s="87">
        <v>348</v>
      </c>
      <c r="AD34" s="87">
        <v>390</v>
      </c>
    </row>
    <row r="35" spans="1:30" x14ac:dyDescent="0.3">
      <c r="A35" s="110"/>
      <c r="B35" s="85" t="s">
        <v>109</v>
      </c>
      <c r="C35" s="87">
        <v>48</v>
      </c>
      <c r="D35" s="87">
        <v>51</v>
      </c>
      <c r="E35" s="87">
        <v>60</v>
      </c>
      <c r="F35" s="87">
        <v>64</v>
      </c>
      <c r="G35" s="87">
        <v>85</v>
      </c>
      <c r="H35" s="87">
        <v>89</v>
      </c>
      <c r="I35" s="85"/>
      <c r="J35" s="85"/>
      <c r="K35" s="85"/>
      <c r="L35" s="110"/>
      <c r="M35" s="85" t="s">
        <v>109</v>
      </c>
      <c r="N35" s="87">
        <v>108</v>
      </c>
      <c r="O35" s="87">
        <v>107</v>
      </c>
      <c r="P35" s="87">
        <v>123</v>
      </c>
      <c r="Q35" s="87">
        <v>124</v>
      </c>
      <c r="R35" s="87">
        <v>156</v>
      </c>
      <c r="S35" s="87">
        <v>159</v>
      </c>
      <c r="T35" s="85"/>
      <c r="U35" s="85"/>
      <c r="V35" s="85"/>
      <c r="W35" s="110"/>
      <c r="X35" s="85" t="s">
        <v>109</v>
      </c>
      <c r="Y35" s="87">
        <v>287</v>
      </c>
      <c r="Z35" s="87">
        <v>279</v>
      </c>
      <c r="AA35" s="87">
        <v>315</v>
      </c>
      <c r="AB35" s="87">
        <v>310</v>
      </c>
      <c r="AC35" s="87">
        <v>374</v>
      </c>
      <c r="AD35" s="87">
        <v>389</v>
      </c>
    </row>
    <row r="36" spans="1:30" x14ac:dyDescent="0.3">
      <c r="A36" s="110"/>
      <c r="B36" s="85" t="s">
        <v>110</v>
      </c>
      <c r="C36" s="87">
        <v>48</v>
      </c>
      <c r="D36" s="87">
        <v>54</v>
      </c>
      <c r="E36" s="87">
        <v>58</v>
      </c>
      <c r="F36" s="87">
        <v>64</v>
      </c>
      <c r="G36" s="87">
        <v>80</v>
      </c>
      <c r="H36" s="87">
        <v>87</v>
      </c>
      <c r="I36" s="85"/>
      <c r="J36" s="85"/>
      <c r="K36" s="85"/>
      <c r="L36" s="110"/>
      <c r="M36" s="85" t="s">
        <v>110</v>
      </c>
      <c r="N36" s="87">
        <v>107</v>
      </c>
      <c r="O36" s="87">
        <v>109</v>
      </c>
      <c r="P36" s="87">
        <v>121</v>
      </c>
      <c r="Q36" s="87">
        <v>122</v>
      </c>
      <c r="R36" s="87">
        <v>145</v>
      </c>
      <c r="S36" s="87">
        <v>152</v>
      </c>
      <c r="T36" s="85"/>
      <c r="U36" s="85"/>
      <c r="V36" s="85"/>
      <c r="W36" s="110"/>
      <c r="X36" s="85" t="s">
        <v>110</v>
      </c>
      <c r="Y36" s="87">
        <v>285</v>
      </c>
      <c r="Z36" s="87">
        <v>284</v>
      </c>
      <c r="AA36" s="87">
        <v>308</v>
      </c>
      <c r="AB36" s="87">
        <v>293</v>
      </c>
      <c r="AC36" s="87">
        <v>342</v>
      </c>
      <c r="AD36" s="87">
        <v>374</v>
      </c>
    </row>
    <row r="37" spans="1:30" x14ac:dyDescent="0.3">
      <c r="A37" s="110"/>
      <c r="B37" s="85" t="s">
        <v>111</v>
      </c>
      <c r="C37" s="87">
        <v>55</v>
      </c>
      <c r="D37" s="87">
        <v>56</v>
      </c>
      <c r="E37" s="87">
        <v>58</v>
      </c>
      <c r="F37" s="87">
        <v>58</v>
      </c>
      <c r="G37" s="87">
        <v>82</v>
      </c>
      <c r="H37" s="87">
        <v>87</v>
      </c>
      <c r="I37" s="85"/>
      <c r="J37" s="85"/>
      <c r="K37" s="85"/>
      <c r="L37" s="110"/>
      <c r="M37" s="85" t="s">
        <v>111</v>
      </c>
      <c r="N37" s="87">
        <v>118</v>
      </c>
      <c r="O37" s="87">
        <v>110</v>
      </c>
      <c r="P37" s="87">
        <v>120</v>
      </c>
      <c r="Q37" s="87">
        <v>118</v>
      </c>
      <c r="R37" s="87">
        <v>149</v>
      </c>
      <c r="S37" s="87">
        <v>154</v>
      </c>
      <c r="T37" s="85"/>
      <c r="U37" s="85"/>
      <c r="V37" s="85"/>
      <c r="W37" s="110"/>
      <c r="X37" s="85" t="s">
        <v>111</v>
      </c>
      <c r="Y37" s="87">
        <v>311</v>
      </c>
      <c r="Z37" s="87">
        <v>290</v>
      </c>
      <c r="AA37" s="87">
        <v>309</v>
      </c>
      <c r="AB37" s="87">
        <v>280</v>
      </c>
      <c r="AC37" s="87">
        <v>355</v>
      </c>
      <c r="AD37" s="87">
        <v>379</v>
      </c>
    </row>
    <row r="38" spans="1:30" x14ac:dyDescent="0.3">
      <c r="A38" s="110"/>
      <c r="B38" s="85" t="s">
        <v>112</v>
      </c>
      <c r="C38" s="87">
        <v>61</v>
      </c>
      <c r="D38" s="87">
        <v>56</v>
      </c>
      <c r="E38" s="87">
        <v>65</v>
      </c>
      <c r="F38" s="87">
        <v>64</v>
      </c>
      <c r="G38" s="87">
        <v>81</v>
      </c>
      <c r="H38" s="87">
        <v>88</v>
      </c>
      <c r="I38" s="85"/>
      <c r="J38" s="85"/>
      <c r="K38" s="85"/>
      <c r="L38" s="110"/>
      <c r="M38" s="85" t="s">
        <v>112</v>
      </c>
      <c r="N38" s="87">
        <v>123</v>
      </c>
      <c r="O38" s="87">
        <v>110</v>
      </c>
      <c r="P38" s="87">
        <v>125</v>
      </c>
      <c r="Q38" s="87">
        <v>127</v>
      </c>
      <c r="R38" s="87">
        <v>147</v>
      </c>
      <c r="S38" s="87">
        <v>155</v>
      </c>
      <c r="T38" s="85"/>
      <c r="U38" s="85"/>
      <c r="V38" s="85"/>
      <c r="W38" s="110"/>
      <c r="X38" s="85" t="s">
        <v>112</v>
      </c>
      <c r="Y38" s="87">
        <v>331</v>
      </c>
      <c r="Z38" s="87">
        <v>288</v>
      </c>
      <c r="AA38" s="87">
        <v>318</v>
      </c>
      <c r="AB38" s="87">
        <v>302</v>
      </c>
      <c r="AC38" s="87">
        <v>349</v>
      </c>
      <c r="AD38" s="87">
        <v>381</v>
      </c>
    </row>
    <row r="39" spans="1:30" x14ac:dyDescent="0.3">
      <c r="A39" s="110"/>
      <c r="B39" s="85" t="s">
        <v>113</v>
      </c>
      <c r="C39" s="87">
        <v>59</v>
      </c>
      <c r="D39" s="87">
        <v>48</v>
      </c>
      <c r="E39" s="87">
        <v>64</v>
      </c>
      <c r="F39" s="87">
        <v>69</v>
      </c>
      <c r="G39" s="87">
        <v>77</v>
      </c>
      <c r="H39" s="87">
        <v>82</v>
      </c>
      <c r="I39" s="85"/>
      <c r="J39" s="85"/>
      <c r="K39" s="85"/>
      <c r="L39" s="110"/>
      <c r="M39" s="85" t="s">
        <v>113</v>
      </c>
      <c r="N39" s="87">
        <v>121</v>
      </c>
      <c r="O39" s="87">
        <v>98</v>
      </c>
      <c r="P39" s="87">
        <v>127</v>
      </c>
      <c r="Q39" s="87">
        <v>136</v>
      </c>
      <c r="R39" s="87">
        <v>141</v>
      </c>
      <c r="S39" s="87">
        <v>149</v>
      </c>
      <c r="T39" s="85"/>
      <c r="U39" s="85"/>
      <c r="V39" s="85"/>
      <c r="W39" s="110"/>
      <c r="X39" s="85" t="s">
        <v>113</v>
      </c>
      <c r="Y39" s="87">
        <v>328</v>
      </c>
      <c r="Z39" s="87">
        <v>260</v>
      </c>
      <c r="AA39" s="87">
        <v>324</v>
      </c>
      <c r="AB39" s="87">
        <v>334</v>
      </c>
      <c r="AC39" s="87">
        <v>345</v>
      </c>
      <c r="AD39" s="87">
        <v>361</v>
      </c>
    </row>
    <row r="40" spans="1:30" x14ac:dyDescent="0.3">
      <c r="A40" s="110"/>
      <c r="B40" s="85" t="s">
        <v>114</v>
      </c>
      <c r="C40" s="87">
        <v>61</v>
      </c>
      <c r="D40" s="87">
        <v>49</v>
      </c>
      <c r="E40" s="87">
        <v>65</v>
      </c>
      <c r="F40" s="87">
        <v>66</v>
      </c>
      <c r="G40" s="87">
        <v>83</v>
      </c>
      <c r="H40" s="87">
        <v>88</v>
      </c>
      <c r="I40" s="85"/>
      <c r="J40" s="85"/>
      <c r="K40" s="85"/>
      <c r="L40" s="110"/>
      <c r="M40" s="85" t="s">
        <v>114</v>
      </c>
      <c r="N40" s="87">
        <v>126</v>
      </c>
      <c r="O40" s="87">
        <v>105</v>
      </c>
      <c r="P40" s="87">
        <v>131</v>
      </c>
      <c r="Q40" s="87">
        <v>132</v>
      </c>
      <c r="R40" s="87">
        <v>151</v>
      </c>
      <c r="S40" s="87">
        <v>155</v>
      </c>
      <c r="T40" s="85"/>
      <c r="U40" s="85"/>
      <c r="V40" s="85"/>
      <c r="W40" s="110"/>
      <c r="X40" s="85" t="s">
        <v>114</v>
      </c>
      <c r="Y40" s="87">
        <v>336</v>
      </c>
      <c r="Z40" s="87">
        <v>269</v>
      </c>
      <c r="AA40" s="87">
        <v>332</v>
      </c>
      <c r="AB40" s="87">
        <v>312</v>
      </c>
      <c r="AC40" s="87">
        <v>367</v>
      </c>
      <c r="AD40" s="87">
        <v>383</v>
      </c>
    </row>
    <row r="41" spans="1:30" x14ac:dyDescent="0.3">
      <c r="A41" s="111" t="s">
        <v>4</v>
      </c>
      <c r="B41" s="88" t="s">
        <v>103</v>
      </c>
      <c r="C41" s="89">
        <v>51</v>
      </c>
      <c r="D41" s="89">
        <v>34</v>
      </c>
      <c r="E41" s="89">
        <v>45</v>
      </c>
      <c r="F41" s="89">
        <v>47</v>
      </c>
      <c r="G41" s="89">
        <v>62</v>
      </c>
      <c r="H41" s="89">
        <v>87</v>
      </c>
      <c r="I41" s="85"/>
      <c r="J41" s="85"/>
      <c r="K41" s="85"/>
      <c r="L41" s="111" t="s">
        <v>4</v>
      </c>
      <c r="M41" s="88" t="s">
        <v>103</v>
      </c>
      <c r="N41" s="89">
        <v>59</v>
      </c>
      <c r="O41" s="89">
        <v>57</v>
      </c>
      <c r="P41" s="89">
        <v>76</v>
      </c>
      <c r="Q41" s="89">
        <v>65</v>
      </c>
      <c r="R41" s="89">
        <v>90</v>
      </c>
      <c r="S41" s="89">
        <v>135</v>
      </c>
      <c r="T41" s="85"/>
      <c r="U41" s="85"/>
      <c r="V41" s="85"/>
      <c r="W41" s="111" t="s">
        <v>4</v>
      </c>
      <c r="X41" s="88" t="s">
        <v>103</v>
      </c>
      <c r="Y41" s="89">
        <v>205</v>
      </c>
      <c r="Z41" s="89">
        <v>146</v>
      </c>
      <c r="AA41" s="89">
        <v>202</v>
      </c>
      <c r="AB41" s="89">
        <v>166</v>
      </c>
      <c r="AC41" s="89">
        <v>228</v>
      </c>
      <c r="AD41" s="89">
        <v>312</v>
      </c>
    </row>
    <row r="42" spans="1:30" x14ac:dyDescent="0.3">
      <c r="A42" s="111"/>
      <c r="B42" s="88" t="s">
        <v>104</v>
      </c>
      <c r="C42" s="89">
        <v>48</v>
      </c>
      <c r="D42" s="89">
        <v>36</v>
      </c>
      <c r="E42" s="89">
        <v>36</v>
      </c>
      <c r="F42" s="89">
        <v>48</v>
      </c>
      <c r="G42" s="89">
        <v>66</v>
      </c>
      <c r="H42" s="89">
        <v>88</v>
      </c>
      <c r="I42" s="85"/>
      <c r="J42" s="85"/>
      <c r="K42" s="85"/>
      <c r="L42" s="111"/>
      <c r="M42" s="88" t="s">
        <v>104</v>
      </c>
      <c r="N42" s="89">
        <v>59</v>
      </c>
      <c r="O42" s="89">
        <v>57</v>
      </c>
      <c r="P42" s="89">
        <v>66</v>
      </c>
      <c r="Q42" s="89">
        <v>66</v>
      </c>
      <c r="R42" s="89">
        <v>95</v>
      </c>
      <c r="S42" s="89">
        <v>133</v>
      </c>
      <c r="T42" s="85"/>
      <c r="U42" s="85"/>
      <c r="V42" s="85"/>
      <c r="W42" s="111"/>
      <c r="X42" s="88" t="s">
        <v>104</v>
      </c>
      <c r="Y42" s="89">
        <v>196</v>
      </c>
      <c r="Z42" s="89">
        <v>155</v>
      </c>
      <c r="AA42" s="89">
        <v>177</v>
      </c>
      <c r="AB42" s="89">
        <v>169</v>
      </c>
      <c r="AC42" s="89">
        <v>238</v>
      </c>
      <c r="AD42" s="89">
        <v>309</v>
      </c>
    </row>
    <row r="43" spans="1:30" x14ac:dyDescent="0.3">
      <c r="A43" s="111"/>
      <c r="B43" s="88" t="s">
        <v>105</v>
      </c>
      <c r="C43" s="89">
        <v>47</v>
      </c>
      <c r="D43" s="89">
        <v>38</v>
      </c>
      <c r="E43" s="89">
        <v>37</v>
      </c>
      <c r="F43" s="89">
        <v>46</v>
      </c>
      <c r="G43" s="89">
        <v>66</v>
      </c>
      <c r="H43" s="89">
        <v>97</v>
      </c>
      <c r="I43" s="85"/>
      <c r="J43" s="85"/>
      <c r="K43" s="85"/>
      <c r="L43" s="111"/>
      <c r="M43" s="88" t="s">
        <v>105</v>
      </c>
      <c r="N43" s="89">
        <v>60</v>
      </c>
      <c r="O43" s="89">
        <v>59</v>
      </c>
      <c r="P43" s="89">
        <v>67</v>
      </c>
      <c r="Q43" s="89">
        <v>63</v>
      </c>
      <c r="R43" s="89">
        <v>95</v>
      </c>
      <c r="S43" s="89">
        <v>148</v>
      </c>
      <c r="T43" s="85"/>
      <c r="U43" s="85"/>
      <c r="V43" s="85"/>
      <c r="W43" s="111"/>
      <c r="X43" s="88" t="s">
        <v>105</v>
      </c>
      <c r="Y43" s="89">
        <v>196</v>
      </c>
      <c r="Z43" s="89">
        <v>164</v>
      </c>
      <c r="AA43" s="89">
        <v>174</v>
      </c>
      <c r="AB43" s="89">
        <v>157</v>
      </c>
      <c r="AC43" s="89">
        <v>236</v>
      </c>
      <c r="AD43" s="89">
        <v>348</v>
      </c>
    </row>
    <row r="44" spans="1:30" x14ac:dyDescent="0.3">
      <c r="A44" s="111"/>
      <c r="B44" s="88" t="s">
        <v>106</v>
      </c>
      <c r="C44" s="89">
        <v>42</v>
      </c>
      <c r="D44" s="89">
        <v>38</v>
      </c>
      <c r="E44" s="89">
        <v>49</v>
      </c>
      <c r="F44" s="89">
        <v>46</v>
      </c>
      <c r="G44" s="89">
        <v>66</v>
      </c>
      <c r="H44" s="89">
        <v>102</v>
      </c>
      <c r="I44" s="85"/>
      <c r="J44" s="85"/>
      <c r="K44" s="85"/>
      <c r="L44" s="111"/>
      <c r="M44" s="88" t="s">
        <v>106</v>
      </c>
      <c r="N44" s="89">
        <v>59</v>
      </c>
      <c r="O44" s="89">
        <v>55</v>
      </c>
      <c r="P44" s="89">
        <v>78</v>
      </c>
      <c r="Q44" s="89">
        <v>63</v>
      </c>
      <c r="R44" s="89">
        <v>96</v>
      </c>
      <c r="S44" s="89">
        <v>149</v>
      </c>
      <c r="T44" s="85"/>
      <c r="U44" s="85"/>
      <c r="V44" s="85"/>
      <c r="W44" s="111"/>
      <c r="X44" s="88" t="s">
        <v>106</v>
      </c>
      <c r="Y44" s="89">
        <v>175</v>
      </c>
      <c r="Z44" s="89">
        <v>155</v>
      </c>
      <c r="AA44" s="89">
        <v>205</v>
      </c>
      <c r="AB44" s="89">
        <v>160</v>
      </c>
      <c r="AC44" s="89">
        <v>232</v>
      </c>
      <c r="AD44" s="89">
        <v>360</v>
      </c>
    </row>
    <row r="45" spans="1:30" x14ac:dyDescent="0.3">
      <c r="A45" s="111"/>
      <c r="B45" s="88" t="s">
        <v>107</v>
      </c>
      <c r="C45" s="89">
        <v>43</v>
      </c>
      <c r="D45" s="89">
        <v>39</v>
      </c>
      <c r="E45" s="89">
        <v>49</v>
      </c>
      <c r="F45" s="89">
        <v>51</v>
      </c>
      <c r="G45" s="89">
        <v>66</v>
      </c>
      <c r="H45" s="89">
        <v>101</v>
      </c>
      <c r="I45" s="85"/>
      <c r="J45" s="85"/>
      <c r="K45" s="85"/>
      <c r="L45" s="111"/>
      <c r="M45" s="88" t="s">
        <v>107</v>
      </c>
      <c r="N45" s="89">
        <v>63</v>
      </c>
      <c r="O45" s="89">
        <v>58</v>
      </c>
      <c r="P45" s="89">
        <v>74</v>
      </c>
      <c r="Q45" s="89">
        <v>71</v>
      </c>
      <c r="R45" s="89">
        <v>96</v>
      </c>
      <c r="S45" s="89">
        <v>150</v>
      </c>
      <c r="T45" s="85"/>
      <c r="U45" s="85"/>
      <c r="V45" s="85"/>
      <c r="W45" s="111"/>
      <c r="X45" s="88" t="s">
        <v>107</v>
      </c>
      <c r="Y45" s="89">
        <v>182</v>
      </c>
      <c r="Z45" s="89">
        <v>171</v>
      </c>
      <c r="AA45" s="89">
        <v>205</v>
      </c>
      <c r="AB45" s="89">
        <v>185</v>
      </c>
      <c r="AC45" s="89">
        <v>234</v>
      </c>
      <c r="AD45" s="89">
        <v>369</v>
      </c>
    </row>
    <row r="46" spans="1:30" x14ac:dyDescent="0.3">
      <c r="A46" s="111"/>
      <c r="B46" s="88" t="s">
        <v>108</v>
      </c>
      <c r="C46" s="89">
        <v>48</v>
      </c>
      <c r="D46" s="89">
        <v>38</v>
      </c>
      <c r="E46" s="89">
        <v>51</v>
      </c>
      <c r="F46" s="89">
        <v>55</v>
      </c>
      <c r="G46" s="89">
        <v>69</v>
      </c>
      <c r="H46" s="89">
        <v>104</v>
      </c>
      <c r="I46" s="85"/>
      <c r="J46" s="85"/>
      <c r="K46" s="85"/>
      <c r="L46" s="111"/>
      <c r="M46" s="88" t="s">
        <v>108</v>
      </c>
      <c r="N46" s="89">
        <v>76</v>
      </c>
      <c r="O46" s="89">
        <v>57</v>
      </c>
      <c r="P46" s="89">
        <v>79</v>
      </c>
      <c r="Q46" s="89">
        <v>69</v>
      </c>
      <c r="R46" s="89">
        <v>99</v>
      </c>
      <c r="S46" s="89">
        <v>155</v>
      </c>
      <c r="T46" s="85"/>
      <c r="U46" s="85"/>
      <c r="V46" s="85"/>
      <c r="W46" s="111"/>
      <c r="X46" s="88" t="s">
        <v>108</v>
      </c>
      <c r="Y46" s="89">
        <v>197</v>
      </c>
      <c r="Z46" s="89">
        <v>167</v>
      </c>
      <c r="AA46" s="89">
        <v>214</v>
      </c>
      <c r="AB46" s="89">
        <v>182</v>
      </c>
      <c r="AC46" s="89">
        <v>246</v>
      </c>
      <c r="AD46" s="89">
        <v>385</v>
      </c>
    </row>
    <row r="47" spans="1:30" x14ac:dyDescent="0.3">
      <c r="A47" s="111"/>
      <c r="B47" s="88" t="s">
        <v>109</v>
      </c>
      <c r="C47" s="89">
        <v>51</v>
      </c>
      <c r="D47" s="89">
        <v>46</v>
      </c>
      <c r="E47" s="89">
        <v>47</v>
      </c>
      <c r="F47" s="89">
        <v>59</v>
      </c>
      <c r="G47" s="89">
        <v>69</v>
      </c>
      <c r="H47" s="89">
        <v>103</v>
      </c>
      <c r="I47" s="85"/>
      <c r="J47" s="85"/>
      <c r="K47" s="85"/>
      <c r="L47" s="111"/>
      <c r="M47" s="88" t="s">
        <v>109</v>
      </c>
      <c r="N47" s="89">
        <v>82</v>
      </c>
      <c r="O47" s="89">
        <v>71</v>
      </c>
      <c r="P47" s="89">
        <v>73</v>
      </c>
      <c r="Q47" s="89">
        <v>78</v>
      </c>
      <c r="R47" s="89">
        <v>100</v>
      </c>
      <c r="S47" s="89">
        <v>153</v>
      </c>
      <c r="T47" s="85"/>
      <c r="U47" s="85"/>
      <c r="V47" s="85"/>
      <c r="W47" s="111"/>
      <c r="X47" s="88" t="s">
        <v>109</v>
      </c>
      <c r="Y47" s="89">
        <v>209</v>
      </c>
      <c r="Z47" s="89">
        <v>211</v>
      </c>
      <c r="AA47" s="89">
        <v>196</v>
      </c>
      <c r="AB47" s="89">
        <v>196</v>
      </c>
      <c r="AC47" s="89">
        <v>246</v>
      </c>
      <c r="AD47" s="89">
        <v>380</v>
      </c>
    </row>
    <row r="48" spans="1:30" x14ac:dyDescent="0.3">
      <c r="A48" s="111"/>
      <c r="B48" s="88" t="s">
        <v>110</v>
      </c>
      <c r="C48" s="89">
        <v>44</v>
      </c>
      <c r="D48" s="89">
        <v>40</v>
      </c>
      <c r="E48" s="89">
        <v>51</v>
      </c>
      <c r="F48" s="89">
        <v>55</v>
      </c>
      <c r="G48" s="89">
        <v>72</v>
      </c>
      <c r="H48" s="89">
        <v>106</v>
      </c>
      <c r="I48" s="85"/>
      <c r="J48" s="85"/>
      <c r="K48" s="85"/>
      <c r="L48" s="111"/>
      <c r="M48" s="88" t="s">
        <v>110</v>
      </c>
      <c r="N48" s="89">
        <v>77</v>
      </c>
      <c r="O48" s="89">
        <v>64</v>
      </c>
      <c r="P48" s="89">
        <v>77</v>
      </c>
      <c r="Q48" s="89">
        <v>78</v>
      </c>
      <c r="R48" s="89">
        <v>105</v>
      </c>
      <c r="S48" s="89">
        <v>156</v>
      </c>
      <c r="T48" s="85"/>
      <c r="U48" s="85"/>
      <c r="V48" s="85"/>
      <c r="W48" s="111"/>
      <c r="X48" s="88" t="s">
        <v>110</v>
      </c>
      <c r="Y48" s="89">
        <v>195</v>
      </c>
      <c r="Z48" s="89">
        <v>188</v>
      </c>
      <c r="AA48" s="89">
        <v>206</v>
      </c>
      <c r="AB48" s="89">
        <v>191</v>
      </c>
      <c r="AC48" s="89">
        <v>259</v>
      </c>
      <c r="AD48" s="89">
        <v>392</v>
      </c>
    </row>
    <row r="49" spans="1:30" x14ac:dyDescent="0.3">
      <c r="A49" s="111"/>
      <c r="B49" s="88" t="s">
        <v>111</v>
      </c>
      <c r="C49" s="89">
        <v>45</v>
      </c>
      <c r="D49" s="89">
        <v>42</v>
      </c>
      <c r="E49" s="89">
        <v>47</v>
      </c>
      <c r="F49" s="89">
        <v>62</v>
      </c>
      <c r="G49" s="89">
        <v>76</v>
      </c>
      <c r="H49" s="89">
        <v>111</v>
      </c>
      <c r="I49" s="85"/>
      <c r="J49" s="85"/>
      <c r="K49" s="85"/>
      <c r="L49" s="111"/>
      <c r="M49" s="88" t="s">
        <v>111</v>
      </c>
      <c r="N49" s="89">
        <v>79</v>
      </c>
      <c r="O49" s="89">
        <v>67</v>
      </c>
      <c r="P49" s="89">
        <v>73</v>
      </c>
      <c r="Q49" s="89">
        <v>90</v>
      </c>
      <c r="R49" s="89">
        <v>113</v>
      </c>
      <c r="S49" s="89">
        <v>163</v>
      </c>
      <c r="T49" s="85"/>
      <c r="U49" s="85"/>
      <c r="V49" s="85"/>
      <c r="W49" s="111"/>
      <c r="X49" s="88" t="s">
        <v>111</v>
      </c>
      <c r="Y49" s="89">
        <v>200</v>
      </c>
      <c r="Z49" s="89">
        <v>192</v>
      </c>
      <c r="AA49" s="89">
        <v>191</v>
      </c>
      <c r="AB49" s="89">
        <v>217</v>
      </c>
      <c r="AC49" s="89">
        <v>275</v>
      </c>
      <c r="AD49" s="89">
        <v>402</v>
      </c>
    </row>
    <row r="50" spans="1:30" x14ac:dyDescent="0.3">
      <c r="A50" s="111"/>
      <c r="B50" s="88" t="s">
        <v>112</v>
      </c>
      <c r="C50" s="89">
        <v>44</v>
      </c>
      <c r="D50" s="89">
        <v>42</v>
      </c>
      <c r="E50" s="89">
        <v>42</v>
      </c>
      <c r="F50" s="89">
        <v>64</v>
      </c>
      <c r="G50" s="89">
        <v>79</v>
      </c>
      <c r="H50" s="89">
        <v>110</v>
      </c>
      <c r="I50" s="85"/>
      <c r="J50" s="85"/>
      <c r="K50" s="85"/>
      <c r="L50" s="111"/>
      <c r="M50" s="88" t="s">
        <v>112</v>
      </c>
      <c r="N50" s="89">
        <v>76</v>
      </c>
      <c r="O50" s="89">
        <v>69</v>
      </c>
      <c r="P50" s="89">
        <v>63</v>
      </c>
      <c r="Q50" s="89">
        <v>94</v>
      </c>
      <c r="R50" s="89">
        <v>119</v>
      </c>
      <c r="S50" s="89">
        <v>162</v>
      </c>
      <c r="T50" s="85"/>
      <c r="U50" s="85"/>
      <c r="V50" s="85"/>
      <c r="W50" s="111"/>
      <c r="X50" s="88" t="s">
        <v>112</v>
      </c>
      <c r="Y50" s="89">
        <v>196</v>
      </c>
      <c r="Z50" s="89">
        <v>192</v>
      </c>
      <c r="AA50" s="89">
        <v>160</v>
      </c>
      <c r="AB50" s="89">
        <v>226</v>
      </c>
      <c r="AC50" s="89">
        <v>287</v>
      </c>
      <c r="AD50" s="89">
        <v>401</v>
      </c>
    </row>
    <row r="51" spans="1:30" x14ac:dyDescent="0.3">
      <c r="A51" s="111"/>
      <c r="B51" s="88" t="s">
        <v>113</v>
      </c>
      <c r="C51" s="89">
        <v>37</v>
      </c>
      <c r="D51" s="89">
        <v>43</v>
      </c>
      <c r="E51" s="89">
        <v>42</v>
      </c>
      <c r="F51" s="89">
        <v>58</v>
      </c>
      <c r="G51" s="89">
        <v>79</v>
      </c>
      <c r="H51" s="89">
        <v>115</v>
      </c>
      <c r="I51" s="85"/>
      <c r="J51" s="85"/>
      <c r="K51" s="85"/>
      <c r="L51" s="111"/>
      <c r="M51" s="88" t="s">
        <v>113</v>
      </c>
      <c r="N51" s="89">
        <v>65</v>
      </c>
      <c r="O51" s="89">
        <v>72</v>
      </c>
      <c r="P51" s="89">
        <v>63</v>
      </c>
      <c r="Q51" s="89">
        <v>80</v>
      </c>
      <c r="R51" s="89">
        <v>118</v>
      </c>
      <c r="S51" s="89">
        <v>175</v>
      </c>
      <c r="T51" s="85"/>
      <c r="U51" s="85"/>
      <c r="V51" s="85"/>
      <c r="W51" s="111"/>
      <c r="X51" s="88" t="s">
        <v>113</v>
      </c>
      <c r="Y51" s="89">
        <v>164</v>
      </c>
      <c r="Z51" s="89">
        <v>194</v>
      </c>
      <c r="AA51" s="89">
        <v>160</v>
      </c>
      <c r="AB51" s="89">
        <v>213</v>
      </c>
      <c r="AC51" s="89">
        <v>285</v>
      </c>
      <c r="AD51" s="89">
        <v>430</v>
      </c>
    </row>
    <row r="52" spans="1:30" x14ac:dyDescent="0.3">
      <c r="A52" s="111"/>
      <c r="B52" s="88" t="s">
        <v>114</v>
      </c>
      <c r="C52" s="89">
        <v>32</v>
      </c>
      <c r="D52" s="89">
        <v>46</v>
      </c>
      <c r="E52" s="89">
        <v>44</v>
      </c>
      <c r="F52" s="89">
        <v>56</v>
      </c>
      <c r="G52" s="89">
        <v>84</v>
      </c>
      <c r="H52" s="89">
        <v>120</v>
      </c>
      <c r="I52" s="85"/>
      <c r="J52" s="85"/>
      <c r="K52" s="85"/>
      <c r="L52" s="111"/>
      <c r="M52" s="88" t="s">
        <v>114</v>
      </c>
      <c r="N52" s="89">
        <v>54</v>
      </c>
      <c r="O52" s="89">
        <v>78</v>
      </c>
      <c r="P52" s="89">
        <v>61</v>
      </c>
      <c r="Q52" s="89">
        <v>82</v>
      </c>
      <c r="R52" s="89">
        <v>127</v>
      </c>
      <c r="S52" s="89">
        <v>182</v>
      </c>
      <c r="T52" s="85"/>
      <c r="U52" s="85"/>
      <c r="V52" s="85"/>
      <c r="W52" s="111"/>
      <c r="X52" s="88" t="s">
        <v>114</v>
      </c>
      <c r="Y52" s="89">
        <v>139</v>
      </c>
      <c r="Z52" s="89">
        <v>207</v>
      </c>
      <c r="AA52" s="89">
        <v>158</v>
      </c>
      <c r="AB52" s="89">
        <v>205</v>
      </c>
      <c r="AC52" s="89">
        <v>302</v>
      </c>
      <c r="AD52" s="89">
        <v>438</v>
      </c>
    </row>
    <row r="53" spans="1:30" x14ac:dyDescent="0.3">
      <c r="A53" s="90" t="s">
        <v>125</v>
      </c>
      <c r="B53" s="85"/>
      <c r="C53" s="85"/>
      <c r="D53" s="85"/>
      <c r="E53" s="85"/>
      <c r="F53" s="85"/>
      <c r="G53" s="85"/>
      <c r="H53" s="85"/>
      <c r="I53" s="85"/>
      <c r="J53" s="85"/>
      <c r="K53" s="85"/>
      <c r="L53" s="90" t="s">
        <v>125</v>
      </c>
      <c r="M53" s="85"/>
      <c r="N53" s="85"/>
      <c r="O53" s="85"/>
      <c r="P53" s="85"/>
      <c r="Q53" s="85"/>
      <c r="R53" s="85"/>
      <c r="S53" s="85"/>
      <c r="T53" s="85"/>
      <c r="U53" s="85"/>
      <c r="V53" s="85"/>
      <c r="W53" s="90" t="s">
        <v>125</v>
      </c>
      <c r="X53" s="85"/>
      <c r="Y53" s="85"/>
      <c r="Z53" s="85"/>
      <c r="AA53" s="85"/>
      <c r="AB53" s="85"/>
      <c r="AC53" s="85"/>
      <c r="AD53" s="85"/>
    </row>
    <row r="54" spans="1:30" x14ac:dyDescent="0.3">
      <c r="A54" s="91" t="s">
        <v>118</v>
      </c>
      <c r="L54" s="91" t="s">
        <v>118</v>
      </c>
      <c r="W54" s="91" t="s">
        <v>118</v>
      </c>
    </row>
  </sheetData>
  <mergeCells count="15">
    <mergeCell ref="L3:S3"/>
    <mergeCell ref="W3:AD3"/>
    <mergeCell ref="A29:A40"/>
    <mergeCell ref="W29:W40"/>
    <mergeCell ref="A41:A52"/>
    <mergeCell ref="W41:W52"/>
    <mergeCell ref="A5:A16"/>
    <mergeCell ref="W5:W16"/>
    <mergeCell ref="A17:A28"/>
    <mergeCell ref="W17:W28"/>
    <mergeCell ref="L5:L16"/>
    <mergeCell ref="L17:L28"/>
    <mergeCell ref="L29:L40"/>
    <mergeCell ref="L41:L52"/>
    <mergeCell ref="A3:H3"/>
  </mergeCells>
  <pageMargins left="0.7" right="0.7" top="0.75" bottom="0.75" header="0.3" footer="0.3"/>
  <ignoredErrors>
    <ignoredError sqref="B5:B52 X5:X52 M5:M5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CD5DB-7B25-49BD-9D5C-74888ED82D10}">
  <sheetPr>
    <tabColor theme="5" tint="-0.249977111117893"/>
  </sheetPr>
  <dimension ref="A3:H63"/>
  <sheetViews>
    <sheetView showGridLines="0" zoomScaleNormal="100" workbookViewId="0">
      <selection activeCell="A63" sqref="A63"/>
    </sheetView>
  </sheetViews>
  <sheetFormatPr defaultRowHeight="15" customHeight="1" x14ac:dyDescent="0.3"/>
  <cols>
    <col min="1" max="1" width="15.109375" style="13" customWidth="1"/>
    <col min="2" max="16384" width="8.88671875" style="13"/>
  </cols>
  <sheetData>
    <row r="3" spans="1:7" ht="15" customHeight="1" x14ac:dyDescent="0.3">
      <c r="A3" s="102" t="s">
        <v>65</v>
      </c>
      <c r="B3" s="102"/>
      <c r="C3" s="102"/>
      <c r="D3" s="102"/>
      <c r="E3" s="102"/>
      <c r="F3" s="102"/>
      <c r="G3" s="102"/>
    </row>
    <row r="4" spans="1:7" ht="15" customHeight="1" x14ac:dyDescent="0.3">
      <c r="A4" s="102" t="s">
        <v>74</v>
      </c>
      <c r="B4" s="102"/>
      <c r="C4" s="102"/>
      <c r="D4" s="102"/>
      <c r="E4" s="102"/>
      <c r="F4" s="102"/>
      <c r="G4" s="102"/>
    </row>
    <row r="5" spans="1:7" ht="15" customHeight="1" x14ac:dyDescent="0.3">
      <c r="A5" s="71" t="s">
        <v>86</v>
      </c>
      <c r="B5" s="72"/>
      <c r="C5" s="72" t="s">
        <v>40</v>
      </c>
      <c r="D5" s="72" t="s">
        <v>41</v>
      </c>
      <c r="E5" s="72" t="s">
        <v>42</v>
      </c>
      <c r="F5" s="72" t="s">
        <v>43</v>
      </c>
      <c r="G5" s="72" t="s">
        <v>1</v>
      </c>
    </row>
    <row r="6" spans="1:7" ht="15" customHeight="1" x14ac:dyDescent="0.3">
      <c r="A6" s="104" t="s">
        <v>2</v>
      </c>
      <c r="B6" s="13" t="s">
        <v>68</v>
      </c>
      <c r="C6" s="20">
        <v>6</v>
      </c>
      <c r="D6" s="20">
        <v>6</v>
      </c>
      <c r="E6" s="20">
        <v>14</v>
      </c>
      <c r="F6" s="20">
        <v>0</v>
      </c>
      <c r="G6" s="21">
        <f t="shared" ref="G6:G11" si="0">SUM(C6:F6)</f>
        <v>26</v>
      </c>
    </row>
    <row r="7" spans="1:7" ht="15" customHeight="1" x14ac:dyDescent="0.3">
      <c r="A7" s="104"/>
      <c r="B7" s="13" t="s">
        <v>69</v>
      </c>
      <c r="C7" s="20">
        <v>41</v>
      </c>
      <c r="D7" s="20">
        <v>49</v>
      </c>
      <c r="E7" s="20">
        <v>112</v>
      </c>
      <c r="F7" s="20">
        <v>0</v>
      </c>
      <c r="G7" s="21">
        <f t="shared" si="0"/>
        <v>202</v>
      </c>
    </row>
    <row r="8" spans="1:7" ht="15" customHeight="1" x14ac:dyDescent="0.3">
      <c r="A8" s="104"/>
      <c r="B8" s="13" t="s">
        <v>70</v>
      </c>
      <c r="C8" s="20">
        <v>82</v>
      </c>
      <c r="D8" s="20">
        <v>104</v>
      </c>
      <c r="E8" s="20">
        <v>272</v>
      </c>
      <c r="F8" s="20">
        <v>0</v>
      </c>
      <c r="G8" s="21">
        <f t="shared" si="0"/>
        <v>458</v>
      </c>
    </row>
    <row r="9" spans="1:7" ht="15" customHeight="1" x14ac:dyDescent="0.3">
      <c r="A9" s="103" t="s">
        <v>3</v>
      </c>
      <c r="B9" s="12" t="s">
        <v>68</v>
      </c>
      <c r="C9" s="22">
        <v>8</v>
      </c>
      <c r="D9" s="22">
        <v>19</v>
      </c>
      <c r="E9" s="22">
        <v>6</v>
      </c>
      <c r="F9" s="22">
        <v>0</v>
      </c>
      <c r="G9" s="23">
        <f t="shared" si="0"/>
        <v>33</v>
      </c>
    </row>
    <row r="10" spans="1:7" ht="15" customHeight="1" x14ac:dyDescent="0.3">
      <c r="A10" s="103"/>
      <c r="B10" s="12" t="s">
        <v>69</v>
      </c>
      <c r="C10" s="22">
        <v>46</v>
      </c>
      <c r="D10" s="22">
        <v>133</v>
      </c>
      <c r="E10" s="22">
        <v>35</v>
      </c>
      <c r="F10" s="22">
        <v>0</v>
      </c>
      <c r="G10" s="23">
        <f t="shared" si="0"/>
        <v>214</v>
      </c>
    </row>
    <row r="11" spans="1:7" ht="15" customHeight="1" x14ac:dyDescent="0.3">
      <c r="A11" s="103"/>
      <c r="B11" s="12" t="s">
        <v>70</v>
      </c>
      <c r="C11" s="22">
        <v>102</v>
      </c>
      <c r="D11" s="22">
        <v>304</v>
      </c>
      <c r="E11" s="22">
        <v>78</v>
      </c>
      <c r="F11" s="22">
        <v>0</v>
      </c>
      <c r="G11" s="23">
        <f t="shared" si="0"/>
        <v>484</v>
      </c>
    </row>
    <row r="12" spans="1:7" ht="15" customHeight="1" x14ac:dyDescent="0.3">
      <c r="A12" s="104" t="s">
        <v>5</v>
      </c>
      <c r="B12" s="13" t="s">
        <v>68</v>
      </c>
      <c r="C12" s="20">
        <v>4</v>
      </c>
      <c r="D12" s="20">
        <v>8</v>
      </c>
      <c r="E12" s="20">
        <v>11</v>
      </c>
      <c r="F12" s="20">
        <v>3</v>
      </c>
      <c r="G12" s="21">
        <f>SUM(C12:F12)</f>
        <v>26</v>
      </c>
    </row>
    <row r="13" spans="1:7" ht="15" customHeight="1" x14ac:dyDescent="0.3">
      <c r="A13" s="104"/>
      <c r="B13" s="13" t="s">
        <v>69</v>
      </c>
      <c r="C13" s="20">
        <v>26</v>
      </c>
      <c r="D13" s="20">
        <v>57</v>
      </c>
      <c r="E13" s="20">
        <v>67</v>
      </c>
      <c r="F13" s="20">
        <v>14</v>
      </c>
      <c r="G13" s="21">
        <f t="shared" ref="G13:G14" si="1">SUM(C13:F13)</f>
        <v>164</v>
      </c>
    </row>
    <row r="14" spans="1:7" ht="15" customHeight="1" x14ac:dyDescent="0.3">
      <c r="A14" s="104"/>
      <c r="B14" s="13" t="s">
        <v>70</v>
      </c>
      <c r="C14" s="20">
        <v>60</v>
      </c>
      <c r="D14" s="20">
        <v>131</v>
      </c>
      <c r="E14" s="20">
        <v>159</v>
      </c>
      <c r="F14" s="20">
        <v>33</v>
      </c>
      <c r="G14" s="21">
        <f t="shared" si="1"/>
        <v>383</v>
      </c>
    </row>
    <row r="15" spans="1:7" ht="15" customHeight="1" x14ac:dyDescent="0.3">
      <c r="A15" s="103" t="s">
        <v>4</v>
      </c>
      <c r="B15" s="12" t="s">
        <v>68</v>
      </c>
      <c r="C15" s="22">
        <v>0</v>
      </c>
      <c r="D15" s="22">
        <v>5</v>
      </c>
      <c r="E15" s="22">
        <v>1</v>
      </c>
      <c r="F15" s="22">
        <v>0</v>
      </c>
      <c r="G15" s="23">
        <f t="shared" ref="G15:G17" si="2">SUM(C15:F15)</f>
        <v>6</v>
      </c>
    </row>
    <row r="16" spans="1:7" ht="15" customHeight="1" x14ac:dyDescent="0.3">
      <c r="A16" s="103"/>
      <c r="B16" s="12" t="s">
        <v>69</v>
      </c>
      <c r="C16" s="22">
        <v>0</v>
      </c>
      <c r="D16" s="22">
        <v>35</v>
      </c>
      <c r="E16" s="22">
        <v>10</v>
      </c>
      <c r="F16" s="22">
        <v>0</v>
      </c>
      <c r="G16" s="23">
        <f t="shared" si="2"/>
        <v>45</v>
      </c>
    </row>
    <row r="17" spans="1:7" ht="15" customHeight="1" x14ac:dyDescent="0.3">
      <c r="A17" s="103"/>
      <c r="B17" s="12" t="s">
        <v>70</v>
      </c>
      <c r="C17" s="22">
        <v>0</v>
      </c>
      <c r="D17" s="22">
        <v>73</v>
      </c>
      <c r="E17" s="22">
        <v>15</v>
      </c>
      <c r="F17" s="22">
        <v>0</v>
      </c>
      <c r="G17" s="23">
        <f t="shared" si="2"/>
        <v>88</v>
      </c>
    </row>
    <row r="18" spans="1:7" ht="15" customHeight="1" x14ac:dyDescent="0.3">
      <c r="A18" s="112" t="s">
        <v>1</v>
      </c>
      <c r="B18" s="73" t="s">
        <v>68</v>
      </c>
      <c r="C18" s="74">
        <f t="shared" ref="C18:G18" si="3">C6+C9+C15+C12</f>
        <v>18</v>
      </c>
      <c r="D18" s="74">
        <f t="shared" si="3"/>
        <v>38</v>
      </c>
      <c r="E18" s="74">
        <f t="shared" si="3"/>
        <v>32</v>
      </c>
      <c r="F18" s="74">
        <f t="shared" si="3"/>
        <v>3</v>
      </c>
      <c r="G18" s="74">
        <f t="shared" si="3"/>
        <v>91</v>
      </c>
    </row>
    <row r="19" spans="1:7" ht="15" customHeight="1" x14ac:dyDescent="0.3">
      <c r="A19" s="112"/>
      <c r="B19" s="73" t="s">
        <v>69</v>
      </c>
      <c r="C19" s="74">
        <f t="shared" ref="C19:G19" si="4">C7+C10+C16+C13</f>
        <v>113</v>
      </c>
      <c r="D19" s="74">
        <f t="shared" si="4"/>
        <v>274</v>
      </c>
      <c r="E19" s="74">
        <f t="shared" si="4"/>
        <v>224</v>
      </c>
      <c r="F19" s="74">
        <f t="shared" si="4"/>
        <v>14</v>
      </c>
      <c r="G19" s="74">
        <f t="shared" si="4"/>
        <v>625</v>
      </c>
    </row>
    <row r="20" spans="1:7" ht="15" customHeight="1" x14ac:dyDescent="0.3">
      <c r="A20" s="112"/>
      <c r="B20" s="73" t="s">
        <v>70</v>
      </c>
      <c r="C20" s="74">
        <f t="shared" ref="C20:G20" si="5">C8+C11+C17+C14</f>
        <v>244</v>
      </c>
      <c r="D20" s="74">
        <f t="shared" si="5"/>
        <v>612</v>
      </c>
      <c r="E20" s="74">
        <f t="shared" si="5"/>
        <v>524</v>
      </c>
      <c r="F20" s="74">
        <f t="shared" si="5"/>
        <v>33</v>
      </c>
      <c r="G20" s="74">
        <f t="shared" si="5"/>
        <v>1413</v>
      </c>
    </row>
    <row r="21" spans="1:7" ht="15" customHeight="1" x14ac:dyDescent="0.3">
      <c r="A21" s="4" t="s">
        <v>92</v>
      </c>
      <c r="B21" s="4"/>
      <c r="C21" s="4"/>
      <c r="D21" s="4"/>
      <c r="E21" s="5"/>
      <c r="F21" s="5"/>
      <c r="G21" s="5"/>
    </row>
    <row r="24" spans="1:7" ht="15" customHeight="1" x14ac:dyDescent="0.3">
      <c r="A24" s="102" t="s">
        <v>65</v>
      </c>
      <c r="B24" s="102"/>
      <c r="C24" s="102"/>
      <c r="D24" s="102"/>
      <c r="E24" s="102"/>
      <c r="F24" s="102"/>
      <c r="G24" s="102"/>
    </row>
    <row r="25" spans="1:7" ht="15" customHeight="1" x14ac:dyDescent="0.3">
      <c r="A25" s="102" t="s">
        <v>71</v>
      </c>
      <c r="B25" s="102"/>
      <c r="C25" s="102"/>
      <c r="D25" s="102"/>
      <c r="E25" s="102"/>
      <c r="F25" s="102"/>
      <c r="G25" s="102"/>
    </row>
    <row r="26" spans="1:7" ht="15" customHeight="1" x14ac:dyDescent="0.3">
      <c r="A26" s="71" t="s">
        <v>86</v>
      </c>
      <c r="B26" s="72"/>
      <c r="C26" s="72" t="s">
        <v>40</v>
      </c>
      <c r="D26" s="72" t="s">
        <v>41</v>
      </c>
      <c r="E26" s="72" t="s">
        <v>42</v>
      </c>
      <c r="F26" s="72" t="s">
        <v>43</v>
      </c>
      <c r="G26" s="72" t="s">
        <v>1</v>
      </c>
    </row>
    <row r="27" spans="1:7" ht="15" customHeight="1" x14ac:dyDescent="0.3">
      <c r="A27" s="104" t="s">
        <v>2</v>
      </c>
      <c r="B27" s="13" t="s">
        <v>68</v>
      </c>
      <c r="C27" s="20">
        <v>8</v>
      </c>
      <c r="D27" s="20">
        <v>8</v>
      </c>
      <c r="E27" s="20">
        <v>19</v>
      </c>
      <c r="F27" s="20">
        <v>0</v>
      </c>
      <c r="G27" s="21">
        <f t="shared" ref="G27:G38" si="6">SUM(C27:F27)</f>
        <v>35</v>
      </c>
    </row>
    <row r="28" spans="1:7" ht="15" customHeight="1" x14ac:dyDescent="0.3">
      <c r="A28" s="104"/>
      <c r="B28" s="13" t="s">
        <v>69</v>
      </c>
      <c r="C28" s="20">
        <v>57</v>
      </c>
      <c r="D28" s="20">
        <v>62</v>
      </c>
      <c r="E28" s="20">
        <v>141</v>
      </c>
      <c r="F28" s="20">
        <v>0</v>
      </c>
      <c r="G28" s="21">
        <f t="shared" si="6"/>
        <v>260</v>
      </c>
    </row>
    <row r="29" spans="1:7" ht="15" customHeight="1" x14ac:dyDescent="0.3">
      <c r="A29" s="104"/>
      <c r="B29" s="13" t="s">
        <v>70</v>
      </c>
      <c r="C29" s="20">
        <v>113</v>
      </c>
      <c r="D29" s="20">
        <v>126</v>
      </c>
      <c r="E29" s="20">
        <v>331</v>
      </c>
      <c r="F29" s="20">
        <v>0</v>
      </c>
      <c r="G29" s="21">
        <f t="shared" si="6"/>
        <v>570</v>
      </c>
    </row>
    <row r="30" spans="1:7" ht="15" customHeight="1" x14ac:dyDescent="0.3">
      <c r="A30" s="103" t="s">
        <v>3</v>
      </c>
      <c r="B30" s="12" t="s">
        <v>68</v>
      </c>
      <c r="C30" s="22">
        <v>8</v>
      </c>
      <c r="D30" s="22">
        <v>19</v>
      </c>
      <c r="E30" s="22">
        <v>8</v>
      </c>
      <c r="F30" s="22">
        <v>0</v>
      </c>
      <c r="G30" s="23">
        <f t="shared" si="6"/>
        <v>35</v>
      </c>
    </row>
    <row r="31" spans="1:7" ht="15" customHeight="1" x14ac:dyDescent="0.3">
      <c r="A31" s="103"/>
      <c r="B31" s="12" t="s">
        <v>69</v>
      </c>
      <c r="C31" s="22">
        <v>46</v>
      </c>
      <c r="D31" s="22">
        <v>133</v>
      </c>
      <c r="E31" s="22">
        <v>48</v>
      </c>
      <c r="F31" s="22">
        <v>0</v>
      </c>
      <c r="G31" s="23">
        <f t="shared" si="6"/>
        <v>227</v>
      </c>
    </row>
    <row r="32" spans="1:7" ht="15" customHeight="1" x14ac:dyDescent="0.3">
      <c r="A32" s="103"/>
      <c r="B32" s="12" t="s">
        <v>70</v>
      </c>
      <c r="C32" s="22">
        <v>102</v>
      </c>
      <c r="D32" s="22">
        <v>304</v>
      </c>
      <c r="E32" s="22">
        <v>107</v>
      </c>
      <c r="F32" s="22">
        <v>0</v>
      </c>
      <c r="G32" s="23">
        <f t="shared" si="6"/>
        <v>513</v>
      </c>
    </row>
    <row r="33" spans="1:7" ht="15" customHeight="1" x14ac:dyDescent="0.3">
      <c r="A33" s="104" t="s">
        <v>5</v>
      </c>
      <c r="B33" s="13" t="s">
        <v>68</v>
      </c>
      <c r="C33" s="20">
        <v>4</v>
      </c>
      <c r="D33" s="20">
        <v>9</v>
      </c>
      <c r="E33" s="20">
        <v>13</v>
      </c>
      <c r="F33" s="20">
        <v>3</v>
      </c>
      <c r="G33" s="21">
        <f>SUM(C33:F33)</f>
        <v>29</v>
      </c>
    </row>
    <row r="34" spans="1:7" ht="15" customHeight="1" x14ac:dyDescent="0.3">
      <c r="A34" s="104"/>
      <c r="B34" s="13" t="s">
        <v>69</v>
      </c>
      <c r="C34" s="20">
        <v>26</v>
      </c>
      <c r="D34" s="20">
        <v>65</v>
      </c>
      <c r="E34" s="20">
        <v>79</v>
      </c>
      <c r="F34" s="20">
        <v>14</v>
      </c>
      <c r="G34" s="21">
        <f t="shared" ref="G34:G35" si="7">SUM(C34:F34)</f>
        <v>184</v>
      </c>
    </row>
    <row r="35" spans="1:7" ht="15" customHeight="1" x14ac:dyDescent="0.3">
      <c r="A35" s="104"/>
      <c r="B35" s="13" t="s">
        <v>70</v>
      </c>
      <c r="C35" s="20">
        <v>60</v>
      </c>
      <c r="D35" s="20">
        <v>144</v>
      </c>
      <c r="E35" s="20">
        <v>188</v>
      </c>
      <c r="F35" s="20">
        <v>33</v>
      </c>
      <c r="G35" s="21">
        <f t="shared" si="7"/>
        <v>425</v>
      </c>
    </row>
    <row r="36" spans="1:7" ht="15" customHeight="1" x14ac:dyDescent="0.3">
      <c r="A36" s="103" t="s">
        <v>4</v>
      </c>
      <c r="B36" s="12" t="s">
        <v>68</v>
      </c>
      <c r="C36" s="22">
        <v>1</v>
      </c>
      <c r="D36" s="22">
        <v>5</v>
      </c>
      <c r="E36" s="22">
        <v>1</v>
      </c>
      <c r="F36" s="22">
        <v>0</v>
      </c>
      <c r="G36" s="23">
        <f t="shared" si="6"/>
        <v>7</v>
      </c>
    </row>
    <row r="37" spans="1:7" ht="15" customHeight="1" x14ac:dyDescent="0.3">
      <c r="A37" s="103"/>
      <c r="B37" s="12" t="s">
        <v>69</v>
      </c>
      <c r="C37" s="22">
        <v>9</v>
      </c>
      <c r="D37" s="22">
        <v>35</v>
      </c>
      <c r="E37" s="22">
        <v>10</v>
      </c>
      <c r="F37" s="22">
        <v>0</v>
      </c>
      <c r="G37" s="23">
        <f t="shared" si="6"/>
        <v>54</v>
      </c>
    </row>
    <row r="38" spans="1:7" ht="15" customHeight="1" x14ac:dyDescent="0.3">
      <c r="A38" s="103"/>
      <c r="B38" s="12" t="s">
        <v>70</v>
      </c>
      <c r="C38" s="22">
        <v>17</v>
      </c>
      <c r="D38" s="22">
        <v>73</v>
      </c>
      <c r="E38" s="22">
        <v>15</v>
      </c>
      <c r="F38" s="22">
        <v>0</v>
      </c>
      <c r="G38" s="23">
        <f t="shared" si="6"/>
        <v>105</v>
      </c>
    </row>
    <row r="39" spans="1:7" ht="15" customHeight="1" x14ac:dyDescent="0.3">
      <c r="A39" s="112" t="s">
        <v>1</v>
      </c>
      <c r="B39" s="73" t="s">
        <v>68</v>
      </c>
      <c r="C39" s="74">
        <f t="shared" ref="C39:G41" si="8">C27+C30+C36+C33</f>
        <v>21</v>
      </c>
      <c r="D39" s="74">
        <f t="shared" si="8"/>
        <v>41</v>
      </c>
      <c r="E39" s="74">
        <f t="shared" si="8"/>
        <v>41</v>
      </c>
      <c r="F39" s="74">
        <f t="shared" si="8"/>
        <v>3</v>
      </c>
      <c r="G39" s="74">
        <f t="shared" si="8"/>
        <v>106</v>
      </c>
    </row>
    <row r="40" spans="1:7" ht="15" customHeight="1" x14ac:dyDescent="0.3">
      <c r="A40" s="112"/>
      <c r="B40" s="73" t="s">
        <v>69</v>
      </c>
      <c r="C40" s="74">
        <f t="shared" si="8"/>
        <v>138</v>
      </c>
      <c r="D40" s="74">
        <f t="shared" si="8"/>
        <v>295</v>
      </c>
      <c r="E40" s="74">
        <f t="shared" si="8"/>
        <v>278</v>
      </c>
      <c r="F40" s="74">
        <f t="shared" si="8"/>
        <v>14</v>
      </c>
      <c r="G40" s="74">
        <f t="shared" si="8"/>
        <v>725</v>
      </c>
    </row>
    <row r="41" spans="1:7" ht="15" customHeight="1" x14ac:dyDescent="0.3">
      <c r="A41" s="112"/>
      <c r="B41" s="73" t="s">
        <v>70</v>
      </c>
      <c r="C41" s="74">
        <f t="shared" si="8"/>
        <v>292</v>
      </c>
      <c r="D41" s="74">
        <f t="shared" si="8"/>
        <v>647</v>
      </c>
      <c r="E41" s="74">
        <f t="shared" si="8"/>
        <v>641</v>
      </c>
      <c r="F41" s="74">
        <f t="shared" si="8"/>
        <v>33</v>
      </c>
      <c r="G41" s="74">
        <f t="shared" si="8"/>
        <v>1613</v>
      </c>
    </row>
    <row r="42" spans="1:7" ht="15" customHeight="1" x14ac:dyDescent="0.3">
      <c r="A42" s="4" t="s">
        <v>92</v>
      </c>
      <c r="B42" s="4"/>
      <c r="C42" s="4"/>
      <c r="D42" s="4"/>
      <c r="E42" s="5"/>
      <c r="F42" s="5"/>
      <c r="G42" s="5"/>
    </row>
    <row r="45" spans="1:7" ht="15" customHeight="1" x14ac:dyDescent="0.3">
      <c r="A45" s="102" t="s">
        <v>65</v>
      </c>
      <c r="B45" s="102"/>
      <c r="C45" s="102"/>
      <c r="D45" s="102"/>
      <c r="E45" s="102"/>
      <c r="F45" s="102"/>
      <c r="G45" s="102"/>
    </row>
    <row r="46" spans="1:7" ht="15" customHeight="1" x14ac:dyDescent="0.3">
      <c r="A46" s="102" t="s">
        <v>66</v>
      </c>
      <c r="B46" s="102"/>
      <c r="C46" s="102"/>
      <c r="D46" s="102"/>
      <c r="E46" s="102"/>
      <c r="F46" s="102"/>
      <c r="G46" s="102"/>
    </row>
    <row r="47" spans="1:7" ht="15" customHeight="1" x14ac:dyDescent="0.3">
      <c r="A47" s="71" t="s">
        <v>86</v>
      </c>
      <c r="B47" s="72"/>
      <c r="C47" s="72" t="s">
        <v>40</v>
      </c>
      <c r="D47" s="72" t="s">
        <v>41</v>
      </c>
      <c r="E47" s="72" t="s">
        <v>42</v>
      </c>
      <c r="F47" s="72" t="s">
        <v>43</v>
      </c>
      <c r="G47" s="72" t="s">
        <v>1</v>
      </c>
    </row>
    <row r="48" spans="1:7" ht="15" customHeight="1" x14ac:dyDescent="0.3">
      <c r="A48" s="104" t="s">
        <v>2</v>
      </c>
      <c r="B48" s="13" t="s">
        <v>6</v>
      </c>
      <c r="C48" s="24">
        <v>8</v>
      </c>
      <c r="D48" s="24">
        <v>8</v>
      </c>
      <c r="E48" s="24">
        <v>20</v>
      </c>
      <c r="F48" s="24">
        <v>2</v>
      </c>
      <c r="G48" s="25">
        <f t="shared" ref="G48:G59" si="9">SUM(C48:F48)</f>
        <v>38</v>
      </c>
    </row>
    <row r="49" spans="1:8" ht="15" customHeight="1" x14ac:dyDescent="0.3">
      <c r="A49" s="104"/>
      <c r="B49" s="13" t="s">
        <v>7</v>
      </c>
      <c r="C49" s="24">
        <v>57</v>
      </c>
      <c r="D49" s="24">
        <v>62</v>
      </c>
      <c r="E49" s="24">
        <v>146</v>
      </c>
      <c r="F49" s="24">
        <v>10</v>
      </c>
      <c r="G49" s="25">
        <f t="shared" si="9"/>
        <v>275</v>
      </c>
    </row>
    <row r="50" spans="1:8" ht="15" customHeight="1" x14ac:dyDescent="0.3">
      <c r="A50" s="104"/>
      <c r="B50" s="13" t="s">
        <v>8</v>
      </c>
      <c r="C50" s="24">
        <v>113</v>
      </c>
      <c r="D50" s="24">
        <v>126</v>
      </c>
      <c r="E50" s="24">
        <v>342</v>
      </c>
      <c r="F50" s="24">
        <v>19</v>
      </c>
      <c r="G50" s="25">
        <f t="shared" si="9"/>
        <v>600</v>
      </c>
    </row>
    <row r="51" spans="1:8" ht="15" customHeight="1" x14ac:dyDescent="0.3">
      <c r="A51" s="103" t="s">
        <v>3</v>
      </c>
      <c r="B51" s="12" t="s">
        <v>6</v>
      </c>
      <c r="C51" s="26">
        <v>8</v>
      </c>
      <c r="D51" s="26">
        <v>19</v>
      </c>
      <c r="E51" s="26">
        <v>8</v>
      </c>
      <c r="F51" s="26">
        <v>0</v>
      </c>
      <c r="G51" s="27">
        <f t="shared" si="9"/>
        <v>35</v>
      </c>
    </row>
    <row r="52" spans="1:8" ht="15" customHeight="1" x14ac:dyDescent="0.3">
      <c r="A52" s="103"/>
      <c r="B52" s="12" t="s">
        <v>7</v>
      </c>
      <c r="C52" s="26">
        <v>46</v>
      </c>
      <c r="D52" s="26">
        <v>133</v>
      </c>
      <c r="E52" s="26">
        <v>48</v>
      </c>
      <c r="F52" s="26">
        <v>0</v>
      </c>
      <c r="G52" s="27">
        <f t="shared" si="9"/>
        <v>227</v>
      </c>
    </row>
    <row r="53" spans="1:8" ht="15" customHeight="1" x14ac:dyDescent="0.3">
      <c r="A53" s="103"/>
      <c r="B53" s="12" t="s">
        <v>8</v>
      </c>
      <c r="C53" s="26">
        <v>102</v>
      </c>
      <c r="D53" s="26">
        <v>304</v>
      </c>
      <c r="E53" s="26">
        <v>107</v>
      </c>
      <c r="F53" s="26">
        <v>0</v>
      </c>
      <c r="G53" s="27">
        <f t="shared" si="9"/>
        <v>513</v>
      </c>
    </row>
    <row r="54" spans="1:8" ht="15" customHeight="1" x14ac:dyDescent="0.3">
      <c r="A54" s="104" t="s">
        <v>5</v>
      </c>
      <c r="B54" s="13" t="s">
        <v>6</v>
      </c>
      <c r="C54" s="24">
        <v>4</v>
      </c>
      <c r="D54" s="24">
        <v>9</v>
      </c>
      <c r="E54" s="24">
        <v>13</v>
      </c>
      <c r="F54" s="24">
        <v>3</v>
      </c>
      <c r="G54" s="25">
        <f>SUM(C54:F54)</f>
        <v>29</v>
      </c>
    </row>
    <row r="55" spans="1:8" ht="15" customHeight="1" x14ac:dyDescent="0.3">
      <c r="A55" s="104"/>
      <c r="B55" s="13" t="s">
        <v>7</v>
      </c>
      <c r="C55" s="24">
        <v>26</v>
      </c>
      <c r="D55" s="24">
        <v>65</v>
      </c>
      <c r="E55" s="24">
        <v>79</v>
      </c>
      <c r="F55" s="24">
        <v>14</v>
      </c>
      <c r="G55" s="25">
        <f t="shared" ref="G55:G56" si="10">SUM(C55:F55)</f>
        <v>184</v>
      </c>
    </row>
    <row r="56" spans="1:8" ht="15" customHeight="1" x14ac:dyDescent="0.3">
      <c r="A56" s="104"/>
      <c r="B56" s="13" t="s">
        <v>8</v>
      </c>
      <c r="C56" s="24">
        <v>60</v>
      </c>
      <c r="D56" s="24">
        <v>144</v>
      </c>
      <c r="E56" s="24">
        <v>188</v>
      </c>
      <c r="F56" s="24">
        <v>33</v>
      </c>
      <c r="G56" s="25">
        <f t="shared" si="10"/>
        <v>425</v>
      </c>
    </row>
    <row r="57" spans="1:8" ht="15" customHeight="1" x14ac:dyDescent="0.3">
      <c r="A57" s="103" t="s">
        <v>4</v>
      </c>
      <c r="B57" s="12" t="s">
        <v>6</v>
      </c>
      <c r="C57" s="26">
        <v>1</v>
      </c>
      <c r="D57" s="26">
        <v>5</v>
      </c>
      <c r="E57" s="26">
        <v>1</v>
      </c>
      <c r="F57" s="26">
        <v>0</v>
      </c>
      <c r="G57" s="27">
        <f t="shared" si="9"/>
        <v>7</v>
      </c>
    </row>
    <row r="58" spans="1:8" ht="15" customHeight="1" x14ac:dyDescent="0.3">
      <c r="A58" s="103"/>
      <c r="B58" s="12" t="s">
        <v>7</v>
      </c>
      <c r="C58" s="26">
        <v>9</v>
      </c>
      <c r="D58" s="26">
        <v>35</v>
      </c>
      <c r="E58" s="26">
        <v>10</v>
      </c>
      <c r="F58" s="26">
        <v>0</v>
      </c>
      <c r="G58" s="27">
        <f t="shared" si="9"/>
        <v>54</v>
      </c>
    </row>
    <row r="59" spans="1:8" ht="15" customHeight="1" x14ac:dyDescent="0.3">
      <c r="A59" s="103"/>
      <c r="B59" s="12" t="s">
        <v>8</v>
      </c>
      <c r="C59" s="26">
        <v>17</v>
      </c>
      <c r="D59" s="26">
        <v>73</v>
      </c>
      <c r="E59" s="26">
        <v>15</v>
      </c>
      <c r="F59" s="26">
        <v>0</v>
      </c>
      <c r="G59" s="27">
        <f t="shared" si="9"/>
        <v>105</v>
      </c>
    </row>
    <row r="60" spans="1:8" ht="15" customHeight="1" x14ac:dyDescent="0.3">
      <c r="A60" s="112" t="s">
        <v>1</v>
      </c>
      <c r="B60" s="73" t="s">
        <v>6</v>
      </c>
      <c r="C60" s="75">
        <f t="shared" ref="C60:G62" si="11">C48+C51+C57+C54</f>
        <v>21</v>
      </c>
      <c r="D60" s="75">
        <f t="shared" si="11"/>
        <v>41</v>
      </c>
      <c r="E60" s="75">
        <f t="shared" si="11"/>
        <v>42</v>
      </c>
      <c r="F60" s="75">
        <f t="shared" si="11"/>
        <v>5</v>
      </c>
      <c r="G60" s="75">
        <f t="shared" si="11"/>
        <v>109</v>
      </c>
    </row>
    <row r="61" spans="1:8" ht="15" customHeight="1" x14ac:dyDescent="0.3">
      <c r="A61" s="112"/>
      <c r="B61" s="73" t="s">
        <v>7</v>
      </c>
      <c r="C61" s="75">
        <f t="shared" si="11"/>
        <v>138</v>
      </c>
      <c r="D61" s="75">
        <f t="shared" si="11"/>
        <v>295</v>
      </c>
      <c r="E61" s="75">
        <f t="shared" si="11"/>
        <v>283</v>
      </c>
      <c r="F61" s="75">
        <f t="shared" si="11"/>
        <v>24</v>
      </c>
      <c r="G61" s="75">
        <f t="shared" si="11"/>
        <v>740</v>
      </c>
    </row>
    <row r="62" spans="1:8" ht="15" customHeight="1" x14ac:dyDescent="0.3">
      <c r="A62" s="112"/>
      <c r="B62" s="73" t="s">
        <v>8</v>
      </c>
      <c r="C62" s="75">
        <f t="shared" si="11"/>
        <v>292</v>
      </c>
      <c r="D62" s="75">
        <f t="shared" si="11"/>
        <v>647</v>
      </c>
      <c r="E62" s="75">
        <f t="shared" si="11"/>
        <v>652</v>
      </c>
      <c r="F62" s="75">
        <f t="shared" si="11"/>
        <v>52</v>
      </c>
      <c r="G62" s="75">
        <f t="shared" si="11"/>
        <v>1643</v>
      </c>
    </row>
    <row r="63" spans="1:8" ht="15" customHeight="1" x14ac:dyDescent="0.3">
      <c r="A63" s="4" t="s">
        <v>92</v>
      </c>
      <c r="B63" s="62"/>
      <c r="C63" s="62"/>
      <c r="D63" s="62"/>
      <c r="E63" s="62"/>
      <c r="F63" s="62"/>
      <c r="G63" s="62"/>
      <c r="H63" s="62"/>
    </row>
  </sheetData>
  <mergeCells count="21">
    <mergeCell ref="A45:G45"/>
    <mergeCell ref="A46:G46"/>
    <mergeCell ref="A48:A50"/>
    <mergeCell ref="A51:A53"/>
    <mergeCell ref="A60:A62"/>
    <mergeCell ref="A57:A59"/>
    <mergeCell ref="A54:A56"/>
    <mergeCell ref="A36:A38"/>
    <mergeCell ref="A39:A41"/>
    <mergeCell ref="A24:G24"/>
    <mergeCell ref="A25:G25"/>
    <mergeCell ref="A27:A29"/>
    <mergeCell ref="A30:A32"/>
    <mergeCell ref="A33:A35"/>
    <mergeCell ref="A15:A17"/>
    <mergeCell ref="A18:A20"/>
    <mergeCell ref="A3:G3"/>
    <mergeCell ref="A4:G4"/>
    <mergeCell ref="A6:A8"/>
    <mergeCell ref="A9:A11"/>
    <mergeCell ref="A12:A1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21" max="16383" man="1"/>
    <brk id="42"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U33"/>
  <sheetViews>
    <sheetView showGridLines="0" zoomScaleNormal="100" workbookViewId="0">
      <pane xSplit="1" topLeftCell="B1" activePane="topRight" state="frozen"/>
      <selection pane="topRight" activeCell="Q5" sqref="Q5:Q29"/>
    </sheetView>
  </sheetViews>
  <sheetFormatPr defaultRowHeight="15" customHeight="1" x14ac:dyDescent="0.3"/>
  <cols>
    <col min="1" max="1" width="14.88671875" style="13" customWidth="1"/>
    <col min="2" max="2" width="24.44140625" style="13" customWidth="1"/>
    <col min="3" max="7" width="8.44140625" style="13" customWidth="1"/>
    <col min="8" max="8" width="9.109375" style="13" customWidth="1"/>
    <col min="9" max="13" width="9.6640625" style="13" bestFit="1" customWidth="1"/>
    <col min="14" max="17" width="9.6640625" style="13" customWidth="1"/>
    <col min="18" max="16384" width="8.88671875" style="13"/>
  </cols>
  <sheetData>
    <row r="3" spans="1:17" ht="15" customHeight="1" x14ac:dyDescent="0.3">
      <c r="A3" s="102" t="s">
        <v>127</v>
      </c>
      <c r="B3" s="102"/>
      <c r="C3" s="102"/>
      <c r="D3" s="102"/>
      <c r="E3" s="102"/>
      <c r="F3" s="102"/>
      <c r="G3" s="102"/>
      <c r="H3" s="102"/>
      <c r="I3" s="102"/>
      <c r="J3" s="102"/>
      <c r="K3" s="102"/>
      <c r="L3" s="102"/>
      <c r="M3" s="102"/>
      <c r="N3" s="102"/>
      <c r="O3" s="102"/>
      <c r="P3" s="102"/>
      <c r="Q3" s="102"/>
    </row>
    <row r="4" spans="1:17" ht="15" customHeight="1" x14ac:dyDescent="0.3">
      <c r="A4" s="71" t="s">
        <v>86</v>
      </c>
      <c r="B4" s="72"/>
      <c r="C4" s="79">
        <v>2010</v>
      </c>
      <c r="D4" s="79">
        <v>2011</v>
      </c>
      <c r="E4" s="79">
        <v>2012</v>
      </c>
      <c r="F4" s="79">
        <v>2013</v>
      </c>
      <c r="G4" s="79">
        <v>2014</v>
      </c>
      <c r="H4" s="79">
        <v>2015</v>
      </c>
      <c r="I4" s="79">
        <v>2016</v>
      </c>
      <c r="J4" s="79">
        <v>2017</v>
      </c>
      <c r="K4" s="79">
        <v>2018</v>
      </c>
      <c r="L4" s="79">
        <v>2019</v>
      </c>
      <c r="M4" s="79">
        <v>2020</v>
      </c>
      <c r="N4" s="79">
        <v>2021</v>
      </c>
      <c r="O4" s="79">
        <v>2022</v>
      </c>
      <c r="P4" s="79">
        <v>2023</v>
      </c>
      <c r="Q4" s="79">
        <v>2024</v>
      </c>
    </row>
    <row r="5" spans="1:17" ht="15" customHeight="1" x14ac:dyDescent="0.3">
      <c r="A5" s="107" t="s">
        <v>2</v>
      </c>
      <c r="B5" s="14" t="s">
        <v>44</v>
      </c>
      <c r="C5" s="15">
        <v>545</v>
      </c>
      <c r="D5" s="15">
        <v>406</v>
      </c>
      <c r="E5" s="15">
        <v>0</v>
      </c>
      <c r="F5" s="15">
        <v>4</v>
      </c>
      <c r="G5" s="15">
        <v>42</v>
      </c>
      <c r="H5" s="15">
        <v>177</v>
      </c>
      <c r="I5" s="15">
        <v>99</v>
      </c>
      <c r="J5" s="15">
        <v>937</v>
      </c>
      <c r="K5" s="15">
        <v>635</v>
      </c>
      <c r="L5" s="15">
        <v>946</v>
      </c>
      <c r="M5" s="15">
        <v>524</v>
      </c>
      <c r="N5" s="15">
        <v>80</v>
      </c>
      <c r="O5" s="15">
        <v>820</v>
      </c>
      <c r="P5" s="15">
        <v>1902</v>
      </c>
      <c r="Q5" s="15">
        <v>1755</v>
      </c>
    </row>
    <row r="6" spans="1:17" ht="15" customHeight="1" x14ac:dyDescent="0.3">
      <c r="A6" s="107"/>
      <c r="B6" s="14" t="s">
        <v>45</v>
      </c>
      <c r="C6" s="15">
        <v>22192</v>
      </c>
      <c r="D6" s="15">
        <v>11407</v>
      </c>
      <c r="E6" s="15">
        <v>1577</v>
      </c>
      <c r="F6" s="15">
        <v>971</v>
      </c>
      <c r="G6" s="15">
        <v>1111</v>
      </c>
      <c r="H6" s="15">
        <v>3531</v>
      </c>
      <c r="I6" s="15">
        <v>2363</v>
      </c>
      <c r="J6" s="15">
        <v>6418</v>
      </c>
      <c r="K6" s="15">
        <v>5106</v>
      </c>
      <c r="L6" s="15">
        <v>6785</v>
      </c>
      <c r="M6" s="15">
        <v>3931</v>
      </c>
      <c r="N6" s="15">
        <v>3653</v>
      </c>
      <c r="O6" s="15">
        <v>5916</v>
      </c>
      <c r="P6" s="15">
        <v>7221</v>
      </c>
      <c r="Q6" s="15">
        <v>6980</v>
      </c>
    </row>
    <row r="7" spans="1:17" ht="15" customHeight="1" x14ac:dyDescent="0.3">
      <c r="A7" s="107"/>
      <c r="B7" s="14" t="s">
        <v>10</v>
      </c>
      <c r="C7" s="15">
        <v>999</v>
      </c>
      <c r="D7" s="15">
        <v>761</v>
      </c>
      <c r="E7" s="15">
        <v>0</v>
      </c>
      <c r="F7" s="15">
        <v>4</v>
      </c>
      <c r="G7" s="15">
        <v>70</v>
      </c>
      <c r="H7" s="15">
        <v>296</v>
      </c>
      <c r="I7" s="15">
        <v>160</v>
      </c>
      <c r="J7" s="15">
        <v>9981</v>
      </c>
      <c r="K7" s="15">
        <v>876</v>
      </c>
      <c r="L7" s="15">
        <v>1530</v>
      </c>
      <c r="M7" s="15">
        <v>986</v>
      </c>
      <c r="N7" s="15">
        <v>306</v>
      </c>
      <c r="O7" s="15">
        <v>1036</v>
      </c>
      <c r="P7" s="15">
        <v>2010</v>
      </c>
      <c r="Q7" s="15">
        <v>1607</v>
      </c>
    </row>
    <row r="8" spans="1:17" ht="15" customHeight="1" x14ac:dyDescent="0.3">
      <c r="A8" s="107"/>
      <c r="B8" s="14" t="s">
        <v>11</v>
      </c>
      <c r="C8" s="15">
        <v>41715</v>
      </c>
      <c r="D8" s="15">
        <v>21476</v>
      </c>
      <c r="E8" s="15">
        <v>3437</v>
      </c>
      <c r="F8" s="15">
        <v>2150</v>
      </c>
      <c r="G8" s="15">
        <v>2163</v>
      </c>
      <c r="H8" s="15">
        <v>7057</v>
      </c>
      <c r="I8" s="15">
        <v>4243</v>
      </c>
      <c r="J8" s="15">
        <v>11592</v>
      </c>
      <c r="K8" s="15">
        <v>8420</v>
      </c>
      <c r="L8" s="15">
        <v>12120</v>
      </c>
      <c r="M8" s="15">
        <v>7732</v>
      </c>
      <c r="N8" s="15">
        <v>6061</v>
      </c>
      <c r="O8" s="15">
        <v>9873</v>
      </c>
      <c r="P8" s="15">
        <v>12221</v>
      </c>
      <c r="Q8" s="15">
        <v>12141</v>
      </c>
    </row>
    <row r="9" spans="1:17" ht="15" customHeight="1" x14ac:dyDescent="0.3">
      <c r="A9" s="107"/>
      <c r="B9" s="14" t="s">
        <v>12</v>
      </c>
      <c r="C9" s="16">
        <v>0.14099999999999999</v>
      </c>
      <c r="D9" s="16">
        <v>7.1999999999999995E-2</v>
      </c>
      <c r="E9" s="16">
        <v>1.0999999999999999E-2</v>
      </c>
      <c r="F9" s="16">
        <v>7.0000000000000001E-3</v>
      </c>
      <c r="G9" s="16">
        <v>7.0000000000000001E-3</v>
      </c>
      <c r="H9" s="16">
        <v>2.1999999999999999E-2</v>
      </c>
      <c r="I9" s="16">
        <v>1.2999999999999999E-2</v>
      </c>
      <c r="J9" s="16">
        <v>6.0999999999999999E-2</v>
      </c>
      <c r="K9" s="16">
        <v>0.03</v>
      </c>
      <c r="L9" s="16">
        <v>4.2999999999999997E-2</v>
      </c>
      <c r="M9" s="16">
        <v>7.6999999999999999E-2</v>
      </c>
      <c r="N9" s="16">
        <v>7.1999999999999995E-2</v>
      </c>
      <c r="O9" s="16">
        <v>6.5000000000000002E-2</v>
      </c>
      <c r="P9" s="16">
        <v>9.2999999999999999E-2</v>
      </c>
      <c r="Q9" s="16">
        <v>7.3999999999999996E-2</v>
      </c>
    </row>
    <row r="10" spans="1:17" ht="15" customHeight="1" x14ac:dyDescent="0.3">
      <c r="A10" s="114" t="s">
        <v>3</v>
      </c>
      <c r="B10" s="17" t="s">
        <v>46</v>
      </c>
      <c r="C10" s="18">
        <v>13286</v>
      </c>
      <c r="D10" s="18">
        <v>17227</v>
      </c>
      <c r="E10" s="18">
        <v>17232</v>
      </c>
      <c r="F10" s="18">
        <v>16777</v>
      </c>
      <c r="G10" s="18">
        <v>12501</v>
      </c>
      <c r="H10" s="18">
        <v>10555</v>
      </c>
      <c r="I10" s="18">
        <v>10579</v>
      </c>
      <c r="J10" s="18">
        <v>13021</v>
      </c>
      <c r="K10" s="18">
        <v>15868</v>
      </c>
      <c r="L10" s="18">
        <v>16248</v>
      </c>
      <c r="M10" s="18">
        <v>1672</v>
      </c>
      <c r="N10" s="18">
        <v>4861</v>
      </c>
      <c r="O10" s="18">
        <v>9867</v>
      </c>
      <c r="P10" s="18">
        <v>12982</v>
      </c>
      <c r="Q10" s="18">
        <v>11227</v>
      </c>
    </row>
    <row r="11" spans="1:17" ht="15" customHeight="1" x14ac:dyDescent="0.3">
      <c r="A11" s="114"/>
      <c r="B11" s="17" t="s">
        <v>47</v>
      </c>
      <c r="C11" s="18">
        <v>58286</v>
      </c>
      <c r="D11" s="18">
        <v>55358</v>
      </c>
      <c r="E11" s="18">
        <v>46741</v>
      </c>
      <c r="F11" s="18">
        <v>45654</v>
      </c>
      <c r="G11" s="18">
        <v>51379</v>
      </c>
      <c r="H11" s="18">
        <v>51577</v>
      </c>
      <c r="I11" s="18">
        <v>50374</v>
      </c>
      <c r="J11" s="18">
        <v>48350</v>
      </c>
      <c r="K11" s="18">
        <v>53714</v>
      </c>
      <c r="L11" s="18">
        <v>55205</v>
      </c>
      <c r="M11" s="18">
        <v>15331</v>
      </c>
      <c r="N11" s="18">
        <v>21823</v>
      </c>
      <c r="O11" s="18">
        <v>44043</v>
      </c>
      <c r="P11" s="18">
        <v>53453</v>
      </c>
      <c r="Q11" s="18">
        <v>53068</v>
      </c>
    </row>
    <row r="12" spans="1:17" ht="15" customHeight="1" x14ac:dyDescent="0.3">
      <c r="A12" s="114"/>
      <c r="B12" s="17" t="s">
        <v>10</v>
      </c>
      <c r="C12" s="18">
        <v>22373</v>
      </c>
      <c r="D12" s="18">
        <v>27878</v>
      </c>
      <c r="E12" s="18">
        <v>28586</v>
      </c>
      <c r="F12" s="18">
        <v>29662</v>
      </c>
      <c r="G12" s="18">
        <v>22930</v>
      </c>
      <c r="H12" s="18">
        <v>19686</v>
      </c>
      <c r="I12" s="18">
        <v>20639</v>
      </c>
      <c r="J12" s="18">
        <v>28372</v>
      </c>
      <c r="K12" s="18">
        <v>48363</v>
      </c>
      <c r="L12" s="18">
        <v>34815</v>
      </c>
      <c r="M12" s="18">
        <v>4406</v>
      </c>
      <c r="N12" s="18">
        <v>8105</v>
      </c>
      <c r="O12" s="18">
        <v>16952</v>
      </c>
      <c r="P12" s="18">
        <v>20935</v>
      </c>
      <c r="Q12" s="18">
        <v>17161</v>
      </c>
    </row>
    <row r="13" spans="1:17" ht="15" customHeight="1" x14ac:dyDescent="0.3">
      <c r="A13" s="114"/>
      <c r="B13" s="17" t="s">
        <v>11</v>
      </c>
      <c r="C13" s="18">
        <v>108957</v>
      </c>
      <c r="D13" s="18">
        <v>104915</v>
      </c>
      <c r="E13" s="18">
        <v>92193</v>
      </c>
      <c r="F13" s="18">
        <v>88218</v>
      </c>
      <c r="G13" s="18">
        <v>99856</v>
      </c>
      <c r="H13" s="18">
        <v>98378</v>
      </c>
      <c r="I13" s="18">
        <v>97463</v>
      </c>
      <c r="J13" s="18">
        <v>97871</v>
      </c>
      <c r="K13" s="18">
        <v>126735</v>
      </c>
      <c r="L13" s="18">
        <v>111755</v>
      </c>
      <c r="M13" s="18">
        <v>29317</v>
      </c>
      <c r="N13" s="18">
        <v>40329</v>
      </c>
      <c r="O13" s="18">
        <v>78740</v>
      </c>
      <c r="P13" s="18">
        <v>96842</v>
      </c>
      <c r="Q13" s="18">
        <v>93407</v>
      </c>
    </row>
    <row r="14" spans="1:17" ht="15" customHeight="1" x14ac:dyDescent="0.3">
      <c r="A14" s="114"/>
      <c r="B14" s="17" t="s">
        <v>12</v>
      </c>
      <c r="C14" s="19">
        <v>0.30499999999999999</v>
      </c>
      <c r="D14" s="19">
        <v>0.28100000000000003</v>
      </c>
      <c r="E14" s="19">
        <v>0.24</v>
      </c>
      <c r="F14" s="19">
        <v>0.216</v>
      </c>
      <c r="G14" s="19">
        <v>0.22900000000000001</v>
      </c>
      <c r="H14" s="19">
        <v>0.20399999999999999</v>
      </c>
      <c r="I14" s="19">
        <v>0.20399999999999999</v>
      </c>
      <c r="J14" s="19">
        <v>0.218</v>
      </c>
      <c r="K14" s="19">
        <v>0.254</v>
      </c>
      <c r="L14" s="19">
        <v>0.20499999999999999</v>
      </c>
      <c r="M14" s="19">
        <v>0.1</v>
      </c>
      <c r="N14" s="19">
        <v>0.14599999999999999</v>
      </c>
      <c r="O14" s="19">
        <v>0.20100000000000001</v>
      </c>
      <c r="P14" s="19">
        <v>0.245</v>
      </c>
      <c r="Q14" s="19">
        <v>0.23699999999999999</v>
      </c>
    </row>
    <row r="15" spans="1:17" ht="15" customHeight="1" x14ac:dyDescent="0.3">
      <c r="A15" s="107" t="s">
        <v>4</v>
      </c>
      <c r="B15" s="14" t="s">
        <v>44</v>
      </c>
      <c r="C15" s="15">
        <v>3012</v>
      </c>
      <c r="D15" s="15">
        <v>2769</v>
      </c>
      <c r="E15" s="15">
        <v>2691</v>
      </c>
      <c r="F15" s="15">
        <v>3738</v>
      </c>
      <c r="G15" s="15">
        <v>3303</v>
      </c>
      <c r="H15" s="15">
        <v>3101</v>
      </c>
      <c r="I15" s="15">
        <v>2472</v>
      </c>
      <c r="J15" s="15">
        <v>3053</v>
      </c>
      <c r="K15" s="15">
        <v>4724</v>
      </c>
      <c r="L15" s="15">
        <v>4734</v>
      </c>
      <c r="M15" s="15">
        <v>1958</v>
      </c>
      <c r="N15" s="15">
        <v>3354</v>
      </c>
      <c r="O15" s="15">
        <v>4771</v>
      </c>
      <c r="P15" s="15">
        <v>5880</v>
      </c>
      <c r="Q15" s="15">
        <v>5919</v>
      </c>
    </row>
    <row r="16" spans="1:17" ht="15" customHeight="1" x14ac:dyDescent="0.3">
      <c r="A16" s="107"/>
      <c r="B16" s="14" t="s">
        <v>45</v>
      </c>
      <c r="C16" s="15">
        <v>51253</v>
      </c>
      <c r="D16" s="15">
        <v>43784</v>
      </c>
      <c r="E16" s="15">
        <v>31860</v>
      </c>
      <c r="F16" s="15">
        <v>33653</v>
      </c>
      <c r="G16" s="15">
        <v>36468</v>
      </c>
      <c r="H16" s="15">
        <v>38096</v>
      </c>
      <c r="I16" s="15">
        <v>37747</v>
      </c>
      <c r="J16" s="15">
        <v>41979</v>
      </c>
      <c r="K16" s="15">
        <v>44055</v>
      </c>
      <c r="L16" s="15">
        <v>46098</v>
      </c>
      <c r="M16" s="15">
        <v>25465</v>
      </c>
      <c r="N16" s="15">
        <v>33196</v>
      </c>
      <c r="O16" s="15">
        <v>44900</v>
      </c>
      <c r="P16" s="15">
        <v>51492</v>
      </c>
      <c r="Q16" s="15">
        <v>51638</v>
      </c>
    </row>
    <row r="17" spans="1:21" ht="15" customHeight="1" x14ac:dyDescent="0.3">
      <c r="A17" s="107"/>
      <c r="B17" s="14" t="s">
        <v>13</v>
      </c>
      <c r="C17" s="15">
        <v>8371</v>
      </c>
      <c r="D17" s="15">
        <v>6184</v>
      </c>
      <c r="E17" s="15">
        <v>8054</v>
      </c>
      <c r="F17" s="15">
        <v>9298</v>
      </c>
      <c r="G17" s="15">
        <v>10017</v>
      </c>
      <c r="H17" s="15">
        <v>9584</v>
      </c>
      <c r="I17" s="15">
        <v>8732</v>
      </c>
      <c r="J17" s="15">
        <v>8914</v>
      </c>
      <c r="K17" s="15">
        <v>18034</v>
      </c>
      <c r="L17" s="15">
        <v>13624</v>
      </c>
      <c r="M17" s="15">
        <v>11918</v>
      </c>
      <c r="N17" s="15">
        <v>12189</v>
      </c>
      <c r="O17" s="15">
        <v>13874</v>
      </c>
      <c r="P17" s="15">
        <v>17320</v>
      </c>
      <c r="Q17" s="15">
        <v>16514</v>
      </c>
    </row>
    <row r="18" spans="1:21" ht="15" customHeight="1" x14ac:dyDescent="0.3">
      <c r="A18" s="107"/>
      <c r="B18" s="14" t="s">
        <v>11</v>
      </c>
      <c r="C18" s="15">
        <v>100704</v>
      </c>
      <c r="D18" s="15">
        <v>101204</v>
      </c>
      <c r="E18" s="15">
        <v>108664</v>
      </c>
      <c r="F18" s="15">
        <v>123834</v>
      </c>
      <c r="G18" s="15">
        <v>124755</v>
      </c>
      <c r="H18" s="15">
        <v>120298</v>
      </c>
      <c r="I18" s="15">
        <v>111628</v>
      </c>
      <c r="J18" s="15">
        <v>105300</v>
      </c>
      <c r="K18" s="15">
        <v>104604</v>
      </c>
      <c r="L18" s="15">
        <v>97753</v>
      </c>
      <c r="M18" s="15">
        <v>61597</v>
      </c>
      <c r="N18" s="15">
        <v>79961</v>
      </c>
      <c r="O18" s="15">
        <v>99786</v>
      </c>
      <c r="P18" s="15">
        <v>112059</v>
      </c>
      <c r="Q18" s="15">
        <v>109302</v>
      </c>
    </row>
    <row r="19" spans="1:21" ht="15" customHeight="1" x14ac:dyDescent="0.3">
      <c r="A19" s="107"/>
      <c r="B19" s="14" t="s">
        <v>12</v>
      </c>
      <c r="C19" s="16">
        <v>0.23400000000000001</v>
      </c>
      <c r="D19" s="16">
        <v>0.222</v>
      </c>
      <c r="E19" s="16">
        <v>0.23799999999999999</v>
      </c>
      <c r="F19" s="16">
        <v>0.27200000000000002</v>
      </c>
      <c r="G19" s="16">
        <v>0.27600000000000002</v>
      </c>
      <c r="H19" s="16">
        <v>0.26600000000000001</v>
      </c>
      <c r="I19" s="16">
        <v>0.254</v>
      </c>
      <c r="J19" s="16">
        <v>0.24099999999999999</v>
      </c>
      <c r="K19" s="16">
        <v>0.20100000000000001</v>
      </c>
      <c r="L19" s="16">
        <v>0.182</v>
      </c>
      <c r="M19" s="16">
        <v>0.188</v>
      </c>
      <c r="N19" s="16">
        <v>0.22500000000000001</v>
      </c>
      <c r="O19" s="16">
        <v>0.23699999999999999</v>
      </c>
      <c r="P19" s="16">
        <v>0.26400000000000001</v>
      </c>
      <c r="Q19" s="16">
        <v>0.25900000000000001</v>
      </c>
    </row>
    <row r="20" spans="1:21" ht="15" customHeight="1" x14ac:dyDescent="0.3">
      <c r="A20" s="114" t="s">
        <v>5</v>
      </c>
      <c r="B20" s="17" t="s">
        <v>44</v>
      </c>
      <c r="C20" s="18">
        <v>3276</v>
      </c>
      <c r="D20" s="18">
        <v>3693</v>
      </c>
      <c r="E20" s="18">
        <v>1716</v>
      </c>
      <c r="F20" s="18">
        <v>2754</v>
      </c>
      <c r="G20" s="18">
        <v>2455</v>
      </c>
      <c r="H20" s="18">
        <v>2478</v>
      </c>
      <c r="I20" s="18">
        <v>1360</v>
      </c>
      <c r="J20" s="18">
        <v>1625</v>
      </c>
      <c r="K20" s="18">
        <v>1894</v>
      </c>
      <c r="L20" s="18">
        <v>2074</v>
      </c>
      <c r="M20" s="18">
        <v>460</v>
      </c>
      <c r="N20" s="18">
        <v>798</v>
      </c>
      <c r="O20" s="18">
        <v>1764</v>
      </c>
      <c r="P20" s="18">
        <v>2279</v>
      </c>
      <c r="Q20" s="18">
        <v>2268</v>
      </c>
    </row>
    <row r="21" spans="1:21" ht="15" customHeight="1" x14ac:dyDescent="0.3">
      <c r="A21" s="114"/>
      <c r="B21" s="17" t="s">
        <v>47</v>
      </c>
      <c r="C21" s="18">
        <v>36420</v>
      </c>
      <c r="D21" s="18">
        <v>31592</v>
      </c>
      <c r="E21" s="18">
        <v>19083</v>
      </c>
      <c r="F21" s="18">
        <v>28714</v>
      </c>
      <c r="G21" s="18">
        <v>19733</v>
      </c>
      <c r="H21" s="18">
        <v>13420</v>
      </c>
      <c r="I21" s="18">
        <v>13772</v>
      </c>
      <c r="J21" s="18">
        <v>16358</v>
      </c>
      <c r="K21" s="18">
        <v>17542</v>
      </c>
      <c r="L21" s="18">
        <v>20408</v>
      </c>
      <c r="M21" s="18">
        <v>12837</v>
      </c>
      <c r="N21" s="18">
        <v>10791</v>
      </c>
      <c r="O21" s="18">
        <v>14309</v>
      </c>
      <c r="P21" s="18">
        <v>17746</v>
      </c>
      <c r="Q21" s="18">
        <v>20027</v>
      </c>
    </row>
    <row r="22" spans="1:21" ht="15" customHeight="1" x14ac:dyDescent="0.3">
      <c r="A22" s="114"/>
      <c r="B22" s="17" t="s">
        <v>10</v>
      </c>
      <c r="C22" s="18">
        <v>6595</v>
      </c>
      <c r="D22" s="18">
        <v>7465</v>
      </c>
      <c r="E22" s="18">
        <v>3856</v>
      </c>
      <c r="F22" s="18">
        <v>6440</v>
      </c>
      <c r="G22" s="18">
        <v>5542</v>
      </c>
      <c r="H22" s="18">
        <v>5264</v>
      </c>
      <c r="I22" s="18">
        <v>2971</v>
      </c>
      <c r="J22" s="18">
        <v>3678</v>
      </c>
      <c r="K22" s="18">
        <v>4098</v>
      </c>
      <c r="L22" s="18">
        <v>4624</v>
      </c>
      <c r="M22" s="18">
        <v>897</v>
      </c>
      <c r="N22" s="18">
        <v>1427</v>
      </c>
      <c r="O22" s="18">
        <v>3169</v>
      </c>
      <c r="P22" s="18">
        <v>4471</v>
      </c>
      <c r="Q22" s="18">
        <v>4245</v>
      </c>
    </row>
    <row r="23" spans="1:21" ht="15" customHeight="1" x14ac:dyDescent="0.3">
      <c r="A23" s="114"/>
      <c r="B23" s="17" t="s">
        <v>11</v>
      </c>
      <c r="C23" s="18">
        <v>69058</v>
      </c>
      <c r="D23" s="18">
        <v>54745</v>
      </c>
      <c r="E23" s="18">
        <v>39390</v>
      </c>
      <c r="F23" s="18">
        <v>57298</v>
      </c>
      <c r="G23" s="18">
        <v>37643</v>
      </c>
      <c r="H23" s="18">
        <v>28413</v>
      </c>
      <c r="I23" s="18">
        <v>24067</v>
      </c>
      <c r="J23" s="18">
        <v>28740</v>
      </c>
      <c r="K23" s="18">
        <v>29029</v>
      </c>
      <c r="L23" s="18">
        <v>36582</v>
      </c>
      <c r="M23" s="18">
        <v>23197</v>
      </c>
      <c r="N23" s="18">
        <v>19291</v>
      </c>
      <c r="O23" s="18">
        <v>25388</v>
      </c>
      <c r="P23" s="18">
        <v>31209</v>
      </c>
      <c r="Q23" s="18">
        <v>43243</v>
      </c>
    </row>
    <row r="24" spans="1:21" ht="15" customHeight="1" x14ac:dyDescent="0.3">
      <c r="A24" s="114"/>
      <c r="B24" s="17" t="s">
        <v>12</v>
      </c>
      <c r="C24" s="18">
        <v>22</v>
      </c>
      <c r="D24" s="19">
        <v>0.17699999999999999</v>
      </c>
      <c r="E24" s="19">
        <v>0.123</v>
      </c>
      <c r="F24" s="19">
        <v>0.18099999999999999</v>
      </c>
      <c r="G24" s="19">
        <v>0.123</v>
      </c>
      <c r="H24" s="19">
        <v>0.113</v>
      </c>
      <c r="I24" s="19">
        <v>9.0999999999999998E-2</v>
      </c>
      <c r="J24" s="19">
        <v>0.107</v>
      </c>
      <c r="K24" s="19">
        <v>8.4000000000000005E-2</v>
      </c>
      <c r="L24" s="19">
        <v>0.105</v>
      </c>
      <c r="M24" s="19">
        <v>9.7000000000000003E-2</v>
      </c>
      <c r="N24" s="19">
        <v>0.09</v>
      </c>
      <c r="O24" s="19">
        <v>7.0000000000000007E-2</v>
      </c>
      <c r="P24" s="19">
        <v>0.111</v>
      </c>
      <c r="Q24" s="19">
        <v>0.114</v>
      </c>
    </row>
    <row r="25" spans="1:21" ht="15" customHeight="1" x14ac:dyDescent="0.3">
      <c r="A25" s="108" t="s">
        <v>1</v>
      </c>
      <c r="B25" s="76" t="s">
        <v>46</v>
      </c>
      <c r="C25" s="77">
        <f t="shared" ref="C25:I25" si="0">C20+C15+C10+C5</f>
        <v>20119</v>
      </c>
      <c r="D25" s="77">
        <f t="shared" si="0"/>
        <v>24095</v>
      </c>
      <c r="E25" s="77">
        <f t="shared" si="0"/>
        <v>21639</v>
      </c>
      <c r="F25" s="77">
        <f t="shared" si="0"/>
        <v>23273</v>
      </c>
      <c r="G25" s="77">
        <f t="shared" si="0"/>
        <v>18301</v>
      </c>
      <c r="H25" s="77">
        <f t="shared" si="0"/>
        <v>16311</v>
      </c>
      <c r="I25" s="77">
        <f t="shared" si="0"/>
        <v>14510</v>
      </c>
      <c r="J25" s="77">
        <f t="shared" ref="J25" si="1">J20+J15+J10+J5</f>
        <v>18636</v>
      </c>
      <c r="K25" s="77">
        <v>23121</v>
      </c>
      <c r="L25" s="77">
        <v>24002</v>
      </c>
      <c r="M25" s="77">
        <v>4614</v>
      </c>
      <c r="N25" s="77">
        <v>9093</v>
      </c>
      <c r="O25" s="77">
        <v>17222</v>
      </c>
      <c r="P25" s="77">
        <v>23043</v>
      </c>
      <c r="Q25" s="77">
        <v>21169</v>
      </c>
    </row>
    <row r="26" spans="1:21" ht="15" customHeight="1" x14ac:dyDescent="0.3">
      <c r="A26" s="108"/>
      <c r="B26" s="76" t="s">
        <v>45</v>
      </c>
      <c r="C26" s="77">
        <f>C6+C11+C16+C21</f>
        <v>168151</v>
      </c>
      <c r="D26" s="77">
        <f t="shared" ref="D26:G26" si="2">D6+D11+D16+D21</f>
        <v>142141</v>
      </c>
      <c r="E26" s="77">
        <f t="shared" si="2"/>
        <v>99261</v>
      </c>
      <c r="F26" s="77">
        <f t="shared" si="2"/>
        <v>108992</v>
      </c>
      <c r="G26" s="77">
        <f t="shared" si="2"/>
        <v>108691</v>
      </c>
      <c r="H26" s="77">
        <f t="shared" ref="H26:I26" si="3">H6+H11+H16+H21</f>
        <v>106624</v>
      </c>
      <c r="I26" s="77">
        <f t="shared" si="3"/>
        <v>104256</v>
      </c>
      <c r="J26" s="77">
        <f t="shared" ref="J26" si="4">J6+J11+J16+J21</f>
        <v>113105</v>
      </c>
      <c r="K26" s="77">
        <v>120417</v>
      </c>
      <c r="L26" s="77">
        <v>128496</v>
      </c>
      <c r="M26" s="77">
        <v>57564</v>
      </c>
      <c r="N26" s="77">
        <v>69463</v>
      </c>
      <c r="O26" s="77">
        <v>109168</v>
      </c>
      <c r="P26" s="77">
        <v>129912</v>
      </c>
      <c r="Q26" s="77">
        <v>131713</v>
      </c>
    </row>
    <row r="27" spans="1:21" ht="15" customHeight="1" x14ac:dyDescent="0.3">
      <c r="A27" s="108"/>
      <c r="B27" s="76" t="s">
        <v>10</v>
      </c>
      <c r="C27" s="77">
        <f>C22+C17+C12+C7</f>
        <v>38338</v>
      </c>
      <c r="D27" s="77">
        <f t="shared" ref="D27:G27" si="5">D22+D17+D12+D7</f>
        <v>42288</v>
      </c>
      <c r="E27" s="77">
        <f t="shared" si="5"/>
        <v>40496</v>
      </c>
      <c r="F27" s="77">
        <f t="shared" si="5"/>
        <v>45404</v>
      </c>
      <c r="G27" s="77">
        <f t="shared" si="5"/>
        <v>38559</v>
      </c>
      <c r="H27" s="77">
        <f t="shared" ref="H27:I27" si="6">H22+H17+H12+H7</f>
        <v>34830</v>
      </c>
      <c r="I27" s="77">
        <f t="shared" si="6"/>
        <v>32502</v>
      </c>
      <c r="J27" s="77">
        <f t="shared" ref="J27" si="7">J22+J17+J12+J7</f>
        <v>50945</v>
      </c>
      <c r="K27" s="77">
        <v>71371</v>
      </c>
      <c r="L27" s="77">
        <v>54593</v>
      </c>
      <c r="M27" s="77">
        <v>18207</v>
      </c>
      <c r="N27" s="77">
        <v>22027</v>
      </c>
      <c r="O27" s="77">
        <v>35031</v>
      </c>
      <c r="P27" s="77">
        <v>44736</v>
      </c>
      <c r="Q27" s="77">
        <v>39527</v>
      </c>
    </row>
    <row r="28" spans="1:21" ht="15" customHeight="1" x14ac:dyDescent="0.3">
      <c r="A28" s="108"/>
      <c r="B28" s="76" t="s">
        <v>11</v>
      </c>
      <c r="C28" s="77">
        <f>C8+C13+C18+C23</f>
        <v>320434</v>
      </c>
      <c r="D28" s="77">
        <f t="shared" ref="D28:G28" si="8">D8+D13+D18+D23</f>
        <v>282340</v>
      </c>
      <c r="E28" s="77">
        <f t="shared" si="8"/>
        <v>243684</v>
      </c>
      <c r="F28" s="77">
        <f t="shared" si="8"/>
        <v>271500</v>
      </c>
      <c r="G28" s="77">
        <f t="shared" si="8"/>
        <v>264417</v>
      </c>
      <c r="H28" s="77">
        <f t="shared" ref="H28:I28" si="9">H8+H13+H18+H23</f>
        <v>254146</v>
      </c>
      <c r="I28" s="77">
        <f t="shared" si="9"/>
        <v>237401</v>
      </c>
      <c r="J28" s="77">
        <f t="shared" ref="J28" si="10">J8+J13+J18+J23</f>
        <v>243503</v>
      </c>
      <c r="K28" s="77">
        <v>268788</v>
      </c>
      <c r="L28" s="77">
        <v>258210</v>
      </c>
      <c r="M28" s="77">
        <v>121843</v>
      </c>
      <c r="N28" s="77">
        <v>145642</v>
      </c>
      <c r="O28" s="77">
        <v>213787</v>
      </c>
      <c r="P28" s="77">
        <v>252331</v>
      </c>
      <c r="Q28" s="77">
        <v>258093</v>
      </c>
    </row>
    <row r="29" spans="1:21" ht="15" customHeight="1" x14ac:dyDescent="0.3">
      <c r="A29" s="108"/>
      <c r="B29" s="76" t="s">
        <v>12</v>
      </c>
      <c r="C29" s="78">
        <v>0.23200000000000001</v>
      </c>
      <c r="D29" s="78">
        <v>0.20100000000000001</v>
      </c>
      <c r="E29" s="78">
        <v>0.17199999999999999</v>
      </c>
      <c r="F29" s="78">
        <v>0.187</v>
      </c>
      <c r="G29" s="78">
        <v>0.17799999999999999</v>
      </c>
      <c r="H29" s="78">
        <v>0.17</v>
      </c>
      <c r="I29" s="78">
        <v>0.159</v>
      </c>
      <c r="J29" s="78">
        <v>0.17199999999999999</v>
      </c>
      <c r="K29" s="78">
        <v>0.17799999999999999</v>
      </c>
      <c r="L29" s="78">
        <v>0.153</v>
      </c>
      <c r="M29" s="78">
        <v>0.128</v>
      </c>
      <c r="N29" s="78">
        <v>0.158</v>
      </c>
      <c r="O29" s="78">
        <v>0.16200000000000001</v>
      </c>
      <c r="P29" s="78">
        <v>0.20499999999999999</v>
      </c>
      <c r="Q29" s="78">
        <v>0.192</v>
      </c>
    </row>
    <row r="30" spans="1:21" ht="15" customHeight="1" x14ac:dyDescent="0.3">
      <c r="A30" s="113" t="s">
        <v>93</v>
      </c>
      <c r="B30" s="113"/>
      <c r="C30" s="113"/>
      <c r="D30" s="113"/>
      <c r="E30" s="113"/>
      <c r="F30" s="113"/>
      <c r="G30" s="113"/>
      <c r="H30" s="113"/>
      <c r="I30" s="113"/>
      <c r="J30" s="113"/>
      <c r="K30" s="113"/>
      <c r="L30" s="113"/>
      <c r="M30" s="113"/>
      <c r="N30" s="83"/>
      <c r="O30" s="83"/>
      <c r="P30" s="83"/>
      <c r="Q30" s="83"/>
      <c r="R30" s="2"/>
      <c r="S30" s="2"/>
      <c r="T30" s="2"/>
      <c r="U30" s="2"/>
    </row>
    <row r="31" spans="1:21" ht="15" customHeight="1" x14ac:dyDescent="0.3">
      <c r="A31" s="113"/>
      <c r="B31" s="113"/>
      <c r="C31" s="113"/>
      <c r="D31" s="113"/>
      <c r="E31" s="113"/>
      <c r="F31" s="113"/>
      <c r="G31" s="113"/>
      <c r="H31" s="113"/>
      <c r="I31" s="113"/>
      <c r="J31" s="113"/>
      <c r="K31" s="113"/>
      <c r="L31" s="113"/>
      <c r="M31" s="113"/>
      <c r="N31" s="83"/>
      <c r="O31" s="83"/>
      <c r="P31" s="83"/>
      <c r="Q31" s="83"/>
    </row>
    <row r="32" spans="1:21" ht="15" customHeight="1" x14ac:dyDescent="0.3">
      <c r="A32" s="3"/>
      <c r="B32" s="3"/>
      <c r="C32" s="3"/>
      <c r="D32" s="3"/>
      <c r="E32" s="3"/>
      <c r="F32" s="3"/>
      <c r="G32" s="3"/>
      <c r="H32" s="3"/>
      <c r="I32" s="3"/>
    </row>
    <row r="33" spans="1:9" ht="15" customHeight="1" x14ac:dyDescent="0.3">
      <c r="A33" s="3"/>
      <c r="B33" s="3"/>
      <c r="C33" s="3"/>
      <c r="D33" s="3"/>
      <c r="E33" s="3"/>
      <c r="F33" s="3"/>
      <c r="G33" s="3"/>
      <c r="H33" s="3"/>
      <c r="I33" s="3"/>
    </row>
  </sheetData>
  <mergeCells count="7">
    <mergeCell ref="A3:Q3"/>
    <mergeCell ref="A30:M31"/>
    <mergeCell ref="A5:A9"/>
    <mergeCell ref="A10:A14"/>
    <mergeCell ref="A15:A19"/>
    <mergeCell ref="A20:A24"/>
    <mergeCell ref="A25:A29"/>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ignoredErrors>
    <ignoredError sqref="C26:H27 I26:I27 J26:J27" formula="1"/>
  </ignoredError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567A6-27C8-42A4-87AA-2106CA0E7ADC}">
  <sheetPr>
    <tabColor theme="7" tint="-0.499984740745262"/>
    <pageSetUpPr fitToPage="1"/>
  </sheetPr>
  <dimension ref="A3:K28"/>
  <sheetViews>
    <sheetView showGridLines="0" zoomScaleNormal="100" workbookViewId="0">
      <pane xSplit="1" topLeftCell="B1" activePane="topRight" state="frozen"/>
      <selection pane="topRight" activeCell="G5" sqref="G5:G24"/>
    </sheetView>
  </sheetViews>
  <sheetFormatPr defaultRowHeight="15" customHeight="1" x14ac:dyDescent="0.3"/>
  <cols>
    <col min="1" max="1" width="14.88671875" style="13" customWidth="1"/>
    <col min="2" max="2" width="24.44140625" style="13" customWidth="1"/>
    <col min="3" max="3" width="9.6640625" style="13" bestFit="1" customWidth="1"/>
    <col min="4" max="7" width="9.6640625" style="13" customWidth="1"/>
    <col min="8" max="16384" width="8.88671875" style="13"/>
  </cols>
  <sheetData>
    <row r="3" spans="1:7" ht="28.8" customHeight="1" x14ac:dyDescent="0.3">
      <c r="A3" s="115" t="s">
        <v>128</v>
      </c>
      <c r="B3" s="115"/>
      <c r="C3" s="115"/>
      <c r="D3" s="115"/>
      <c r="E3" s="115"/>
      <c r="F3" s="115"/>
      <c r="G3" s="115"/>
    </row>
    <row r="4" spans="1:7" ht="15" customHeight="1" x14ac:dyDescent="0.3">
      <c r="A4" s="71" t="s">
        <v>86</v>
      </c>
      <c r="B4" s="72"/>
      <c r="C4" s="79">
        <v>2020</v>
      </c>
      <c r="D4" s="79">
        <v>2021</v>
      </c>
      <c r="E4" s="79">
        <v>2022</v>
      </c>
      <c r="F4" s="79">
        <v>2023</v>
      </c>
      <c r="G4" s="79">
        <v>2024</v>
      </c>
    </row>
    <row r="5" spans="1:7" ht="15" customHeight="1" x14ac:dyDescent="0.3">
      <c r="A5" s="104" t="s">
        <v>2</v>
      </c>
      <c r="B5" s="14" t="s">
        <v>44</v>
      </c>
      <c r="C5" s="15">
        <v>43</v>
      </c>
      <c r="D5" s="15">
        <v>298</v>
      </c>
      <c r="E5" s="15">
        <v>691</v>
      </c>
      <c r="F5" s="15">
        <v>279</v>
      </c>
      <c r="G5" s="15">
        <v>472</v>
      </c>
    </row>
    <row r="6" spans="1:7" ht="15" customHeight="1" x14ac:dyDescent="0.3">
      <c r="A6" s="104"/>
      <c r="B6" s="14" t="s">
        <v>45</v>
      </c>
      <c r="C6" s="15">
        <v>363</v>
      </c>
      <c r="D6" s="15">
        <v>1284</v>
      </c>
      <c r="E6" s="15">
        <v>3098</v>
      </c>
      <c r="F6" s="15">
        <v>6082</v>
      </c>
      <c r="G6" s="15">
        <v>5747</v>
      </c>
    </row>
    <row r="7" spans="1:7" ht="15" customHeight="1" x14ac:dyDescent="0.3">
      <c r="A7" s="104"/>
      <c r="B7" s="14" t="s">
        <v>10</v>
      </c>
      <c r="C7" s="15">
        <v>106</v>
      </c>
      <c r="D7" s="15">
        <v>621</v>
      </c>
      <c r="E7" s="15">
        <v>1365</v>
      </c>
      <c r="F7" s="15">
        <v>659</v>
      </c>
      <c r="G7" s="15">
        <v>1104</v>
      </c>
    </row>
    <row r="8" spans="1:7" ht="15" customHeight="1" x14ac:dyDescent="0.3">
      <c r="A8" s="104"/>
      <c r="B8" s="14" t="s">
        <v>11</v>
      </c>
      <c r="C8" s="15">
        <v>1047</v>
      </c>
      <c r="D8" s="15">
        <v>3359</v>
      </c>
      <c r="E8" s="15">
        <v>5524</v>
      </c>
      <c r="F8" s="15">
        <v>13196</v>
      </c>
      <c r="G8" s="15">
        <v>13687</v>
      </c>
    </row>
    <row r="9" spans="1:7" ht="15" customHeight="1" x14ac:dyDescent="0.3">
      <c r="A9" s="116" t="s">
        <v>3</v>
      </c>
      <c r="B9" s="17" t="s">
        <v>46</v>
      </c>
      <c r="C9" s="18">
        <v>348</v>
      </c>
      <c r="D9" s="18">
        <v>400</v>
      </c>
      <c r="E9" s="18">
        <v>752</v>
      </c>
      <c r="F9" s="18">
        <v>464</v>
      </c>
      <c r="G9" s="18">
        <v>594</v>
      </c>
    </row>
    <row r="10" spans="1:7" ht="15" customHeight="1" x14ac:dyDescent="0.3">
      <c r="A10" s="116"/>
      <c r="B10" s="17" t="s">
        <v>47</v>
      </c>
      <c r="C10" s="18">
        <v>2187</v>
      </c>
      <c r="D10" s="18">
        <v>1923</v>
      </c>
      <c r="E10" s="18">
        <v>4143</v>
      </c>
      <c r="F10" s="18">
        <v>5028</v>
      </c>
      <c r="G10" s="18">
        <v>5864</v>
      </c>
    </row>
    <row r="11" spans="1:7" ht="15" customHeight="1" x14ac:dyDescent="0.3">
      <c r="A11" s="116"/>
      <c r="B11" s="17" t="s">
        <v>10</v>
      </c>
      <c r="C11" s="18">
        <v>832</v>
      </c>
      <c r="D11" s="18">
        <v>658</v>
      </c>
      <c r="E11" s="18">
        <v>2050</v>
      </c>
      <c r="F11" s="18">
        <v>1443</v>
      </c>
      <c r="G11" s="18">
        <v>1696</v>
      </c>
    </row>
    <row r="12" spans="1:7" ht="15" customHeight="1" x14ac:dyDescent="0.3">
      <c r="A12" s="116"/>
      <c r="B12" s="17" t="s">
        <v>11</v>
      </c>
      <c r="C12" s="18">
        <v>5506</v>
      </c>
      <c r="D12" s="18">
        <v>6364</v>
      </c>
      <c r="E12" s="18">
        <v>11254</v>
      </c>
      <c r="F12" s="18">
        <v>13778</v>
      </c>
      <c r="G12" s="18">
        <v>14312</v>
      </c>
    </row>
    <row r="13" spans="1:7" ht="15" customHeight="1" x14ac:dyDescent="0.3">
      <c r="A13" s="104" t="s">
        <v>119</v>
      </c>
      <c r="B13" s="14" t="s">
        <v>44</v>
      </c>
      <c r="C13" s="15">
        <v>2</v>
      </c>
      <c r="D13" s="15">
        <v>0</v>
      </c>
      <c r="E13" s="15">
        <v>23</v>
      </c>
      <c r="F13" s="15"/>
      <c r="G13" s="15"/>
    </row>
    <row r="14" spans="1:7" ht="15" customHeight="1" x14ac:dyDescent="0.3">
      <c r="A14" s="104"/>
      <c r="B14" s="14" t="s">
        <v>45</v>
      </c>
      <c r="C14" s="15">
        <v>276</v>
      </c>
      <c r="D14" s="15">
        <v>416</v>
      </c>
      <c r="E14" s="15">
        <v>300</v>
      </c>
      <c r="F14" s="15"/>
      <c r="G14" s="15"/>
    </row>
    <row r="15" spans="1:7" ht="15" customHeight="1" x14ac:dyDescent="0.3">
      <c r="A15" s="104"/>
      <c r="B15" s="14" t="s">
        <v>13</v>
      </c>
      <c r="C15" s="15">
        <v>11</v>
      </c>
      <c r="D15" s="15">
        <v>0</v>
      </c>
      <c r="E15" s="15">
        <v>66</v>
      </c>
      <c r="F15" s="15"/>
      <c r="G15" s="15"/>
    </row>
    <row r="16" spans="1:7" ht="15" customHeight="1" x14ac:dyDescent="0.3">
      <c r="A16" s="104"/>
      <c r="B16" s="14" t="s">
        <v>11</v>
      </c>
      <c r="C16" s="15">
        <v>833</v>
      </c>
      <c r="D16" s="15">
        <v>742</v>
      </c>
      <c r="E16" s="15">
        <v>581</v>
      </c>
      <c r="F16" s="15"/>
      <c r="G16" s="15"/>
    </row>
    <row r="17" spans="1:11" ht="15" customHeight="1" x14ac:dyDescent="0.3">
      <c r="A17" s="116" t="s">
        <v>5</v>
      </c>
      <c r="B17" s="17" t="s">
        <v>44</v>
      </c>
      <c r="C17" s="18">
        <v>150</v>
      </c>
      <c r="D17" s="18">
        <v>366</v>
      </c>
      <c r="E17" s="18">
        <v>698</v>
      </c>
      <c r="F17" s="18">
        <v>1225</v>
      </c>
      <c r="G17" s="18">
        <v>796</v>
      </c>
    </row>
    <row r="18" spans="1:11" ht="15" customHeight="1" x14ac:dyDescent="0.3">
      <c r="A18" s="116"/>
      <c r="B18" s="17" t="s">
        <v>47</v>
      </c>
      <c r="C18" s="18">
        <v>1501</v>
      </c>
      <c r="D18" s="18">
        <v>1778</v>
      </c>
      <c r="E18" s="18">
        <v>4691</v>
      </c>
      <c r="F18" s="18">
        <v>7357</v>
      </c>
      <c r="G18" s="18">
        <v>5443</v>
      </c>
    </row>
    <row r="19" spans="1:11" ht="15" customHeight="1" x14ac:dyDescent="0.3">
      <c r="A19" s="116"/>
      <c r="B19" s="17" t="s">
        <v>10</v>
      </c>
      <c r="C19" s="18">
        <v>303</v>
      </c>
      <c r="D19" s="18">
        <v>703</v>
      </c>
      <c r="E19" s="18">
        <v>1366</v>
      </c>
      <c r="F19" s="18">
        <v>2441</v>
      </c>
      <c r="G19" s="18">
        <v>1799</v>
      </c>
    </row>
    <row r="20" spans="1:11" ht="15" customHeight="1" x14ac:dyDescent="0.3">
      <c r="A20" s="116"/>
      <c r="B20" s="17" t="s">
        <v>11</v>
      </c>
      <c r="C20" s="18">
        <v>3638</v>
      </c>
      <c r="D20" s="18">
        <v>3604</v>
      </c>
      <c r="E20" s="18">
        <v>8802</v>
      </c>
      <c r="F20" s="18">
        <v>16893</v>
      </c>
      <c r="G20" s="18">
        <v>12340</v>
      </c>
    </row>
    <row r="21" spans="1:11" ht="15" customHeight="1" x14ac:dyDescent="0.3">
      <c r="A21" s="105" t="s">
        <v>1</v>
      </c>
      <c r="B21" s="76" t="s">
        <v>46</v>
      </c>
      <c r="C21" s="77">
        <v>543</v>
      </c>
      <c r="D21" s="77">
        <v>1064</v>
      </c>
      <c r="E21" s="77">
        <v>2164</v>
      </c>
      <c r="F21" s="77">
        <v>1968</v>
      </c>
      <c r="G21" s="77">
        <v>1862</v>
      </c>
    </row>
    <row r="22" spans="1:11" ht="15" customHeight="1" x14ac:dyDescent="0.3">
      <c r="A22" s="105"/>
      <c r="B22" s="76" t="s">
        <v>45</v>
      </c>
      <c r="C22" s="77">
        <v>4327</v>
      </c>
      <c r="D22" s="77">
        <v>5401</v>
      </c>
      <c r="E22" s="77">
        <v>12232</v>
      </c>
      <c r="F22" s="77">
        <v>18467</v>
      </c>
      <c r="G22" s="77">
        <v>17054</v>
      </c>
    </row>
    <row r="23" spans="1:11" ht="15" customHeight="1" x14ac:dyDescent="0.3">
      <c r="A23" s="105"/>
      <c r="B23" s="76" t="s">
        <v>10</v>
      </c>
      <c r="C23" s="77">
        <v>1252</v>
      </c>
      <c r="D23" s="77">
        <v>1982</v>
      </c>
      <c r="E23" s="77">
        <v>4847</v>
      </c>
      <c r="F23" s="77">
        <v>4543</v>
      </c>
      <c r="G23" s="77">
        <v>4599</v>
      </c>
    </row>
    <row r="24" spans="1:11" ht="15" customHeight="1" x14ac:dyDescent="0.3">
      <c r="A24" s="105"/>
      <c r="B24" s="76" t="s">
        <v>11</v>
      </c>
      <c r="C24" s="77">
        <v>11024</v>
      </c>
      <c r="D24" s="77">
        <v>14069</v>
      </c>
      <c r="E24" s="77">
        <v>26161</v>
      </c>
      <c r="F24" s="77">
        <v>43867</v>
      </c>
      <c r="G24" s="77">
        <v>40339</v>
      </c>
    </row>
    <row r="25" spans="1:11" ht="15" customHeight="1" x14ac:dyDescent="0.3">
      <c r="A25" s="4" t="s">
        <v>98</v>
      </c>
      <c r="B25" s="4"/>
      <c r="C25" s="4"/>
      <c r="D25" s="83"/>
      <c r="E25" s="83"/>
      <c r="F25" s="83"/>
      <c r="G25" s="83"/>
      <c r="H25" s="2"/>
      <c r="I25" s="2"/>
      <c r="J25" s="2"/>
      <c r="K25" s="2"/>
    </row>
    <row r="26" spans="1:11" ht="15" customHeight="1" x14ac:dyDescent="0.3">
      <c r="A26" s="113" t="s">
        <v>120</v>
      </c>
      <c r="B26" s="113"/>
      <c r="C26" s="113"/>
      <c r="D26" s="113"/>
      <c r="E26" s="113"/>
      <c r="F26" s="113"/>
      <c r="G26" s="83"/>
    </row>
    <row r="27" spans="1:11" ht="15" customHeight="1" x14ac:dyDescent="0.3">
      <c r="A27" s="113"/>
      <c r="B27" s="113"/>
      <c r="C27" s="113"/>
      <c r="D27" s="113"/>
      <c r="E27" s="113"/>
      <c r="F27" s="113"/>
      <c r="G27" s="83"/>
    </row>
    <row r="28" spans="1:11" ht="15" customHeight="1" x14ac:dyDescent="0.3">
      <c r="A28" s="3"/>
      <c r="B28" s="3"/>
    </row>
  </sheetData>
  <mergeCells count="7">
    <mergeCell ref="A3:G3"/>
    <mergeCell ref="A26:F27"/>
    <mergeCell ref="A21:A24"/>
    <mergeCell ref="A5:A8"/>
    <mergeCell ref="A9:A12"/>
    <mergeCell ref="A13:A16"/>
    <mergeCell ref="A17:A20"/>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pageSetUpPr fitToPage="1"/>
  </sheetPr>
  <dimension ref="A3:F214"/>
  <sheetViews>
    <sheetView showGridLines="0" zoomScaleNormal="100" workbookViewId="0">
      <selection activeCell="B9" sqref="B9"/>
    </sheetView>
  </sheetViews>
  <sheetFormatPr defaultRowHeight="15" customHeight="1" x14ac:dyDescent="0.3"/>
  <cols>
    <col min="1" max="1" width="11.5546875" style="13" customWidth="1"/>
    <col min="2" max="2" width="11.109375" style="13" customWidth="1"/>
    <col min="3" max="3" width="10.33203125" style="13" bestFit="1" customWidth="1"/>
    <col min="4" max="4" width="9.33203125" style="13" bestFit="1" customWidth="1"/>
    <col min="5" max="5" width="7.44140625" style="13" bestFit="1" customWidth="1"/>
    <col min="6" max="6" width="8.44140625" style="13" bestFit="1" customWidth="1"/>
    <col min="7" max="16384" width="8.88671875" style="13"/>
  </cols>
  <sheetData>
    <row r="3" spans="1:6" ht="15" customHeight="1" x14ac:dyDescent="0.3">
      <c r="A3" s="117" t="s">
        <v>67</v>
      </c>
      <c r="B3" s="117"/>
      <c r="C3" s="117" t="s">
        <v>30</v>
      </c>
      <c r="D3" s="117"/>
      <c r="E3" s="117"/>
      <c r="F3" s="117"/>
    </row>
    <row r="4" spans="1:6" ht="15" customHeight="1" x14ac:dyDescent="0.3">
      <c r="A4" s="80"/>
      <c r="B4" s="81" t="s">
        <v>3</v>
      </c>
      <c r="C4" s="80"/>
      <c r="D4" s="81" t="s">
        <v>3</v>
      </c>
      <c r="E4" s="81" t="s">
        <v>4</v>
      </c>
      <c r="F4" s="81" t="s">
        <v>1</v>
      </c>
    </row>
    <row r="5" spans="1:6" ht="15" customHeight="1" x14ac:dyDescent="0.3">
      <c r="A5" s="82">
        <v>2025</v>
      </c>
      <c r="B5" s="81">
        <v>25</v>
      </c>
      <c r="C5" s="82">
        <v>2025</v>
      </c>
      <c r="D5" s="81">
        <v>1275</v>
      </c>
      <c r="E5" s="81">
        <v>1947</v>
      </c>
      <c r="F5" s="81">
        <v>3222</v>
      </c>
    </row>
    <row r="6" spans="1:6" ht="15" customHeight="1" x14ac:dyDescent="0.3">
      <c r="A6" s="60" t="s">
        <v>18</v>
      </c>
      <c r="B6" s="61">
        <v>0</v>
      </c>
      <c r="C6" s="60" t="s">
        <v>18</v>
      </c>
      <c r="D6" s="61">
        <v>72</v>
      </c>
      <c r="E6" s="61">
        <v>79</v>
      </c>
      <c r="F6" s="61">
        <v>151</v>
      </c>
    </row>
    <row r="7" spans="1:6" ht="15" customHeight="1" x14ac:dyDescent="0.3">
      <c r="A7" s="60" t="s">
        <v>19</v>
      </c>
      <c r="B7" s="61">
        <v>5</v>
      </c>
      <c r="C7" s="60" t="s">
        <v>19</v>
      </c>
      <c r="D7" s="61">
        <v>54</v>
      </c>
      <c r="E7" s="61">
        <v>150</v>
      </c>
      <c r="F7" s="61">
        <v>204</v>
      </c>
    </row>
    <row r="8" spans="1:6" ht="15" customHeight="1" x14ac:dyDescent="0.3">
      <c r="A8" s="60" t="s">
        <v>20</v>
      </c>
      <c r="B8" s="61">
        <v>0</v>
      </c>
      <c r="C8" s="60" t="s">
        <v>20</v>
      </c>
      <c r="D8" s="61">
        <v>72</v>
      </c>
      <c r="E8" s="61">
        <v>207</v>
      </c>
      <c r="F8" s="61">
        <v>279</v>
      </c>
    </row>
    <row r="9" spans="1:6" ht="15" customHeight="1" x14ac:dyDescent="0.3">
      <c r="A9" s="60" t="s">
        <v>21</v>
      </c>
      <c r="B9" s="61">
        <v>0</v>
      </c>
      <c r="C9" s="60" t="s">
        <v>21</v>
      </c>
      <c r="D9" s="61">
        <v>140</v>
      </c>
      <c r="E9" s="61">
        <v>211</v>
      </c>
      <c r="F9" s="61">
        <v>351</v>
      </c>
    </row>
    <row r="10" spans="1:6" ht="15" customHeight="1" x14ac:dyDescent="0.3">
      <c r="A10" s="60" t="s">
        <v>22</v>
      </c>
      <c r="B10" s="61">
        <v>0</v>
      </c>
      <c r="C10" s="60" t="s">
        <v>22</v>
      </c>
      <c r="D10" s="61">
        <v>135</v>
      </c>
      <c r="E10" s="61">
        <v>154</v>
      </c>
      <c r="F10" s="61">
        <v>289</v>
      </c>
    </row>
    <row r="11" spans="1:6" ht="15" customHeight="1" x14ac:dyDescent="0.3">
      <c r="A11" s="60" t="s">
        <v>23</v>
      </c>
      <c r="B11" s="61">
        <v>3</v>
      </c>
      <c r="C11" s="60" t="s">
        <v>23</v>
      </c>
      <c r="D11" s="61">
        <v>90</v>
      </c>
      <c r="E11" s="61">
        <v>108</v>
      </c>
      <c r="F11" s="61">
        <v>198</v>
      </c>
    </row>
    <row r="12" spans="1:6" ht="15" customHeight="1" x14ac:dyDescent="0.3">
      <c r="A12" s="60" t="s">
        <v>24</v>
      </c>
      <c r="B12" s="61">
        <v>0</v>
      </c>
      <c r="C12" s="60" t="s">
        <v>24</v>
      </c>
      <c r="D12" s="61">
        <v>140</v>
      </c>
      <c r="E12" s="61">
        <v>152</v>
      </c>
      <c r="F12" s="61">
        <v>292</v>
      </c>
    </row>
    <row r="13" spans="1:6" ht="15" customHeight="1" x14ac:dyDescent="0.3">
      <c r="A13" s="60" t="s">
        <v>25</v>
      </c>
      <c r="B13" s="61">
        <v>0</v>
      </c>
      <c r="C13" s="60" t="s">
        <v>25</v>
      </c>
      <c r="D13" s="61">
        <v>159</v>
      </c>
      <c r="E13" s="61">
        <v>154</v>
      </c>
      <c r="F13" s="61">
        <v>313</v>
      </c>
    </row>
    <row r="14" spans="1:6" ht="15" customHeight="1" x14ac:dyDescent="0.3">
      <c r="A14" s="60" t="s">
        <v>26</v>
      </c>
      <c r="B14" s="61">
        <v>2</v>
      </c>
      <c r="C14" s="60" t="s">
        <v>26</v>
      </c>
      <c r="D14" s="61">
        <v>85</v>
      </c>
      <c r="E14" s="61">
        <v>123</v>
      </c>
      <c r="F14" s="61">
        <v>208</v>
      </c>
    </row>
    <row r="15" spans="1:6" ht="15" customHeight="1" x14ac:dyDescent="0.3">
      <c r="A15" s="60" t="s">
        <v>27</v>
      </c>
      <c r="B15" s="61">
        <v>15</v>
      </c>
      <c r="C15" s="60" t="s">
        <v>27</v>
      </c>
      <c r="D15" s="61">
        <v>90</v>
      </c>
      <c r="E15" s="61">
        <v>131</v>
      </c>
      <c r="F15" s="61">
        <v>221</v>
      </c>
    </row>
    <row r="16" spans="1:6" ht="15" customHeight="1" x14ac:dyDescent="0.3">
      <c r="A16" s="60" t="s">
        <v>28</v>
      </c>
      <c r="B16" s="61">
        <v>0</v>
      </c>
      <c r="C16" s="60" t="s">
        <v>28</v>
      </c>
      <c r="D16" s="61">
        <v>78</v>
      </c>
      <c r="E16" s="61">
        <v>190</v>
      </c>
      <c r="F16" s="61">
        <v>268</v>
      </c>
    </row>
    <row r="17" spans="1:6" ht="15" customHeight="1" x14ac:dyDescent="0.3">
      <c r="A17" s="60" t="s">
        <v>29</v>
      </c>
      <c r="B17" s="61">
        <v>0</v>
      </c>
      <c r="C17" s="60" t="s">
        <v>29</v>
      </c>
      <c r="D17" s="61">
        <v>160</v>
      </c>
      <c r="E17" s="61">
        <v>288</v>
      </c>
      <c r="F17" s="61">
        <v>448</v>
      </c>
    </row>
    <row r="18" spans="1:6" ht="15" customHeight="1" x14ac:dyDescent="0.3">
      <c r="A18" s="82">
        <v>2024</v>
      </c>
      <c r="B18" s="81">
        <v>0</v>
      </c>
      <c r="C18" s="82">
        <v>2024</v>
      </c>
      <c r="D18" s="81">
        <v>1285</v>
      </c>
      <c r="E18" s="81">
        <v>1749</v>
      </c>
      <c r="F18" s="81">
        <v>3034</v>
      </c>
    </row>
    <row r="19" spans="1:6" ht="15" customHeight="1" x14ac:dyDescent="0.3">
      <c r="A19" s="60" t="s">
        <v>18</v>
      </c>
      <c r="B19" s="61">
        <v>0</v>
      </c>
      <c r="C19" s="60" t="s">
        <v>18</v>
      </c>
      <c r="D19" s="61">
        <v>93</v>
      </c>
      <c r="E19" s="61">
        <v>80</v>
      </c>
      <c r="F19" s="61">
        <v>173</v>
      </c>
    </row>
    <row r="20" spans="1:6" ht="15" customHeight="1" x14ac:dyDescent="0.3">
      <c r="A20" s="60" t="s">
        <v>19</v>
      </c>
      <c r="B20" s="61">
        <v>0</v>
      </c>
      <c r="C20" s="60" t="s">
        <v>19</v>
      </c>
      <c r="D20" s="61">
        <v>117</v>
      </c>
      <c r="E20" s="61">
        <v>139</v>
      </c>
      <c r="F20" s="61">
        <v>256</v>
      </c>
    </row>
    <row r="21" spans="1:6" ht="15" customHeight="1" x14ac:dyDescent="0.3">
      <c r="A21" s="60" t="s">
        <v>20</v>
      </c>
      <c r="B21" s="61">
        <v>0</v>
      </c>
      <c r="C21" s="60" t="s">
        <v>20</v>
      </c>
      <c r="D21" s="61">
        <v>82</v>
      </c>
      <c r="E21" s="61">
        <v>197</v>
      </c>
      <c r="F21" s="61">
        <v>279</v>
      </c>
    </row>
    <row r="22" spans="1:6" ht="15" customHeight="1" x14ac:dyDescent="0.3">
      <c r="A22" s="60" t="s">
        <v>21</v>
      </c>
      <c r="B22" s="61">
        <v>0</v>
      </c>
      <c r="C22" s="60" t="s">
        <v>21</v>
      </c>
      <c r="D22" s="61">
        <v>79</v>
      </c>
      <c r="E22" s="61">
        <v>160</v>
      </c>
      <c r="F22" s="61">
        <v>239</v>
      </c>
    </row>
    <row r="23" spans="1:6" ht="15" customHeight="1" x14ac:dyDescent="0.3">
      <c r="A23" s="60" t="s">
        <v>22</v>
      </c>
      <c r="B23" s="61">
        <v>0</v>
      </c>
      <c r="C23" s="60" t="s">
        <v>22</v>
      </c>
      <c r="D23" s="61">
        <v>93</v>
      </c>
      <c r="E23" s="61">
        <v>154</v>
      </c>
      <c r="F23" s="61">
        <v>247</v>
      </c>
    </row>
    <row r="24" spans="1:6" ht="15" customHeight="1" x14ac:dyDescent="0.3">
      <c r="A24" s="60" t="s">
        <v>23</v>
      </c>
      <c r="B24" s="61">
        <v>0</v>
      </c>
      <c r="C24" s="60" t="s">
        <v>23</v>
      </c>
      <c r="D24" s="61">
        <v>85</v>
      </c>
      <c r="E24" s="61">
        <v>131</v>
      </c>
      <c r="F24" s="61">
        <v>216</v>
      </c>
    </row>
    <row r="25" spans="1:6" ht="15" customHeight="1" x14ac:dyDescent="0.3">
      <c r="A25" s="60" t="s">
        <v>24</v>
      </c>
      <c r="B25" s="61">
        <v>0</v>
      </c>
      <c r="C25" s="60" t="s">
        <v>24</v>
      </c>
      <c r="D25" s="61">
        <v>159</v>
      </c>
      <c r="E25" s="61">
        <v>182</v>
      </c>
      <c r="F25" s="61">
        <v>341</v>
      </c>
    </row>
    <row r="26" spans="1:6" ht="15" customHeight="1" x14ac:dyDescent="0.3">
      <c r="A26" s="60" t="s">
        <v>25</v>
      </c>
      <c r="B26" s="61">
        <v>0</v>
      </c>
      <c r="C26" s="60" t="s">
        <v>25</v>
      </c>
      <c r="D26" s="61">
        <v>156</v>
      </c>
      <c r="E26" s="61">
        <v>111</v>
      </c>
      <c r="F26" s="61">
        <v>267</v>
      </c>
    </row>
    <row r="27" spans="1:6" ht="15" customHeight="1" x14ac:dyDescent="0.3">
      <c r="A27" s="60" t="s">
        <v>26</v>
      </c>
      <c r="B27" s="61">
        <v>0</v>
      </c>
      <c r="C27" s="60" t="s">
        <v>26</v>
      </c>
      <c r="D27" s="61">
        <v>75</v>
      </c>
      <c r="E27" s="61">
        <v>134</v>
      </c>
      <c r="F27" s="61">
        <v>209</v>
      </c>
    </row>
    <row r="28" spans="1:6" ht="15" customHeight="1" x14ac:dyDescent="0.3">
      <c r="A28" s="60" t="s">
        <v>27</v>
      </c>
      <c r="B28" s="61">
        <v>0</v>
      </c>
      <c r="C28" s="60" t="s">
        <v>27</v>
      </c>
      <c r="D28" s="61">
        <v>106</v>
      </c>
      <c r="E28" s="61">
        <v>166</v>
      </c>
      <c r="F28" s="61">
        <v>272</v>
      </c>
    </row>
    <row r="29" spans="1:6" ht="15" customHeight="1" x14ac:dyDescent="0.3">
      <c r="A29" s="60" t="s">
        <v>28</v>
      </c>
      <c r="B29" s="61">
        <v>0</v>
      </c>
      <c r="C29" s="60" t="s">
        <v>28</v>
      </c>
      <c r="D29" s="61">
        <v>91</v>
      </c>
      <c r="E29" s="61">
        <v>103</v>
      </c>
      <c r="F29" s="61">
        <v>194</v>
      </c>
    </row>
    <row r="30" spans="1:6" ht="15" customHeight="1" x14ac:dyDescent="0.3">
      <c r="A30" s="60" t="s">
        <v>29</v>
      </c>
      <c r="B30" s="61">
        <v>0</v>
      </c>
      <c r="C30" s="60" t="s">
        <v>29</v>
      </c>
      <c r="D30" s="61">
        <v>149</v>
      </c>
      <c r="E30" s="61">
        <v>192</v>
      </c>
      <c r="F30" s="61">
        <v>341</v>
      </c>
    </row>
    <row r="31" spans="1:6" ht="15" customHeight="1" x14ac:dyDescent="0.3">
      <c r="A31" s="82">
        <v>2023</v>
      </c>
      <c r="B31" s="81">
        <v>0</v>
      </c>
      <c r="C31" s="82">
        <v>2023</v>
      </c>
      <c r="D31" s="81">
        <v>1169</v>
      </c>
      <c r="E31" s="81">
        <v>1514</v>
      </c>
      <c r="F31" s="81">
        <v>2683</v>
      </c>
    </row>
    <row r="32" spans="1:6" ht="15" customHeight="1" x14ac:dyDescent="0.3">
      <c r="A32" s="60" t="s">
        <v>18</v>
      </c>
      <c r="B32" s="61">
        <v>0</v>
      </c>
      <c r="C32" s="60" t="s">
        <v>18</v>
      </c>
      <c r="D32" s="61">
        <v>56</v>
      </c>
      <c r="E32" s="61">
        <v>83</v>
      </c>
      <c r="F32" s="61">
        <v>139</v>
      </c>
    </row>
    <row r="33" spans="1:6" ht="15" customHeight="1" x14ac:dyDescent="0.3">
      <c r="A33" s="60" t="s">
        <v>19</v>
      </c>
      <c r="B33" s="61">
        <v>0</v>
      </c>
      <c r="C33" s="60" t="s">
        <v>19</v>
      </c>
      <c r="D33" s="61">
        <v>54</v>
      </c>
      <c r="E33" s="61">
        <v>105</v>
      </c>
      <c r="F33" s="61">
        <v>159</v>
      </c>
    </row>
    <row r="34" spans="1:6" ht="15" customHeight="1" x14ac:dyDescent="0.3">
      <c r="A34" s="60" t="s">
        <v>20</v>
      </c>
      <c r="B34" s="61">
        <v>0</v>
      </c>
      <c r="C34" s="60" t="s">
        <v>20</v>
      </c>
      <c r="D34" s="61">
        <v>71</v>
      </c>
      <c r="E34" s="61">
        <v>102</v>
      </c>
      <c r="F34" s="61">
        <v>173</v>
      </c>
    </row>
    <row r="35" spans="1:6" ht="15" customHeight="1" x14ac:dyDescent="0.3">
      <c r="A35" s="60" t="s">
        <v>21</v>
      </c>
      <c r="B35" s="61">
        <v>0</v>
      </c>
      <c r="C35" s="60" t="s">
        <v>21</v>
      </c>
      <c r="D35" s="61">
        <v>124</v>
      </c>
      <c r="E35" s="61">
        <v>187</v>
      </c>
      <c r="F35" s="61">
        <v>311</v>
      </c>
    </row>
    <row r="36" spans="1:6" ht="15" customHeight="1" x14ac:dyDescent="0.3">
      <c r="A36" s="60" t="s">
        <v>22</v>
      </c>
      <c r="B36" s="61">
        <v>0</v>
      </c>
      <c r="C36" s="60" t="s">
        <v>22</v>
      </c>
      <c r="D36" s="61">
        <v>92</v>
      </c>
      <c r="E36" s="61">
        <v>125</v>
      </c>
      <c r="F36" s="61">
        <v>217</v>
      </c>
    </row>
    <row r="37" spans="1:6" ht="15" customHeight="1" x14ac:dyDescent="0.3">
      <c r="A37" s="60" t="s">
        <v>23</v>
      </c>
      <c r="B37" s="61">
        <v>0</v>
      </c>
      <c r="C37" s="60" t="s">
        <v>23</v>
      </c>
      <c r="D37" s="61">
        <v>81</v>
      </c>
      <c r="E37" s="61">
        <v>113</v>
      </c>
      <c r="F37" s="61">
        <v>194</v>
      </c>
    </row>
    <row r="38" spans="1:6" ht="15" customHeight="1" x14ac:dyDescent="0.3">
      <c r="A38" s="60" t="s">
        <v>24</v>
      </c>
      <c r="B38" s="61">
        <v>0</v>
      </c>
      <c r="C38" s="60" t="s">
        <v>24</v>
      </c>
      <c r="D38" s="61">
        <v>154</v>
      </c>
      <c r="E38" s="61">
        <v>196</v>
      </c>
      <c r="F38" s="61">
        <v>350</v>
      </c>
    </row>
    <row r="39" spans="1:6" ht="15" customHeight="1" x14ac:dyDescent="0.3">
      <c r="A39" s="60" t="s">
        <v>25</v>
      </c>
      <c r="B39" s="61">
        <v>0</v>
      </c>
      <c r="C39" s="60" t="s">
        <v>25</v>
      </c>
      <c r="D39" s="61">
        <v>166</v>
      </c>
      <c r="E39" s="61">
        <v>144</v>
      </c>
      <c r="F39" s="61">
        <v>310</v>
      </c>
    </row>
    <row r="40" spans="1:6" ht="15" customHeight="1" x14ac:dyDescent="0.3">
      <c r="A40" s="60" t="s">
        <v>26</v>
      </c>
      <c r="B40" s="61">
        <v>0</v>
      </c>
      <c r="C40" s="60" t="s">
        <v>26</v>
      </c>
      <c r="D40" s="61">
        <v>63</v>
      </c>
      <c r="E40" s="61">
        <v>102</v>
      </c>
      <c r="F40" s="61">
        <v>165</v>
      </c>
    </row>
    <row r="41" spans="1:6" ht="15" customHeight="1" x14ac:dyDescent="0.3">
      <c r="A41" s="60" t="s">
        <v>27</v>
      </c>
      <c r="B41" s="61">
        <v>0</v>
      </c>
      <c r="C41" s="60" t="s">
        <v>27</v>
      </c>
      <c r="D41" s="61">
        <v>85</v>
      </c>
      <c r="E41" s="61">
        <v>138</v>
      </c>
      <c r="F41" s="61">
        <v>223</v>
      </c>
    </row>
    <row r="42" spans="1:6" ht="15" customHeight="1" x14ac:dyDescent="0.3">
      <c r="A42" s="60" t="s">
        <v>28</v>
      </c>
      <c r="B42" s="61">
        <v>0</v>
      </c>
      <c r="C42" s="60" t="s">
        <v>28</v>
      </c>
      <c r="D42" s="61">
        <v>86</v>
      </c>
      <c r="E42" s="61">
        <v>0</v>
      </c>
      <c r="F42" s="61">
        <v>86</v>
      </c>
    </row>
    <row r="43" spans="1:6" ht="15" customHeight="1" x14ac:dyDescent="0.3">
      <c r="A43" s="60" t="s">
        <v>29</v>
      </c>
      <c r="B43" s="61">
        <v>0</v>
      </c>
      <c r="C43" s="60" t="s">
        <v>29</v>
      </c>
      <c r="D43" s="61">
        <v>137</v>
      </c>
      <c r="E43" s="61">
        <v>219</v>
      </c>
      <c r="F43" s="61">
        <v>356</v>
      </c>
    </row>
    <row r="44" spans="1:6" ht="15" customHeight="1" x14ac:dyDescent="0.3">
      <c r="A44" s="82">
        <v>2022</v>
      </c>
      <c r="B44" s="81">
        <v>0</v>
      </c>
      <c r="C44" s="82">
        <v>2022</v>
      </c>
      <c r="D44" s="81">
        <v>1269</v>
      </c>
      <c r="E44" s="81">
        <v>1652</v>
      </c>
      <c r="F44" s="81">
        <v>2921</v>
      </c>
    </row>
    <row r="45" spans="1:6" ht="15" customHeight="1" x14ac:dyDescent="0.3">
      <c r="A45" s="60" t="s">
        <v>18</v>
      </c>
      <c r="B45" s="61">
        <v>0</v>
      </c>
      <c r="C45" s="60" t="s">
        <v>18</v>
      </c>
      <c r="D45" s="61">
        <v>47</v>
      </c>
      <c r="E45" s="61">
        <v>80</v>
      </c>
      <c r="F45" s="61">
        <v>127</v>
      </c>
    </row>
    <row r="46" spans="1:6" ht="15" customHeight="1" x14ac:dyDescent="0.3">
      <c r="A46" s="60" t="s">
        <v>19</v>
      </c>
      <c r="B46" s="61">
        <v>0</v>
      </c>
      <c r="C46" s="60" t="s">
        <v>19</v>
      </c>
      <c r="D46" s="61">
        <v>79</v>
      </c>
      <c r="E46" s="61">
        <v>82</v>
      </c>
      <c r="F46" s="61">
        <v>161</v>
      </c>
    </row>
    <row r="47" spans="1:6" ht="15" customHeight="1" x14ac:dyDescent="0.3">
      <c r="A47" s="60" t="s">
        <v>20</v>
      </c>
      <c r="B47" s="61">
        <v>0</v>
      </c>
      <c r="C47" s="60" t="s">
        <v>20</v>
      </c>
      <c r="D47" s="61">
        <v>93</v>
      </c>
      <c r="E47" s="61">
        <v>124</v>
      </c>
      <c r="F47" s="61">
        <v>217</v>
      </c>
    </row>
    <row r="48" spans="1:6" ht="15" customHeight="1" x14ac:dyDescent="0.3">
      <c r="A48" s="60" t="s">
        <v>21</v>
      </c>
      <c r="B48" s="61">
        <v>0</v>
      </c>
      <c r="C48" s="60" t="s">
        <v>21</v>
      </c>
      <c r="D48" s="61">
        <v>144</v>
      </c>
      <c r="E48" s="61">
        <v>194</v>
      </c>
      <c r="F48" s="61">
        <v>338</v>
      </c>
    </row>
    <row r="49" spans="1:6" ht="15" customHeight="1" x14ac:dyDescent="0.3">
      <c r="A49" s="60" t="s">
        <v>22</v>
      </c>
      <c r="B49" s="61">
        <v>0</v>
      </c>
      <c r="C49" s="60" t="s">
        <v>22</v>
      </c>
      <c r="D49" s="61">
        <v>138</v>
      </c>
      <c r="E49" s="61">
        <v>152</v>
      </c>
      <c r="F49" s="61">
        <v>290</v>
      </c>
    </row>
    <row r="50" spans="1:6" ht="15" customHeight="1" x14ac:dyDescent="0.3">
      <c r="A50" s="60" t="s">
        <v>23</v>
      </c>
      <c r="B50" s="61">
        <v>0</v>
      </c>
      <c r="C50" s="60" t="s">
        <v>23</v>
      </c>
      <c r="D50" s="61">
        <v>126</v>
      </c>
      <c r="E50" s="61">
        <v>144</v>
      </c>
      <c r="F50" s="61">
        <v>270</v>
      </c>
    </row>
    <row r="51" spans="1:6" ht="15" customHeight="1" x14ac:dyDescent="0.3">
      <c r="A51" s="60" t="s">
        <v>24</v>
      </c>
      <c r="B51" s="61">
        <v>0</v>
      </c>
      <c r="C51" s="60" t="s">
        <v>24</v>
      </c>
      <c r="D51" s="61">
        <v>0</v>
      </c>
      <c r="E51" s="61">
        <v>172</v>
      </c>
      <c r="F51" s="61">
        <v>172</v>
      </c>
    </row>
    <row r="52" spans="1:6" ht="15" customHeight="1" x14ac:dyDescent="0.3">
      <c r="A52" s="60" t="s">
        <v>25</v>
      </c>
      <c r="B52" s="61">
        <v>0</v>
      </c>
      <c r="C52" s="60" t="s">
        <v>25</v>
      </c>
      <c r="D52" s="61">
        <v>170</v>
      </c>
      <c r="E52" s="61">
        <v>136</v>
      </c>
      <c r="F52" s="61">
        <v>306</v>
      </c>
    </row>
    <row r="53" spans="1:6" ht="15" customHeight="1" x14ac:dyDescent="0.3">
      <c r="A53" s="60" t="s">
        <v>26</v>
      </c>
      <c r="B53" s="61">
        <v>0</v>
      </c>
      <c r="C53" s="60" t="s">
        <v>26</v>
      </c>
      <c r="D53" s="61">
        <v>142</v>
      </c>
      <c r="E53" s="61">
        <v>126</v>
      </c>
      <c r="F53" s="61">
        <v>268</v>
      </c>
    </row>
    <row r="54" spans="1:6" ht="15" customHeight="1" x14ac:dyDescent="0.3">
      <c r="A54" s="60" t="s">
        <v>27</v>
      </c>
      <c r="B54" s="61">
        <v>0</v>
      </c>
      <c r="C54" s="60" t="s">
        <v>27</v>
      </c>
      <c r="D54" s="61">
        <v>126</v>
      </c>
      <c r="E54" s="61">
        <v>145</v>
      </c>
      <c r="F54" s="61">
        <v>271</v>
      </c>
    </row>
    <row r="55" spans="1:6" ht="15" customHeight="1" x14ac:dyDescent="0.3">
      <c r="A55" s="60" t="s">
        <v>28</v>
      </c>
      <c r="B55" s="61">
        <v>0</v>
      </c>
      <c r="C55" s="60" t="s">
        <v>28</v>
      </c>
      <c r="D55" s="61">
        <v>85</v>
      </c>
      <c r="E55" s="61">
        <v>84</v>
      </c>
      <c r="F55" s="61">
        <v>169</v>
      </c>
    </row>
    <row r="56" spans="1:6" ht="15" customHeight="1" x14ac:dyDescent="0.3">
      <c r="A56" s="60" t="s">
        <v>29</v>
      </c>
      <c r="B56" s="61">
        <v>0</v>
      </c>
      <c r="C56" s="60" t="s">
        <v>29</v>
      </c>
      <c r="D56" s="61">
        <v>119</v>
      </c>
      <c r="E56" s="61">
        <v>213</v>
      </c>
      <c r="F56" s="61">
        <v>332</v>
      </c>
    </row>
    <row r="57" spans="1:6" ht="15" customHeight="1" x14ac:dyDescent="0.3">
      <c r="A57" s="82">
        <v>2021</v>
      </c>
      <c r="B57" s="81">
        <f>SUM(B58:B69)</f>
        <v>0</v>
      </c>
      <c r="C57" s="82">
        <v>2021</v>
      </c>
      <c r="D57" s="81">
        <f>SUM(D58:D69)</f>
        <v>1106</v>
      </c>
      <c r="E57" s="81">
        <f t="shared" ref="E57:F57" si="0">SUM(E58:E69)</f>
        <v>1145</v>
      </c>
      <c r="F57" s="81">
        <f t="shared" si="0"/>
        <v>2251</v>
      </c>
    </row>
    <row r="58" spans="1:6" ht="15" customHeight="1" x14ac:dyDescent="0.3">
      <c r="A58" s="60" t="s">
        <v>18</v>
      </c>
      <c r="B58" s="61">
        <v>0</v>
      </c>
      <c r="C58" s="60" t="s">
        <v>18</v>
      </c>
      <c r="D58" s="61">
        <v>35</v>
      </c>
      <c r="E58" s="61">
        <v>46</v>
      </c>
      <c r="F58" s="61">
        <f>SUM(D58:E58)</f>
        <v>81</v>
      </c>
    </row>
    <row r="59" spans="1:6" ht="15" customHeight="1" x14ac:dyDescent="0.3">
      <c r="A59" s="60" t="s">
        <v>19</v>
      </c>
      <c r="B59" s="61">
        <v>0</v>
      </c>
      <c r="C59" s="60" t="s">
        <v>19</v>
      </c>
      <c r="D59" s="61">
        <v>50</v>
      </c>
      <c r="E59" s="61">
        <v>40</v>
      </c>
      <c r="F59" s="61">
        <f t="shared" ref="F59:F69" si="1">SUM(D59:E59)</f>
        <v>90</v>
      </c>
    </row>
    <row r="60" spans="1:6" ht="15" customHeight="1" x14ac:dyDescent="0.3">
      <c r="A60" s="60" t="s">
        <v>20</v>
      </c>
      <c r="B60" s="61">
        <v>0</v>
      </c>
      <c r="C60" s="60" t="s">
        <v>20</v>
      </c>
      <c r="D60" s="61">
        <v>59</v>
      </c>
      <c r="E60" s="61">
        <v>53</v>
      </c>
      <c r="F60" s="61">
        <f t="shared" si="1"/>
        <v>112</v>
      </c>
    </row>
    <row r="61" spans="1:6" ht="15" customHeight="1" x14ac:dyDescent="0.3">
      <c r="A61" s="60" t="s">
        <v>21</v>
      </c>
      <c r="B61" s="61">
        <v>0</v>
      </c>
      <c r="C61" s="60" t="s">
        <v>21</v>
      </c>
      <c r="D61" s="61">
        <v>100</v>
      </c>
      <c r="E61" s="61">
        <v>128</v>
      </c>
      <c r="F61" s="61">
        <f t="shared" si="1"/>
        <v>228</v>
      </c>
    </row>
    <row r="62" spans="1:6" ht="15" customHeight="1" x14ac:dyDescent="0.3">
      <c r="A62" s="60" t="s">
        <v>22</v>
      </c>
      <c r="B62" s="61">
        <v>0</v>
      </c>
      <c r="C62" s="60" t="s">
        <v>22</v>
      </c>
      <c r="D62" s="61">
        <v>84</v>
      </c>
      <c r="E62" s="61">
        <v>87</v>
      </c>
      <c r="F62" s="61">
        <f t="shared" si="1"/>
        <v>171</v>
      </c>
    </row>
    <row r="63" spans="1:6" ht="15" customHeight="1" x14ac:dyDescent="0.3">
      <c r="A63" s="60" t="s">
        <v>23</v>
      </c>
      <c r="B63" s="61">
        <v>0</v>
      </c>
      <c r="C63" s="60" t="s">
        <v>23</v>
      </c>
      <c r="D63" s="61">
        <v>80</v>
      </c>
      <c r="E63" s="61">
        <v>121</v>
      </c>
      <c r="F63" s="61">
        <f t="shared" si="1"/>
        <v>201</v>
      </c>
    </row>
    <row r="64" spans="1:6" ht="15" customHeight="1" x14ac:dyDescent="0.3">
      <c r="A64" s="60" t="s">
        <v>24</v>
      </c>
      <c r="B64" s="61">
        <v>0</v>
      </c>
      <c r="C64" s="60" t="s">
        <v>24</v>
      </c>
      <c r="D64" s="61">
        <v>133</v>
      </c>
      <c r="E64" s="61">
        <v>151</v>
      </c>
      <c r="F64" s="61">
        <f t="shared" si="1"/>
        <v>284</v>
      </c>
    </row>
    <row r="65" spans="1:6" ht="15" customHeight="1" x14ac:dyDescent="0.3">
      <c r="A65" s="60" t="s">
        <v>25</v>
      </c>
      <c r="B65" s="61">
        <v>0</v>
      </c>
      <c r="C65" s="60" t="s">
        <v>25</v>
      </c>
      <c r="D65" s="61">
        <v>115</v>
      </c>
      <c r="E65" s="61">
        <v>89</v>
      </c>
      <c r="F65" s="61">
        <f t="shared" si="1"/>
        <v>204</v>
      </c>
    </row>
    <row r="66" spans="1:6" ht="15" customHeight="1" x14ac:dyDescent="0.3">
      <c r="A66" s="60" t="s">
        <v>26</v>
      </c>
      <c r="B66" s="61">
        <v>0</v>
      </c>
      <c r="C66" s="60" t="s">
        <v>26</v>
      </c>
      <c r="D66" s="61">
        <v>90</v>
      </c>
      <c r="E66" s="61">
        <v>83</v>
      </c>
      <c r="F66" s="61">
        <f t="shared" si="1"/>
        <v>173</v>
      </c>
    </row>
    <row r="67" spans="1:6" ht="15" customHeight="1" x14ac:dyDescent="0.3">
      <c r="A67" s="60" t="s">
        <v>27</v>
      </c>
      <c r="B67" s="61">
        <v>0</v>
      </c>
      <c r="C67" s="60" t="s">
        <v>27</v>
      </c>
      <c r="D67" s="61">
        <v>82</v>
      </c>
      <c r="E67" s="61">
        <v>95</v>
      </c>
      <c r="F67" s="61">
        <f t="shared" si="1"/>
        <v>177</v>
      </c>
    </row>
    <row r="68" spans="1:6" ht="15" customHeight="1" x14ac:dyDescent="0.3">
      <c r="A68" s="60" t="s">
        <v>28</v>
      </c>
      <c r="B68" s="61">
        <v>0</v>
      </c>
      <c r="C68" s="60" t="s">
        <v>28</v>
      </c>
      <c r="D68" s="61">
        <v>72</v>
      </c>
      <c r="E68" s="61">
        <v>75</v>
      </c>
      <c r="F68" s="61">
        <f t="shared" si="1"/>
        <v>147</v>
      </c>
    </row>
    <row r="69" spans="1:6" ht="15" customHeight="1" x14ac:dyDescent="0.3">
      <c r="A69" s="60" t="s">
        <v>29</v>
      </c>
      <c r="B69" s="61">
        <v>0</v>
      </c>
      <c r="C69" s="60" t="s">
        <v>29</v>
      </c>
      <c r="D69" s="61">
        <v>206</v>
      </c>
      <c r="E69" s="61">
        <v>177</v>
      </c>
      <c r="F69" s="61">
        <f t="shared" si="1"/>
        <v>383</v>
      </c>
    </row>
    <row r="70" spans="1:6" ht="15" customHeight="1" x14ac:dyDescent="0.3">
      <c r="A70" s="82">
        <v>2020</v>
      </c>
      <c r="B70" s="81">
        <f>SUM(B71:B82)</f>
        <v>0</v>
      </c>
      <c r="C70" s="82">
        <v>2020</v>
      </c>
      <c r="D70" s="81">
        <f>SUM(D71:D82)</f>
        <v>642</v>
      </c>
      <c r="E70" s="81">
        <f t="shared" ref="E70:F70" si="2">SUM(E71:E82)</f>
        <v>718</v>
      </c>
      <c r="F70" s="81">
        <f t="shared" si="2"/>
        <v>1360</v>
      </c>
    </row>
    <row r="71" spans="1:6" ht="15" customHeight="1" x14ac:dyDescent="0.3">
      <c r="A71" s="60" t="s">
        <v>18</v>
      </c>
      <c r="B71" s="61">
        <v>0</v>
      </c>
      <c r="C71" s="60" t="s">
        <v>18</v>
      </c>
      <c r="D71" s="61">
        <v>95</v>
      </c>
      <c r="E71" s="61">
        <v>83</v>
      </c>
      <c r="F71" s="61">
        <f>SUM(D71:E71)</f>
        <v>178</v>
      </c>
    </row>
    <row r="72" spans="1:6" ht="15" customHeight="1" x14ac:dyDescent="0.3">
      <c r="A72" s="60" t="s">
        <v>19</v>
      </c>
      <c r="B72" s="61">
        <v>0</v>
      </c>
      <c r="C72" s="60" t="s">
        <v>19</v>
      </c>
      <c r="D72" s="61">
        <v>78</v>
      </c>
      <c r="E72" s="61">
        <v>113</v>
      </c>
      <c r="F72" s="61">
        <f t="shared" ref="F72:F82" si="3">SUM(D72:E72)</f>
        <v>191</v>
      </c>
    </row>
    <row r="73" spans="1:6" ht="15" customHeight="1" x14ac:dyDescent="0.3">
      <c r="A73" s="60" t="s">
        <v>20</v>
      </c>
      <c r="B73" s="61">
        <v>0</v>
      </c>
      <c r="C73" s="60" t="s">
        <v>20</v>
      </c>
      <c r="D73" s="61">
        <v>42</v>
      </c>
      <c r="E73" s="61">
        <v>39</v>
      </c>
      <c r="F73" s="61">
        <f t="shared" si="3"/>
        <v>81</v>
      </c>
    </row>
    <row r="74" spans="1:6" ht="15" customHeight="1" x14ac:dyDescent="0.3">
      <c r="A74" s="60" t="s">
        <v>21</v>
      </c>
      <c r="B74" s="61">
        <v>0</v>
      </c>
      <c r="C74" s="60" t="s">
        <v>21</v>
      </c>
      <c r="D74" s="61">
        <v>11</v>
      </c>
      <c r="E74" s="61">
        <v>16</v>
      </c>
      <c r="F74" s="61">
        <f t="shared" si="3"/>
        <v>27</v>
      </c>
    </row>
    <row r="75" spans="1:6" ht="15" customHeight="1" x14ac:dyDescent="0.3">
      <c r="A75" s="60" t="s">
        <v>22</v>
      </c>
      <c r="B75" s="61">
        <v>0</v>
      </c>
      <c r="C75" s="60" t="s">
        <v>22</v>
      </c>
      <c r="D75" s="61">
        <v>36</v>
      </c>
      <c r="E75" s="61">
        <v>50</v>
      </c>
      <c r="F75" s="61">
        <f t="shared" si="3"/>
        <v>86</v>
      </c>
    </row>
    <row r="76" spans="1:6" ht="15" customHeight="1" x14ac:dyDescent="0.3">
      <c r="A76" s="60" t="s">
        <v>23</v>
      </c>
      <c r="B76" s="61">
        <v>0</v>
      </c>
      <c r="C76" s="60" t="s">
        <v>23</v>
      </c>
      <c r="D76" s="61">
        <v>44</v>
      </c>
      <c r="E76" s="61">
        <v>46</v>
      </c>
      <c r="F76" s="61">
        <f t="shared" si="3"/>
        <v>90</v>
      </c>
    </row>
    <row r="77" spans="1:6" ht="15" customHeight="1" x14ac:dyDescent="0.3">
      <c r="A77" s="60" t="s">
        <v>24</v>
      </c>
      <c r="B77" s="61">
        <v>0</v>
      </c>
      <c r="C77" s="60" t="s">
        <v>24</v>
      </c>
      <c r="D77" s="61">
        <v>77</v>
      </c>
      <c r="E77" s="61">
        <v>57</v>
      </c>
      <c r="F77" s="61">
        <f t="shared" si="3"/>
        <v>134</v>
      </c>
    </row>
    <row r="78" spans="1:6" ht="15" customHeight="1" x14ac:dyDescent="0.3">
      <c r="A78" s="60" t="s">
        <v>25</v>
      </c>
      <c r="B78" s="61">
        <v>0</v>
      </c>
      <c r="C78" s="60" t="s">
        <v>25</v>
      </c>
      <c r="D78" s="61">
        <v>50</v>
      </c>
      <c r="E78" s="61">
        <v>39</v>
      </c>
      <c r="F78" s="61">
        <f t="shared" si="3"/>
        <v>89</v>
      </c>
    </row>
    <row r="79" spans="1:6" ht="15" customHeight="1" x14ac:dyDescent="0.3">
      <c r="A79" s="60" t="s">
        <v>26</v>
      </c>
      <c r="B79" s="61">
        <v>0</v>
      </c>
      <c r="C79" s="60" t="s">
        <v>26</v>
      </c>
      <c r="D79" s="61">
        <v>35</v>
      </c>
      <c r="E79" s="61">
        <v>66</v>
      </c>
      <c r="F79" s="61">
        <f t="shared" si="3"/>
        <v>101</v>
      </c>
    </row>
    <row r="80" spans="1:6" ht="15" customHeight="1" x14ac:dyDescent="0.3">
      <c r="A80" s="60" t="s">
        <v>27</v>
      </c>
      <c r="B80" s="61">
        <v>0</v>
      </c>
      <c r="C80" s="60" t="s">
        <v>27</v>
      </c>
      <c r="D80" s="61">
        <v>66</v>
      </c>
      <c r="E80" s="61">
        <v>50</v>
      </c>
      <c r="F80" s="61">
        <f t="shared" si="3"/>
        <v>116</v>
      </c>
    </row>
    <row r="81" spans="1:6" ht="15" customHeight="1" x14ac:dyDescent="0.3">
      <c r="A81" s="60" t="s">
        <v>28</v>
      </c>
      <c r="B81" s="61">
        <v>0</v>
      </c>
      <c r="C81" s="60" t="s">
        <v>28</v>
      </c>
      <c r="D81" s="61">
        <v>35</v>
      </c>
      <c r="E81" s="61">
        <v>53</v>
      </c>
      <c r="F81" s="61">
        <f t="shared" si="3"/>
        <v>88</v>
      </c>
    </row>
    <row r="82" spans="1:6" ht="15" customHeight="1" x14ac:dyDescent="0.3">
      <c r="A82" s="60" t="s">
        <v>29</v>
      </c>
      <c r="B82" s="61">
        <v>0</v>
      </c>
      <c r="C82" s="60" t="s">
        <v>29</v>
      </c>
      <c r="D82" s="61">
        <v>73</v>
      </c>
      <c r="E82" s="61">
        <v>106</v>
      </c>
      <c r="F82" s="61">
        <f t="shared" si="3"/>
        <v>179</v>
      </c>
    </row>
    <row r="83" spans="1:6" ht="15" customHeight="1" x14ac:dyDescent="0.3">
      <c r="A83" s="82">
        <v>2019</v>
      </c>
      <c r="B83" s="81">
        <f>SUM(B84:B95)</f>
        <v>0</v>
      </c>
      <c r="C83" s="82">
        <v>2019</v>
      </c>
      <c r="D83" s="81">
        <f>SUM(D84:D95)</f>
        <v>1605</v>
      </c>
      <c r="E83" s="81">
        <f t="shared" ref="E83:F83" si="4">SUM(E84:E95)</f>
        <v>1942</v>
      </c>
      <c r="F83" s="81">
        <f t="shared" si="4"/>
        <v>3547</v>
      </c>
    </row>
    <row r="84" spans="1:6" ht="15" customHeight="1" x14ac:dyDescent="0.3">
      <c r="A84" s="60" t="s">
        <v>18</v>
      </c>
      <c r="B84" s="61">
        <v>0</v>
      </c>
      <c r="C84" s="60" t="s">
        <v>18</v>
      </c>
      <c r="D84" s="61">
        <v>22</v>
      </c>
      <c r="E84" s="61">
        <v>34</v>
      </c>
      <c r="F84" s="61">
        <f>SUM(D84:E84)</f>
        <v>56</v>
      </c>
    </row>
    <row r="85" spans="1:6" ht="15" customHeight="1" x14ac:dyDescent="0.3">
      <c r="A85" s="60" t="s">
        <v>19</v>
      </c>
      <c r="B85" s="61">
        <v>0</v>
      </c>
      <c r="C85" s="60" t="s">
        <v>19</v>
      </c>
      <c r="D85" s="61">
        <v>88</v>
      </c>
      <c r="E85" s="61">
        <v>144</v>
      </c>
      <c r="F85" s="61">
        <f t="shared" ref="F85:F95" si="5">SUM(D85:E85)</f>
        <v>232</v>
      </c>
    </row>
    <row r="86" spans="1:6" ht="15" customHeight="1" x14ac:dyDescent="0.3">
      <c r="A86" s="60" t="s">
        <v>20</v>
      </c>
      <c r="B86" s="61">
        <v>0</v>
      </c>
      <c r="C86" s="60" t="s">
        <v>20</v>
      </c>
      <c r="D86" s="61">
        <v>143</v>
      </c>
      <c r="E86" s="61">
        <v>183</v>
      </c>
      <c r="F86" s="61">
        <f t="shared" si="5"/>
        <v>326</v>
      </c>
    </row>
    <row r="87" spans="1:6" ht="15" customHeight="1" x14ac:dyDescent="0.3">
      <c r="A87" s="60" t="s">
        <v>21</v>
      </c>
      <c r="B87" s="61">
        <v>0</v>
      </c>
      <c r="C87" s="60" t="s">
        <v>21</v>
      </c>
      <c r="D87" s="61">
        <v>164</v>
      </c>
      <c r="E87" s="61">
        <v>229</v>
      </c>
      <c r="F87" s="61">
        <f t="shared" si="5"/>
        <v>393</v>
      </c>
    </row>
    <row r="88" spans="1:6" ht="15" customHeight="1" x14ac:dyDescent="0.3">
      <c r="A88" s="60" t="s">
        <v>22</v>
      </c>
      <c r="B88" s="61">
        <v>0</v>
      </c>
      <c r="C88" s="60" t="s">
        <v>22</v>
      </c>
      <c r="D88" s="61">
        <v>117</v>
      </c>
      <c r="E88" s="61">
        <v>224</v>
      </c>
      <c r="F88" s="61">
        <f t="shared" si="5"/>
        <v>341</v>
      </c>
    </row>
    <row r="89" spans="1:6" ht="15" customHeight="1" x14ac:dyDescent="0.3">
      <c r="A89" s="60" t="s">
        <v>23</v>
      </c>
      <c r="B89" s="61">
        <v>0</v>
      </c>
      <c r="C89" s="60" t="s">
        <v>23</v>
      </c>
      <c r="D89" s="61">
        <v>147</v>
      </c>
      <c r="E89" s="61">
        <v>160</v>
      </c>
      <c r="F89" s="61">
        <f t="shared" si="5"/>
        <v>307</v>
      </c>
    </row>
    <row r="90" spans="1:6" ht="15" customHeight="1" x14ac:dyDescent="0.3">
      <c r="A90" s="60" t="s">
        <v>24</v>
      </c>
      <c r="B90" s="61">
        <v>0</v>
      </c>
      <c r="C90" s="60" t="s">
        <v>24</v>
      </c>
      <c r="D90" s="61">
        <v>245</v>
      </c>
      <c r="E90" s="61">
        <v>230</v>
      </c>
      <c r="F90" s="61">
        <f t="shared" si="5"/>
        <v>475</v>
      </c>
    </row>
    <row r="91" spans="1:6" ht="15" customHeight="1" x14ac:dyDescent="0.3">
      <c r="A91" s="60" t="s">
        <v>25</v>
      </c>
      <c r="B91" s="61">
        <v>0</v>
      </c>
      <c r="C91" s="60" t="s">
        <v>25</v>
      </c>
      <c r="D91" s="61">
        <v>239</v>
      </c>
      <c r="E91" s="61">
        <v>163</v>
      </c>
      <c r="F91" s="61">
        <f t="shared" si="5"/>
        <v>402</v>
      </c>
    </row>
    <row r="92" spans="1:6" ht="15" customHeight="1" x14ac:dyDescent="0.3">
      <c r="A92" s="60" t="s">
        <v>26</v>
      </c>
      <c r="B92" s="61">
        <v>0</v>
      </c>
      <c r="C92" s="60" t="s">
        <v>26</v>
      </c>
      <c r="D92" s="61">
        <v>148</v>
      </c>
      <c r="E92" s="61">
        <v>206</v>
      </c>
      <c r="F92" s="61">
        <f t="shared" si="5"/>
        <v>354</v>
      </c>
    </row>
    <row r="93" spans="1:6" ht="15" customHeight="1" x14ac:dyDescent="0.3">
      <c r="A93" s="60" t="s">
        <v>27</v>
      </c>
      <c r="B93" s="61">
        <v>0</v>
      </c>
      <c r="C93" s="60" t="s">
        <v>27</v>
      </c>
      <c r="D93" s="61">
        <v>141</v>
      </c>
      <c r="E93" s="61">
        <v>184</v>
      </c>
      <c r="F93" s="61">
        <f t="shared" si="5"/>
        <v>325</v>
      </c>
    </row>
    <row r="94" spans="1:6" ht="15" customHeight="1" x14ac:dyDescent="0.3">
      <c r="A94" s="60" t="s">
        <v>28</v>
      </c>
      <c r="B94" s="61">
        <v>0</v>
      </c>
      <c r="C94" s="60" t="s">
        <v>28</v>
      </c>
      <c r="D94" s="61">
        <v>36</v>
      </c>
      <c r="E94" s="61">
        <v>53</v>
      </c>
      <c r="F94" s="61">
        <f t="shared" si="5"/>
        <v>89</v>
      </c>
    </row>
    <row r="95" spans="1:6" ht="15" customHeight="1" x14ac:dyDescent="0.3">
      <c r="A95" s="60" t="s">
        <v>29</v>
      </c>
      <c r="B95" s="61">
        <v>0</v>
      </c>
      <c r="C95" s="60" t="s">
        <v>29</v>
      </c>
      <c r="D95" s="61">
        <v>115</v>
      </c>
      <c r="E95" s="61">
        <v>132</v>
      </c>
      <c r="F95" s="61">
        <f t="shared" si="5"/>
        <v>247</v>
      </c>
    </row>
    <row r="96" spans="1:6" ht="15" customHeight="1" x14ac:dyDescent="0.3">
      <c r="A96" s="82">
        <v>2018</v>
      </c>
      <c r="B96" s="81">
        <f>SUM(B97:B108)</f>
        <v>125</v>
      </c>
      <c r="C96" s="82">
        <v>2018</v>
      </c>
      <c r="D96" s="81">
        <f>SUM(D97:D108)</f>
        <v>1982</v>
      </c>
      <c r="E96" s="81">
        <f t="shared" ref="E96:F96" si="6">SUM(E97:E108)</f>
        <v>2019</v>
      </c>
      <c r="F96" s="81">
        <f t="shared" si="6"/>
        <v>4001</v>
      </c>
    </row>
    <row r="97" spans="1:6" ht="15" customHeight="1" x14ac:dyDescent="0.3">
      <c r="A97" s="60" t="s">
        <v>18</v>
      </c>
      <c r="B97" s="61">
        <v>0</v>
      </c>
      <c r="C97" s="60" t="s">
        <v>18</v>
      </c>
      <c r="D97" s="61">
        <v>117</v>
      </c>
      <c r="E97" s="61">
        <v>115</v>
      </c>
      <c r="F97" s="61">
        <f>SUM(D97:E97)</f>
        <v>232</v>
      </c>
    </row>
    <row r="98" spans="1:6" ht="15" customHeight="1" x14ac:dyDescent="0.3">
      <c r="A98" s="60" t="s">
        <v>19</v>
      </c>
      <c r="B98" s="61">
        <v>0</v>
      </c>
      <c r="C98" s="60" t="s">
        <v>19</v>
      </c>
      <c r="D98" s="61">
        <v>133</v>
      </c>
      <c r="E98" s="61">
        <v>143</v>
      </c>
      <c r="F98" s="61">
        <f t="shared" ref="F98:F108" si="7">SUM(D98:E98)</f>
        <v>276</v>
      </c>
    </row>
    <row r="99" spans="1:6" ht="15" customHeight="1" x14ac:dyDescent="0.3">
      <c r="A99" s="60" t="s">
        <v>20</v>
      </c>
      <c r="B99" s="61">
        <v>0</v>
      </c>
      <c r="C99" s="60" t="s">
        <v>20</v>
      </c>
      <c r="D99" s="61">
        <v>158</v>
      </c>
      <c r="E99" s="61">
        <v>177</v>
      </c>
      <c r="F99" s="61">
        <f t="shared" si="7"/>
        <v>335</v>
      </c>
    </row>
    <row r="100" spans="1:6" ht="15" customHeight="1" x14ac:dyDescent="0.3">
      <c r="A100" s="60" t="s">
        <v>21</v>
      </c>
      <c r="B100" s="61">
        <v>0</v>
      </c>
      <c r="C100" s="60" t="s">
        <v>21</v>
      </c>
      <c r="D100" s="61">
        <v>168</v>
      </c>
      <c r="E100" s="61">
        <v>174</v>
      </c>
      <c r="F100" s="61">
        <f t="shared" si="7"/>
        <v>342</v>
      </c>
    </row>
    <row r="101" spans="1:6" ht="15" customHeight="1" x14ac:dyDescent="0.3">
      <c r="A101" s="60" t="s">
        <v>22</v>
      </c>
      <c r="B101" s="61">
        <v>125</v>
      </c>
      <c r="C101" s="60" t="s">
        <v>22</v>
      </c>
      <c r="D101" s="61">
        <v>150</v>
      </c>
      <c r="E101" s="61">
        <v>167</v>
      </c>
      <c r="F101" s="61">
        <f t="shared" si="7"/>
        <v>317</v>
      </c>
    </row>
    <row r="102" spans="1:6" ht="15" customHeight="1" x14ac:dyDescent="0.3">
      <c r="A102" s="60" t="s">
        <v>23</v>
      </c>
      <c r="B102" s="61">
        <v>0</v>
      </c>
      <c r="C102" s="60" t="s">
        <v>23</v>
      </c>
      <c r="D102" s="61">
        <v>176</v>
      </c>
      <c r="E102" s="61">
        <v>162</v>
      </c>
      <c r="F102" s="61">
        <f t="shared" si="7"/>
        <v>338</v>
      </c>
    </row>
    <row r="103" spans="1:6" ht="15" customHeight="1" x14ac:dyDescent="0.3">
      <c r="A103" s="60" t="s">
        <v>24</v>
      </c>
      <c r="B103" s="61">
        <v>0</v>
      </c>
      <c r="C103" s="60" t="s">
        <v>24</v>
      </c>
      <c r="D103" s="61">
        <v>266</v>
      </c>
      <c r="E103" s="61">
        <v>203</v>
      </c>
      <c r="F103" s="61">
        <f t="shared" si="7"/>
        <v>469</v>
      </c>
    </row>
    <row r="104" spans="1:6" ht="15" customHeight="1" x14ac:dyDescent="0.3">
      <c r="A104" s="60" t="s">
        <v>25</v>
      </c>
      <c r="B104" s="61">
        <v>0</v>
      </c>
      <c r="C104" s="60" t="s">
        <v>25</v>
      </c>
      <c r="D104" s="61">
        <v>214</v>
      </c>
      <c r="E104" s="61">
        <v>210</v>
      </c>
      <c r="F104" s="61">
        <f t="shared" si="7"/>
        <v>424</v>
      </c>
    </row>
    <row r="105" spans="1:6" ht="15" customHeight="1" x14ac:dyDescent="0.3">
      <c r="A105" s="60" t="s">
        <v>26</v>
      </c>
      <c r="B105" s="61">
        <v>0</v>
      </c>
      <c r="C105" s="60" t="s">
        <v>26</v>
      </c>
      <c r="D105" s="61">
        <v>134</v>
      </c>
      <c r="E105" s="61">
        <v>140</v>
      </c>
      <c r="F105" s="61">
        <f t="shared" si="7"/>
        <v>274</v>
      </c>
    </row>
    <row r="106" spans="1:6" ht="15" customHeight="1" x14ac:dyDescent="0.3">
      <c r="A106" s="60" t="s">
        <v>27</v>
      </c>
      <c r="B106" s="61">
        <v>0</v>
      </c>
      <c r="C106" s="60" t="s">
        <v>27</v>
      </c>
      <c r="D106" s="61">
        <v>122</v>
      </c>
      <c r="E106" s="61">
        <v>186</v>
      </c>
      <c r="F106" s="61">
        <f t="shared" si="7"/>
        <v>308</v>
      </c>
    </row>
    <row r="107" spans="1:6" ht="15" customHeight="1" x14ac:dyDescent="0.3">
      <c r="A107" s="60" t="s">
        <v>28</v>
      </c>
      <c r="B107" s="61">
        <v>0</v>
      </c>
      <c r="C107" s="60" t="s">
        <v>28</v>
      </c>
      <c r="D107" s="61">
        <v>179</v>
      </c>
      <c r="E107" s="61">
        <v>139</v>
      </c>
      <c r="F107" s="61">
        <f t="shared" si="7"/>
        <v>318</v>
      </c>
    </row>
    <row r="108" spans="1:6" ht="15" customHeight="1" x14ac:dyDescent="0.3">
      <c r="A108" s="60" t="s">
        <v>29</v>
      </c>
      <c r="B108" s="61">
        <v>0</v>
      </c>
      <c r="C108" s="60" t="s">
        <v>29</v>
      </c>
      <c r="D108" s="61">
        <v>165</v>
      </c>
      <c r="E108" s="61">
        <v>203</v>
      </c>
      <c r="F108" s="61">
        <f t="shared" si="7"/>
        <v>368</v>
      </c>
    </row>
    <row r="109" spans="1:6" ht="15" customHeight="1" x14ac:dyDescent="0.3">
      <c r="A109" s="82">
        <v>2017</v>
      </c>
      <c r="B109" s="81">
        <v>0</v>
      </c>
      <c r="C109" s="82">
        <v>2017</v>
      </c>
      <c r="D109" s="81">
        <f>SUM(D110:D121)</f>
        <v>2305</v>
      </c>
      <c r="E109" s="81">
        <f t="shared" ref="E109:F109" si="8">SUM(E110:E121)</f>
        <v>1729</v>
      </c>
      <c r="F109" s="81">
        <f t="shared" si="8"/>
        <v>4034</v>
      </c>
    </row>
    <row r="110" spans="1:6" ht="15" customHeight="1" x14ac:dyDescent="0.3">
      <c r="A110" s="60" t="s">
        <v>18</v>
      </c>
      <c r="B110" s="61">
        <v>0</v>
      </c>
      <c r="C110" s="60" t="s">
        <v>18</v>
      </c>
      <c r="D110" s="61">
        <v>142</v>
      </c>
      <c r="E110" s="61">
        <v>72</v>
      </c>
      <c r="F110" s="61">
        <f>SUM(D110:E110)</f>
        <v>214</v>
      </c>
    </row>
    <row r="111" spans="1:6" ht="15" customHeight="1" x14ac:dyDescent="0.3">
      <c r="A111" s="60" t="s">
        <v>19</v>
      </c>
      <c r="B111" s="61">
        <v>0</v>
      </c>
      <c r="C111" s="60" t="s">
        <v>19</v>
      </c>
      <c r="D111" s="61">
        <v>137</v>
      </c>
      <c r="E111" s="61">
        <v>113</v>
      </c>
      <c r="F111" s="61">
        <f t="shared" ref="F111:F121" si="9">SUM(D111:E111)</f>
        <v>250</v>
      </c>
    </row>
    <row r="112" spans="1:6" ht="15" customHeight="1" x14ac:dyDescent="0.3">
      <c r="A112" s="60" t="s">
        <v>20</v>
      </c>
      <c r="B112" s="61">
        <v>0</v>
      </c>
      <c r="C112" s="60" t="s">
        <v>20</v>
      </c>
      <c r="D112" s="61">
        <v>174</v>
      </c>
      <c r="E112" s="61">
        <v>120</v>
      </c>
      <c r="F112" s="61">
        <f t="shared" si="9"/>
        <v>294</v>
      </c>
    </row>
    <row r="113" spans="1:6" ht="15" customHeight="1" x14ac:dyDescent="0.3">
      <c r="A113" s="60" t="s">
        <v>21</v>
      </c>
      <c r="B113" s="61">
        <v>0</v>
      </c>
      <c r="C113" s="60" t="s">
        <v>21</v>
      </c>
      <c r="D113" s="61">
        <v>187</v>
      </c>
      <c r="E113" s="61">
        <v>170</v>
      </c>
      <c r="F113" s="61">
        <f t="shared" si="9"/>
        <v>357</v>
      </c>
    </row>
    <row r="114" spans="1:6" ht="15" customHeight="1" x14ac:dyDescent="0.3">
      <c r="A114" s="60" t="s">
        <v>22</v>
      </c>
      <c r="B114" s="61">
        <v>0</v>
      </c>
      <c r="C114" s="60" t="s">
        <v>22</v>
      </c>
      <c r="D114" s="61">
        <v>189</v>
      </c>
      <c r="E114" s="61">
        <v>132</v>
      </c>
      <c r="F114" s="61">
        <f t="shared" si="9"/>
        <v>321</v>
      </c>
    </row>
    <row r="115" spans="1:6" ht="15" customHeight="1" x14ac:dyDescent="0.3">
      <c r="A115" s="60" t="s">
        <v>23</v>
      </c>
      <c r="B115" s="61">
        <v>0</v>
      </c>
      <c r="C115" s="60" t="s">
        <v>23</v>
      </c>
      <c r="D115" s="61">
        <v>217</v>
      </c>
      <c r="E115" s="61">
        <v>138</v>
      </c>
      <c r="F115" s="61">
        <f t="shared" si="9"/>
        <v>355</v>
      </c>
    </row>
    <row r="116" spans="1:6" ht="15" customHeight="1" x14ac:dyDescent="0.3">
      <c r="A116" s="60" t="s">
        <v>24</v>
      </c>
      <c r="B116" s="61">
        <v>0</v>
      </c>
      <c r="C116" s="60" t="s">
        <v>24</v>
      </c>
      <c r="D116" s="61">
        <v>225</v>
      </c>
      <c r="E116" s="61">
        <v>208</v>
      </c>
      <c r="F116" s="61">
        <f t="shared" si="9"/>
        <v>433</v>
      </c>
    </row>
    <row r="117" spans="1:6" ht="15" customHeight="1" x14ac:dyDescent="0.3">
      <c r="A117" s="60" t="s">
        <v>25</v>
      </c>
      <c r="B117" s="61">
        <v>0</v>
      </c>
      <c r="C117" s="60" t="s">
        <v>25</v>
      </c>
      <c r="D117" s="61">
        <v>224</v>
      </c>
      <c r="E117" s="61">
        <v>161</v>
      </c>
      <c r="F117" s="61">
        <f t="shared" si="9"/>
        <v>385</v>
      </c>
    </row>
    <row r="118" spans="1:6" ht="15" customHeight="1" x14ac:dyDescent="0.3">
      <c r="A118" s="60" t="s">
        <v>26</v>
      </c>
      <c r="B118" s="61">
        <v>0</v>
      </c>
      <c r="C118" s="60" t="s">
        <v>26</v>
      </c>
      <c r="D118" s="61">
        <v>199</v>
      </c>
      <c r="E118" s="61">
        <v>157</v>
      </c>
      <c r="F118" s="61">
        <f t="shared" si="9"/>
        <v>356</v>
      </c>
    </row>
    <row r="119" spans="1:6" ht="15" customHeight="1" x14ac:dyDescent="0.3">
      <c r="A119" s="60" t="s">
        <v>27</v>
      </c>
      <c r="B119" s="61">
        <v>0</v>
      </c>
      <c r="C119" s="60" t="s">
        <v>27</v>
      </c>
      <c r="D119" s="61">
        <v>151</v>
      </c>
      <c r="E119" s="61">
        <v>161</v>
      </c>
      <c r="F119" s="61">
        <f t="shared" si="9"/>
        <v>312</v>
      </c>
    </row>
    <row r="120" spans="1:6" ht="15" customHeight="1" x14ac:dyDescent="0.3">
      <c r="A120" s="60" t="s">
        <v>28</v>
      </c>
      <c r="B120" s="61">
        <v>0</v>
      </c>
      <c r="C120" s="60" t="s">
        <v>28</v>
      </c>
      <c r="D120" s="61">
        <v>220</v>
      </c>
      <c r="E120" s="61">
        <v>137</v>
      </c>
      <c r="F120" s="61">
        <f t="shared" si="9"/>
        <v>357</v>
      </c>
    </row>
    <row r="121" spans="1:6" ht="15" customHeight="1" x14ac:dyDescent="0.3">
      <c r="A121" s="60" t="s">
        <v>29</v>
      </c>
      <c r="B121" s="61">
        <v>0</v>
      </c>
      <c r="C121" s="60" t="s">
        <v>29</v>
      </c>
      <c r="D121" s="61">
        <v>240</v>
      </c>
      <c r="E121" s="61">
        <v>160</v>
      </c>
      <c r="F121" s="61">
        <f t="shared" si="9"/>
        <v>400</v>
      </c>
    </row>
    <row r="122" spans="1:6" ht="15" customHeight="1" x14ac:dyDescent="0.3">
      <c r="A122" s="82">
        <v>2016</v>
      </c>
      <c r="B122" s="81">
        <v>0</v>
      </c>
      <c r="C122" s="82">
        <v>2016</v>
      </c>
      <c r="D122" s="81">
        <f>SUM(D123:D134)</f>
        <v>2885</v>
      </c>
      <c r="E122" s="81">
        <f t="shared" ref="E122:F122" si="10">SUM(E123:E134)</f>
        <v>1777</v>
      </c>
      <c r="F122" s="81">
        <f t="shared" si="10"/>
        <v>4662</v>
      </c>
    </row>
    <row r="123" spans="1:6" ht="15" customHeight="1" x14ac:dyDescent="0.3">
      <c r="A123" s="60" t="s">
        <v>18</v>
      </c>
      <c r="B123" s="61">
        <v>0</v>
      </c>
      <c r="C123" s="60" t="s">
        <v>18</v>
      </c>
      <c r="D123" s="61">
        <v>132</v>
      </c>
      <c r="E123" s="61">
        <v>127</v>
      </c>
      <c r="F123" s="61">
        <f>SUM(D123:E123)</f>
        <v>259</v>
      </c>
    </row>
    <row r="124" spans="1:6" ht="15" customHeight="1" x14ac:dyDescent="0.3">
      <c r="A124" s="60" t="s">
        <v>19</v>
      </c>
      <c r="B124" s="61">
        <v>0</v>
      </c>
      <c r="C124" s="60" t="s">
        <v>19</v>
      </c>
      <c r="D124" s="61">
        <v>270</v>
      </c>
      <c r="E124" s="61">
        <v>236</v>
      </c>
      <c r="F124" s="61">
        <f t="shared" ref="F124:F134" si="11">SUM(D124:E124)</f>
        <v>506</v>
      </c>
    </row>
    <row r="125" spans="1:6" ht="15" customHeight="1" x14ac:dyDescent="0.3">
      <c r="A125" s="60" t="s">
        <v>20</v>
      </c>
      <c r="B125" s="61">
        <v>0</v>
      </c>
      <c r="C125" s="60" t="s">
        <v>20</v>
      </c>
      <c r="D125" s="61">
        <v>227</v>
      </c>
      <c r="E125" s="61">
        <v>158</v>
      </c>
      <c r="F125" s="61">
        <f t="shared" si="11"/>
        <v>385</v>
      </c>
    </row>
    <row r="126" spans="1:6" ht="15" customHeight="1" x14ac:dyDescent="0.3">
      <c r="A126" s="60" t="s">
        <v>21</v>
      </c>
      <c r="B126" s="61">
        <v>0</v>
      </c>
      <c r="C126" s="60" t="s">
        <v>21</v>
      </c>
      <c r="D126" s="61">
        <v>315</v>
      </c>
      <c r="E126" s="61">
        <v>132</v>
      </c>
      <c r="F126" s="61">
        <f t="shared" si="11"/>
        <v>447</v>
      </c>
    </row>
    <row r="127" spans="1:6" ht="15" customHeight="1" x14ac:dyDescent="0.3">
      <c r="A127" s="60" t="s">
        <v>22</v>
      </c>
      <c r="B127" s="61">
        <v>0</v>
      </c>
      <c r="C127" s="60" t="s">
        <v>22</v>
      </c>
      <c r="D127" s="61">
        <v>210</v>
      </c>
      <c r="E127" s="61">
        <v>133</v>
      </c>
      <c r="F127" s="61">
        <f t="shared" si="11"/>
        <v>343</v>
      </c>
    </row>
    <row r="128" spans="1:6" ht="15" customHeight="1" x14ac:dyDescent="0.3">
      <c r="A128" s="60" t="s">
        <v>23</v>
      </c>
      <c r="B128" s="61">
        <v>0</v>
      </c>
      <c r="C128" s="60" t="s">
        <v>23</v>
      </c>
      <c r="D128" s="61">
        <v>287</v>
      </c>
      <c r="E128" s="61">
        <v>158</v>
      </c>
      <c r="F128" s="61">
        <f t="shared" si="11"/>
        <v>445</v>
      </c>
    </row>
    <row r="129" spans="1:6" ht="15" customHeight="1" x14ac:dyDescent="0.3">
      <c r="A129" s="60" t="s">
        <v>24</v>
      </c>
      <c r="B129" s="61">
        <v>0</v>
      </c>
      <c r="C129" s="60" t="s">
        <v>24</v>
      </c>
      <c r="D129" s="61">
        <v>402</v>
      </c>
      <c r="E129" s="61">
        <v>193</v>
      </c>
      <c r="F129" s="61">
        <f t="shared" si="11"/>
        <v>595</v>
      </c>
    </row>
    <row r="130" spans="1:6" ht="15" customHeight="1" x14ac:dyDescent="0.3">
      <c r="A130" s="60" t="s">
        <v>25</v>
      </c>
      <c r="B130" s="61">
        <v>0</v>
      </c>
      <c r="C130" s="60" t="s">
        <v>25</v>
      </c>
      <c r="D130" s="61">
        <v>278</v>
      </c>
      <c r="E130" s="61">
        <v>156</v>
      </c>
      <c r="F130" s="61">
        <f t="shared" si="11"/>
        <v>434</v>
      </c>
    </row>
    <row r="131" spans="1:6" ht="15" customHeight="1" x14ac:dyDescent="0.3">
      <c r="A131" s="60" t="s">
        <v>26</v>
      </c>
      <c r="B131" s="61">
        <v>0</v>
      </c>
      <c r="C131" s="60" t="s">
        <v>26</v>
      </c>
      <c r="D131" s="61">
        <v>285</v>
      </c>
      <c r="E131" s="61">
        <v>145</v>
      </c>
      <c r="F131" s="61">
        <f t="shared" si="11"/>
        <v>430</v>
      </c>
    </row>
    <row r="132" spans="1:6" ht="15" customHeight="1" x14ac:dyDescent="0.3">
      <c r="A132" s="60" t="s">
        <v>27</v>
      </c>
      <c r="B132" s="61">
        <v>0</v>
      </c>
      <c r="C132" s="60" t="s">
        <v>27</v>
      </c>
      <c r="D132" s="61">
        <v>113</v>
      </c>
      <c r="E132" s="61">
        <v>99</v>
      </c>
      <c r="F132" s="61">
        <f t="shared" si="11"/>
        <v>212</v>
      </c>
    </row>
    <row r="133" spans="1:6" ht="15" customHeight="1" x14ac:dyDescent="0.3">
      <c r="A133" s="60" t="s">
        <v>28</v>
      </c>
      <c r="B133" s="61">
        <v>0</v>
      </c>
      <c r="C133" s="60" t="s">
        <v>28</v>
      </c>
      <c r="D133" s="61">
        <v>179</v>
      </c>
      <c r="E133" s="61">
        <v>97</v>
      </c>
      <c r="F133" s="61">
        <f t="shared" si="11"/>
        <v>276</v>
      </c>
    </row>
    <row r="134" spans="1:6" ht="15" customHeight="1" x14ac:dyDescent="0.3">
      <c r="A134" s="60" t="s">
        <v>29</v>
      </c>
      <c r="B134" s="61">
        <v>0</v>
      </c>
      <c r="C134" s="60" t="s">
        <v>29</v>
      </c>
      <c r="D134" s="61">
        <v>187</v>
      </c>
      <c r="E134" s="61">
        <v>143</v>
      </c>
      <c r="F134" s="61">
        <f t="shared" si="11"/>
        <v>330</v>
      </c>
    </row>
    <row r="135" spans="1:6" ht="15" customHeight="1" x14ac:dyDescent="0.3">
      <c r="A135" s="65">
        <v>2015</v>
      </c>
      <c r="B135" s="81">
        <v>0</v>
      </c>
      <c r="C135" s="65">
        <v>2015</v>
      </c>
      <c r="D135" s="81">
        <f>SUM(D136:D147)</f>
        <v>2169</v>
      </c>
      <c r="E135" s="81">
        <f t="shared" ref="E135:F135" si="12">SUM(E136:E147)</f>
        <v>1273</v>
      </c>
      <c r="F135" s="81">
        <f t="shared" si="12"/>
        <v>3442</v>
      </c>
    </row>
    <row r="136" spans="1:6" ht="15" customHeight="1" x14ac:dyDescent="0.3">
      <c r="A136" s="60" t="s">
        <v>18</v>
      </c>
      <c r="B136" s="61">
        <v>0</v>
      </c>
      <c r="C136" s="60" t="s">
        <v>18</v>
      </c>
      <c r="D136" s="61">
        <v>102</v>
      </c>
      <c r="E136" s="61">
        <v>62</v>
      </c>
      <c r="F136" s="61">
        <f>SUM(D136:E136)</f>
        <v>164</v>
      </c>
    </row>
    <row r="137" spans="1:6" ht="15" customHeight="1" x14ac:dyDescent="0.3">
      <c r="A137" s="60" t="s">
        <v>19</v>
      </c>
      <c r="B137" s="61">
        <v>0</v>
      </c>
      <c r="C137" s="60" t="s">
        <v>19</v>
      </c>
      <c r="D137" s="61">
        <v>70</v>
      </c>
      <c r="E137" s="61">
        <v>59</v>
      </c>
      <c r="F137" s="61">
        <f t="shared" ref="F137:F147" si="13">SUM(D137:E137)</f>
        <v>129</v>
      </c>
    </row>
    <row r="138" spans="1:6" ht="15" customHeight="1" x14ac:dyDescent="0.3">
      <c r="A138" s="60" t="s">
        <v>20</v>
      </c>
      <c r="B138" s="61">
        <v>0</v>
      </c>
      <c r="C138" s="60" t="s">
        <v>20</v>
      </c>
      <c r="D138" s="61">
        <v>142</v>
      </c>
      <c r="E138" s="61">
        <v>65</v>
      </c>
      <c r="F138" s="61">
        <f t="shared" si="13"/>
        <v>207</v>
      </c>
    </row>
    <row r="139" spans="1:6" ht="15" customHeight="1" x14ac:dyDescent="0.3">
      <c r="A139" s="60" t="s">
        <v>21</v>
      </c>
      <c r="B139" s="61">
        <v>0</v>
      </c>
      <c r="C139" s="60" t="s">
        <v>21</v>
      </c>
      <c r="D139" s="61">
        <v>182</v>
      </c>
      <c r="E139" s="61">
        <v>95</v>
      </c>
      <c r="F139" s="61">
        <f t="shared" si="13"/>
        <v>277</v>
      </c>
    </row>
    <row r="140" spans="1:6" ht="15" customHeight="1" x14ac:dyDescent="0.3">
      <c r="A140" s="60" t="s">
        <v>22</v>
      </c>
      <c r="B140" s="61">
        <v>0</v>
      </c>
      <c r="C140" s="60" t="s">
        <v>22</v>
      </c>
      <c r="D140" s="61">
        <v>249</v>
      </c>
      <c r="E140" s="61">
        <v>107</v>
      </c>
      <c r="F140" s="61">
        <f t="shared" si="13"/>
        <v>356</v>
      </c>
    </row>
    <row r="141" spans="1:6" ht="15" customHeight="1" x14ac:dyDescent="0.3">
      <c r="A141" s="60" t="s">
        <v>23</v>
      </c>
      <c r="B141" s="61">
        <v>0</v>
      </c>
      <c r="C141" s="60" t="s">
        <v>23</v>
      </c>
      <c r="D141" s="61">
        <v>219</v>
      </c>
      <c r="E141" s="61">
        <v>130</v>
      </c>
      <c r="F141" s="61">
        <f t="shared" si="13"/>
        <v>349</v>
      </c>
    </row>
    <row r="142" spans="1:6" ht="15" customHeight="1" x14ac:dyDescent="0.3">
      <c r="A142" s="60" t="s">
        <v>24</v>
      </c>
      <c r="B142" s="61">
        <v>0</v>
      </c>
      <c r="C142" s="60" t="s">
        <v>24</v>
      </c>
      <c r="D142" s="61">
        <v>267</v>
      </c>
      <c r="E142" s="61">
        <v>147</v>
      </c>
      <c r="F142" s="61">
        <f t="shared" si="13"/>
        <v>414</v>
      </c>
    </row>
    <row r="143" spans="1:6" ht="15" customHeight="1" x14ac:dyDescent="0.3">
      <c r="A143" s="60" t="s">
        <v>25</v>
      </c>
      <c r="B143" s="61">
        <v>0</v>
      </c>
      <c r="C143" s="60" t="s">
        <v>25</v>
      </c>
      <c r="D143" s="61">
        <v>150</v>
      </c>
      <c r="E143" s="61">
        <v>85</v>
      </c>
      <c r="F143" s="61">
        <f t="shared" si="13"/>
        <v>235</v>
      </c>
    </row>
    <row r="144" spans="1:6" ht="15" customHeight="1" x14ac:dyDescent="0.3">
      <c r="A144" s="60" t="s">
        <v>26</v>
      </c>
      <c r="B144" s="61">
        <v>0</v>
      </c>
      <c r="C144" s="60" t="s">
        <v>26</v>
      </c>
      <c r="D144" s="61">
        <v>177</v>
      </c>
      <c r="E144" s="61">
        <v>135</v>
      </c>
      <c r="F144" s="61">
        <f t="shared" si="13"/>
        <v>312</v>
      </c>
    </row>
    <row r="145" spans="1:6" ht="15" customHeight="1" x14ac:dyDescent="0.3">
      <c r="A145" s="60" t="s">
        <v>27</v>
      </c>
      <c r="B145" s="61">
        <v>0</v>
      </c>
      <c r="C145" s="60" t="s">
        <v>27</v>
      </c>
      <c r="D145" s="61">
        <v>204</v>
      </c>
      <c r="E145" s="61">
        <v>93</v>
      </c>
      <c r="F145" s="61">
        <f t="shared" si="13"/>
        <v>297</v>
      </c>
    </row>
    <row r="146" spans="1:6" ht="15" customHeight="1" x14ac:dyDescent="0.3">
      <c r="A146" s="60" t="s">
        <v>28</v>
      </c>
      <c r="B146" s="61">
        <v>0</v>
      </c>
      <c r="C146" s="60" t="s">
        <v>28</v>
      </c>
      <c r="D146" s="61">
        <v>172</v>
      </c>
      <c r="E146" s="61">
        <v>137</v>
      </c>
      <c r="F146" s="61">
        <f t="shared" si="13"/>
        <v>309</v>
      </c>
    </row>
    <row r="147" spans="1:6" ht="15" customHeight="1" x14ac:dyDescent="0.3">
      <c r="A147" s="60" t="s">
        <v>29</v>
      </c>
      <c r="B147" s="61">
        <v>0</v>
      </c>
      <c r="C147" s="60" t="s">
        <v>29</v>
      </c>
      <c r="D147" s="61">
        <v>235</v>
      </c>
      <c r="E147" s="61">
        <v>158</v>
      </c>
      <c r="F147" s="61">
        <f t="shared" si="13"/>
        <v>393</v>
      </c>
    </row>
    <row r="148" spans="1:6" ht="15" customHeight="1" x14ac:dyDescent="0.3">
      <c r="A148" s="65">
        <v>2014</v>
      </c>
      <c r="B148" s="81">
        <v>0</v>
      </c>
      <c r="C148" s="65">
        <v>2014</v>
      </c>
      <c r="D148" s="81">
        <f>SUM(D149:D160)</f>
        <v>1757</v>
      </c>
      <c r="E148" s="81">
        <f t="shared" ref="E148" si="14">SUM(E149:E160)</f>
        <v>1243</v>
      </c>
      <c r="F148" s="81">
        <f>SUM(F149:F160)</f>
        <v>3000</v>
      </c>
    </row>
    <row r="149" spans="1:6" ht="15" customHeight="1" x14ac:dyDescent="0.3">
      <c r="A149" s="60" t="s">
        <v>18</v>
      </c>
      <c r="B149" s="61">
        <v>0</v>
      </c>
      <c r="C149" s="60" t="s">
        <v>18</v>
      </c>
      <c r="D149" s="61">
        <v>152</v>
      </c>
      <c r="E149" s="61">
        <v>103</v>
      </c>
      <c r="F149" s="61">
        <f>SUM(D149:E149)</f>
        <v>255</v>
      </c>
    </row>
    <row r="150" spans="1:6" ht="15" customHeight="1" x14ac:dyDescent="0.3">
      <c r="A150" s="60" t="s">
        <v>19</v>
      </c>
      <c r="B150" s="61">
        <v>0</v>
      </c>
      <c r="C150" s="60" t="s">
        <v>19</v>
      </c>
      <c r="D150" s="61">
        <v>97</v>
      </c>
      <c r="E150" s="61">
        <v>129</v>
      </c>
      <c r="F150" s="61">
        <f t="shared" ref="F150:F160" si="15">SUM(D150:E150)</f>
        <v>226</v>
      </c>
    </row>
    <row r="151" spans="1:6" ht="15" customHeight="1" x14ac:dyDescent="0.3">
      <c r="A151" s="60" t="s">
        <v>20</v>
      </c>
      <c r="B151" s="61">
        <v>0</v>
      </c>
      <c r="C151" s="60" t="s">
        <v>20</v>
      </c>
      <c r="D151" s="61">
        <v>170</v>
      </c>
      <c r="E151" s="61">
        <v>124</v>
      </c>
      <c r="F151" s="61">
        <f t="shared" si="15"/>
        <v>294</v>
      </c>
    </row>
    <row r="152" spans="1:6" ht="15" customHeight="1" x14ac:dyDescent="0.3">
      <c r="A152" s="60" t="s">
        <v>21</v>
      </c>
      <c r="B152" s="61">
        <v>0</v>
      </c>
      <c r="C152" s="60" t="s">
        <v>21</v>
      </c>
      <c r="D152" s="61">
        <v>187</v>
      </c>
      <c r="E152" s="61">
        <v>93</v>
      </c>
      <c r="F152" s="61">
        <f t="shared" si="15"/>
        <v>280</v>
      </c>
    </row>
    <row r="153" spans="1:6" ht="15" customHeight="1" x14ac:dyDescent="0.3">
      <c r="A153" s="60" t="s">
        <v>22</v>
      </c>
      <c r="B153" s="61">
        <v>0</v>
      </c>
      <c r="C153" s="60" t="s">
        <v>22</v>
      </c>
      <c r="D153" s="61">
        <v>110</v>
      </c>
      <c r="E153" s="61">
        <v>96</v>
      </c>
      <c r="F153" s="61">
        <f t="shared" si="15"/>
        <v>206</v>
      </c>
    </row>
    <row r="154" spans="1:6" ht="15" customHeight="1" x14ac:dyDescent="0.3">
      <c r="A154" s="60" t="s">
        <v>23</v>
      </c>
      <c r="B154" s="61">
        <v>0</v>
      </c>
      <c r="C154" s="60" t="s">
        <v>23</v>
      </c>
      <c r="D154" s="61">
        <v>137</v>
      </c>
      <c r="E154" s="61">
        <v>96</v>
      </c>
      <c r="F154" s="61">
        <f t="shared" si="15"/>
        <v>233</v>
      </c>
    </row>
    <row r="155" spans="1:6" ht="15" customHeight="1" x14ac:dyDescent="0.3">
      <c r="A155" s="60" t="s">
        <v>24</v>
      </c>
      <c r="B155" s="61">
        <v>0</v>
      </c>
      <c r="C155" s="60" t="s">
        <v>24</v>
      </c>
      <c r="D155" s="61">
        <v>151</v>
      </c>
      <c r="E155" s="61">
        <v>126</v>
      </c>
      <c r="F155" s="61">
        <f t="shared" si="15"/>
        <v>277</v>
      </c>
    </row>
    <row r="156" spans="1:6" ht="15" customHeight="1" x14ac:dyDescent="0.3">
      <c r="A156" s="60" t="s">
        <v>25</v>
      </c>
      <c r="B156" s="61">
        <v>0</v>
      </c>
      <c r="C156" s="60" t="s">
        <v>25</v>
      </c>
      <c r="D156" s="61">
        <v>184</v>
      </c>
      <c r="E156" s="61">
        <v>105</v>
      </c>
      <c r="F156" s="61">
        <f t="shared" si="15"/>
        <v>289</v>
      </c>
    </row>
    <row r="157" spans="1:6" ht="15" customHeight="1" x14ac:dyDescent="0.3">
      <c r="A157" s="60" t="s">
        <v>26</v>
      </c>
      <c r="B157" s="61">
        <v>0</v>
      </c>
      <c r="C157" s="60" t="s">
        <v>26</v>
      </c>
      <c r="D157" s="61">
        <v>160</v>
      </c>
      <c r="E157" s="61">
        <v>139</v>
      </c>
      <c r="F157" s="61">
        <f t="shared" si="15"/>
        <v>299</v>
      </c>
    </row>
    <row r="158" spans="1:6" ht="15" customHeight="1" x14ac:dyDescent="0.3">
      <c r="A158" s="60" t="s">
        <v>27</v>
      </c>
      <c r="B158" s="61">
        <v>0</v>
      </c>
      <c r="C158" s="60" t="s">
        <v>27</v>
      </c>
      <c r="D158" s="61">
        <v>142</v>
      </c>
      <c r="E158" s="61">
        <v>82</v>
      </c>
      <c r="F158" s="61">
        <f t="shared" si="15"/>
        <v>224</v>
      </c>
    </row>
    <row r="159" spans="1:6" ht="15" customHeight="1" x14ac:dyDescent="0.3">
      <c r="A159" s="60" t="s">
        <v>28</v>
      </c>
      <c r="B159" s="61">
        <v>0</v>
      </c>
      <c r="C159" s="60" t="s">
        <v>28</v>
      </c>
      <c r="D159" s="61">
        <v>144</v>
      </c>
      <c r="E159" s="61">
        <v>69</v>
      </c>
      <c r="F159" s="61">
        <f t="shared" si="15"/>
        <v>213</v>
      </c>
    </row>
    <row r="160" spans="1:6" ht="15" customHeight="1" x14ac:dyDescent="0.3">
      <c r="A160" s="60" t="s">
        <v>29</v>
      </c>
      <c r="B160" s="61">
        <v>0</v>
      </c>
      <c r="C160" s="60" t="s">
        <v>29</v>
      </c>
      <c r="D160" s="61">
        <v>123</v>
      </c>
      <c r="E160" s="61">
        <v>81</v>
      </c>
      <c r="F160" s="61">
        <f t="shared" si="15"/>
        <v>204</v>
      </c>
    </row>
    <row r="161" spans="1:6" ht="15" customHeight="1" x14ac:dyDescent="0.3">
      <c r="A161" s="65">
        <v>2013</v>
      </c>
      <c r="B161" s="81">
        <v>0</v>
      </c>
      <c r="C161" s="65">
        <v>2013</v>
      </c>
      <c r="D161" s="81">
        <f>SUM(D162:D173)</f>
        <v>2272</v>
      </c>
      <c r="E161" s="81">
        <f>SUM(E162:E173)</f>
        <v>1692</v>
      </c>
      <c r="F161" s="81">
        <f t="shared" ref="F161" si="16">SUM(F162:F173)</f>
        <v>3964</v>
      </c>
    </row>
    <row r="162" spans="1:6" ht="15" customHeight="1" x14ac:dyDescent="0.3">
      <c r="A162" s="60" t="s">
        <v>18</v>
      </c>
      <c r="B162" s="61">
        <v>0</v>
      </c>
      <c r="C162" s="60" t="s">
        <v>18</v>
      </c>
      <c r="D162" s="61">
        <v>123</v>
      </c>
      <c r="E162" s="61">
        <v>87</v>
      </c>
      <c r="F162" s="61">
        <f>SUM(D162:E162)</f>
        <v>210</v>
      </c>
    </row>
    <row r="163" spans="1:6" ht="15" customHeight="1" x14ac:dyDescent="0.3">
      <c r="A163" s="60" t="s">
        <v>19</v>
      </c>
      <c r="B163" s="61">
        <v>0</v>
      </c>
      <c r="C163" s="60" t="s">
        <v>19</v>
      </c>
      <c r="D163" s="61">
        <v>115</v>
      </c>
      <c r="E163" s="61">
        <v>98</v>
      </c>
      <c r="F163" s="61">
        <f t="shared" ref="F163:F173" si="17">SUM(D163:E163)</f>
        <v>213</v>
      </c>
    </row>
    <row r="164" spans="1:6" ht="15" customHeight="1" x14ac:dyDescent="0.3">
      <c r="A164" s="60" t="s">
        <v>20</v>
      </c>
      <c r="B164" s="61">
        <v>0</v>
      </c>
      <c r="C164" s="60" t="s">
        <v>20</v>
      </c>
      <c r="D164" s="61">
        <v>216</v>
      </c>
      <c r="E164" s="61">
        <v>120</v>
      </c>
      <c r="F164" s="61">
        <f t="shared" si="17"/>
        <v>336</v>
      </c>
    </row>
    <row r="165" spans="1:6" ht="15" customHeight="1" x14ac:dyDescent="0.3">
      <c r="A165" s="60" t="s">
        <v>21</v>
      </c>
      <c r="B165" s="61">
        <v>0</v>
      </c>
      <c r="C165" s="60" t="s">
        <v>21</v>
      </c>
      <c r="D165" s="61">
        <v>157</v>
      </c>
      <c r="E165" s="61">
        <v>165</v>
      </c>
      <c r="F165" s="61">
        <f t="shared" si="17"/>
        <v>322</v>
      </c>
    </row>
    <row r="166" spans="1:6" ht="15" customHeight="1" x14ac:dyDescent="0.3">
      <c r="A166" s="60" t="s">
        <v>22</v>
      </c>
      <c r="B166" s="61">
        <v>0</v>
      </c>
      <c r="C166" s="60" t="s">
        <v>22</v>
      </c>
      <c r="D166" s="61">
        <v>236</v>
      </c>
      <c r="E166" s="61">
        <v>153</v>
      </c>
      <c r="F166" s="61">
        <f t="shared" si="17"/>
        <v>389</v>
      </c>
    </row>
    <row r="167" spans="1:6" ht="15" customHeight="1" x14ac:dyDescent="0.3">
      <c r="A167" s="60" t="s">
        <v>23</v>
      </c>
      <c r="B167" s="61">
        <v>0</v>
      </c>
      <c r="C167" s="60" t="s">
        <v>23</v>
      </c>
      <c r="D167" s="61">
        <v>206</v>
      </c>
      <c r="E167" s="61">
        <v>137</v>
      </c>
      <c r="F167" s="61">
        <f t="shared" si="17"/>
        <v>343</v>
      </c>
    </row>
    <row r="168" spans="1:6" ht="15" customHeight="1" x14ac:dyDescent="0.3">
      <c r="A168" s="60" t="s">
        <v>24</v>
      </c>
      <c r="B168" s="61">
        <v>0</v>
      </c>
      <c r="C168" s="60" t="s">
        <v>24</v>
      </c>
      <c r="D168" s="61">
        <v>273</v>
      </c>
      <c r="E168" s="61">
        <v>170</v>
      </c>
      <c r="F168" s="61">
        <f t="shared" si="17"/>
        <v>443</v>
      </c>
    </row>
    <row r="169" spans="1:6" ht="15" customHeight="1" x14ac:dyDescent="0.3">
      <c r="A169" s="60" t="s">
        <v>25</v>
      </c>
      <c r="B169" s="61">
        <v>0</v>
      </c>
      <c r="C169" s="60" t="s">
        <v>25</v>
      </c>
      <c r="D169" s="61">
        <v>278</v>
      </c>
      <c r="E169" s="61">
        <v>194</v>
      </c>
      <c r="F169" s="61">
        <f t="shared" si="17"/>
        <v>472</v>
      </c>
    </row>
    <row r="170" spans="1:6" ht="15" customHeight="1" x14ac:dyDescent="0.3">
      <c r="A170" s="60" t="s">
        <v>26</v>
      </c>
      <c r="B170" s="61">
        <v>0</v>
      </c>
      <c r="C170" s="60" t="s">
        <v>26</v>
      </c>
      <c r="D170" s="61">
        <v>210</v>
      </c>
      <c r="E170" s="61">
        <v>162</v>
      </c>
      <c r="F170" s="61">
        <f t="shared" si="17"/>
        <v>372</v>
      </c>
    </row>
    <row r="171" spans="1:6" ht="15" customHeight="1" x14ac:dyDescent="0.3">
      <c r="A171" s="60" t="s">
        <v>27</v>
      </c>
      <c r="B171" s="61">
        <v>0</v>
      </c>
      <c r="C171" s="60" t="s">
        <v>27</v>
      </c>
      <c r="D171" s="61">
        <v>151</v>
      </c>
      <c r="E171" s="61">
        <v>163</v>
      </c>
      <c r="F171" s="61">
        <f t="shared" si="17"/>
        <v>314</v>
      </c>
    </row>
    <row r="172" spans="1:6" ht="15" customHeight="1" x14ac:dyDescent="0.3">
      <c r="A172" s="60" t="s">
        <v>28</v>
      </c>
      <c r="B172" s="61">
        <v>0</v>
      </c>
      <c r="C172" s="60" t="s">
        <v>28</v>
      </c>
      <c r="D172" s="61">
        <v>155</v>
      </c>
      <c r="E172" s="61">
        <v>104</v>
      </c>
      <c r="F172" s="61">
        <f t="shared" si="17"/>
        <v>259</v>
      </c>
    </row>
    <row r="173" spans="1:6" ht="15" customHeight="1" x14ac:dyDescent="0.3">
      <c r="A173" s="60" t="s">
        <v>29</v>
      </c>
      <c r="B173" s="61">
        <v>0</v>
      </c>
      <c r="C173" s="60" t="s">
        <v>29</v>
      </c>
      <c r="D173" s="61">
        <v>152</v>
      </c>
      <c r="E173" s="61">
        <v>139</v>
      </c>
      <c r="F173" s="61">
        <f t="shared" si="17"/>
        <v>291</v>
      </c>
    </row>
    <row r="174" spans="1:6" ht="15" customHeight="1" x14ac:dyDescent="0.3">
      <c r="A174" s="65">
        <v>2012</v>
      </c>
      <c r="B174" s="81">
        <v>0</v>
      </c>
      <c r="C174" s="65">
        <v>2012</v>
      </c>
      <c r="D174" s="81">
        <f>SUM(D175:D186)</f>
        <v>2072</v>
      </c>
      <c r="E174" s="81">
        <f t="shared" ref="E174:F174" si="18">SUM(E175:E186)</f>
        <v>1508</v>
      </c>
      <c r="F174" s="81">
        <f t="shared" si="18"/>
        <v>3580</v>
      </c>
    </row>
    <row r="175" spans="1:6" ht="15" customHeight="1" x14ac:dyDescent="0.3">
      <c r="A175" s="60" t="s">
        <v>18</v>
      </c>
      <c r="B175" s="61">
        <v>0</v>
      </c>
      <c r="C175" s="60" t="s">
        <v>18</v>
      </c>
      <c r="D175" s="61">
        <v>116</v>
      </c>
      <c r="E175" s="61">
        <v>98</v>
      </c>
      <c r="F175" s="61">
        <f>SUM(D175:E175)</f>
        <v>214</v>
      </c>
    </row>
    <row r="176" spans="1:6" ht="15" customHeight="1" x14ac:dyDescent="0.3">
      <c r="A176" s="60" t="s">
        <v>19</v>
      </c>
      <c r="B176" s="61">
        <v>0</v>
      </c>
      <c r="C176" s="60" t="s">
        <v>19</v>
      </c>
      <c r="D176" s="61">
        <v>56</v>
      </c>
      <c r="E176" s="61">
        <v>70</v>
      </c>
      <c r="F176" s="61">
        <f t="shared" ref="F176:F186" si="19">SUM(D176:E176)</f>
        <v>126</v>
      </c>
    </row>
    <row r="177" spans="1:6" ht="15" customHeight="1" x14ac:dyDescent="0.3">
      <c r="A177" s="60" t="s">
        <v>20</v>
      </c>
      <c r="B177" s="61">
        <v>0</v>
      </c>
      <c r="C177" s="60" t="s">
        <v>20</v>
      </c>
      <c r="D177" s="61">
        <v>108</v>
      </c>
      <c r="E177" s="61">
        <v>124</v>
      </c>
      <c r="F177" s="61">
        <f t="shared" si="19"/>
        <v>232</v>
      </c>
    </row>
    <row r="178" spans="1:6" ht="15" customHeight="1" x14ac:dyDescent="0.3">
      <c r="A178" s="60" t="s">
        <v>21</v>
      </c>
      <c r="B178" s="61">
        <v>0</v>
      </c>
      <c r="C178" s="60" t="s">
        <v>21</v>
      </c>
      <c r="D178" s="61">
        <v>228</v>
      </c>
      <c r="E178" s="61">
        <v>157</v>
      </c>
      <c r="F178" s="61">
        <f t="shared" si="19"/>
        <v>385</v>
      </c>
    </row>
    <row r="179" spans="1:6" ht="15" customHeight="1" x14ac:dyDescent="0.3">
      <c r="A179" s="60" t="s">
        <v>22</v>
      </c>
      <c r="B179" s="61">
        <v>0</v>
      </c>
      <c r="C179" s="60" t="s">
        <v>22</v>
      </c>
      <c r="D179" s="61">
        <v>170</v>
      </c>
      <c r="E179" s="61">
        <v>100</v>
      </c>
      <c r="F179" s="61">
        <f t="shared" si="19"/>
        <v>270</v>
      </c>
    </row>
    <row r="180" spans="1:6" ht="15" customHeight="1" x14ac:dyDescent="0.3">
      <c r="A180" s="60" t="s">
        <v>23</v>
      </c>
      <c r="B180" s="61">
        <v>0</v>
      </c>
      <c r="C180" s="60" t="s">
        <v>23</v>
      </c>
      <c r="D180" s="61">
        <v>227</v>
      </c>
      <c r="E180" s="61">
        <v>131</v>
      </c>
      <c r="F180" s="61">
        <f t="shared" si="19"/>
        <v>358</v>
      </c>
    </row>
    <row r="181" spans="1:6" ht="15" customHeight="1" x14ac:dyDescent="0.3">
      <c r="A181" s="60" t="s">
        <v>24</v>
      </c>
      <c r="B181" s="61">
        <v>0</v>
      </c>
      <c r="C181" s="60" t="s">
        <v>24</v>
      </c>
      <c r="D181" s="61">
        <v>267</v>
      </c>
      <c r="E181" s="61">
        <v>168</v>
      </c>
      <c r="F181" s="61">
        <f t="shared" si="19"/>
        <v>435</v>
      </c>
    </row>
    <row r="182" spans="1:6" ht="15" customHeight="1" x14ac:dyDescent="0.3">
      <c r="A182" s="60" t="s">
        <v>25</v>
      </c>
      <c r="B182" s="61">
        <v>0</v>
      </c>
      <c r="C182" s="60" t="s">
        <v>25</v>
      </c>
      <c r="D182" s="61">
        <v>247</v>
      </c>
      <c r="E182" s="61">
        <v>155</v>
      </c>
      <c r="F182" s="61">
        <f t="shared" si="19"/>
        <v>402</v>
      </c>
    </row>
    <row r="183" spans="1:6" ht="15" customHeight="1" x14ac:dyDescent="0.3">
      <c r="A183" s="60" t="s">
        <v>26</v>
      </c>
      <c r="B183" s="61">
        <v>0</v>
      </c>
      <c r="C183" s="60" t="s">
        <v>26</v>
      </c>
      <c r="D183" s="61">
        <v>230</v>
      </c>
      <c r="E183" s="61">
        <v>143</v>
      </c>
      <c r="F183" s="61">
        <f t="shared" si="19"/>
        <v>373</v>
      </c>
    </row>
    <row r="184" spans="1:6" ht="15" customHeight="1" x14ac:dyDescent="0.3">
      <c r="A184" s="60" t="s">
        <v>27</v>
      </c>
      <c r="B184" s="61">
        <v>0</v>
      </c>
      <c r="C184" s="60" t="s">
        <v>27</v>
      </c>
      <c r="D184" s="61">
        <v>142</v>
      </c>
      <c r="E184" s="61">
        <v>122</v>
      </c>
      <c r="F184" s="61">
        <f t="shared" si="19"/>
        <v>264</v>
      </c>
    </row>
    <row r="185" spans="1:6" ht="15" customHeight="1" x14ac:dyDescent="0.3">
      <c r="A185" s="60" t="s">
        <v>28</v>
      </c>
      <c r="B185" s="61">
        <v>0</v>
      </c>
      <c r="C185" s="60" t="s">
        <v>28</v>
      </c>
      <c r="D185" s="61">
        <v>139</v>
      </c>
      <c r="E185" s="61">
        <v>82</v>
      </c>
      <c r="F185" s="61">
        <f t="shared" si="19"/>
        <v>221</v>
      </c>
    </row>
    <row r="186" spans="1:6" ht="15" customHeight="1" x14ac:dyDescent="0.3">
      <c r="A186" s="60" t="s">
        <v>29</v>
      </c>
      <c r="B186" s="61">
        <v>0</v>
      </c>
      <c r="C186" s="60" t="s">
        <v>29</v>
      </c>
      <c r="D186" s="61">
        <v>142</v>
      </c>
      <c r="E186" s="61">
        <v>158</v>
      </c>
      <c r="F186" s="61">
        <f t="shared" si="19"/>
        <v>300</v>
      </c>
    </row>
    <row r="187" spans="1:6" ht="15" customHeight="1" x14ac:dyDescent="0.3">
      <c r="A187" s="65">
        <v>2011</v>
      </c>
      <c r="B187" s="81">
        <v>0</v>
      </c>
      <c r="C187" s="65">
        <v>2011</v>
      </c>
      <c r="D187" s="81">
        <f>SUM(D188:D199)</f>
        <v>2294</v>
      </c>
      <c r="E187" s="81">
        <f t="shared" ref="E187:F187" si="20">SUM(E188:E199)</f>
        <v>1622</v>
      </c>
      <c r="F187" s="81">
        <f t="shared" si="20"/>
        <v>3916</v>
      </c>
    </row>
    <row r="188" spans="1:6" ht="15" customHeight="1" x14ac:dyDescent="0.3">
      <c r="A188" s="60" t="s">
        <v>18</v>
      </c>
      <c r="B188" s="61">
        <v>0</v>
      </c>
      <c r="C188" s="60" t="s">
        <v>18</v>
      </c>
      <c r="D188" s="61">
        <v>162</v>
      </c>
      <c r="E188" s="61">
        <v>118</v>
      </c>
      <c r="F188" s="61">
        <f>SUM(D188:E188)</f>
        <v>280</v>
      </c>
    </row>
    <row r="189" spans="1:6" ht="15" customHeight="1" x14ac:dyDescent="0.3">
      <c r="A189" s="60" t="s">
        <v>19</v>
      </c>
      <c r="B189" s="61">
        <v>0</v>
      </c>
      <c r="C189" s="60" t="s">
        <v>19</v>
      </c>
      <c r="D189" s="61">
        <v>127</v>
      </c>
      <c r="E189" s="61">
        <v>107</v>
      </c>
      <c r="F189" s="61">
        <f t="shared" ref="F189:F199" si="21">SUM(D189:E189)</f>
        <v>234</v>
      </c>
    </row>
    <row r="190" spans="1:6" ht="15" customHeight="1" x14ac:dyDescent="0.3">
      <c r="A190" s="60" t="s">
        <v>20</v>
      </c>
      <c r="B190" s="61">
        <v>0</v>
      </c>
      <c r="C190" s="60" t="s">
        <v>20</v>
      </c>
      <c r="D190" s="61">
        <v>169</v>
      </c>
      <c r="E190" s="61">
        <v>121</v>
      </c>
      <c r="F190" s="61">
        <f t="shared" si="21"/>
        <v>290</v>
      </c>
    </row>
    <row r="191" spans="1:6" ht="15" customHeight="1" x14ac:dyDescent="0.3">
      <c r="A191" s="60" t="s">
        <v>21</v>
      </c>
      <c r="B191" s="61">
        <v>0</v>
      </c>
      <c r="C191" s="60" t="s">
        <v>21</v>
      </c>
      <c r="D191" s="61">
        <v>242</v>
      </c>
      <c r="E191" s="61">
        <v>163</v>
      </c>
      <c r="F191" s="61">
        <f t="shared" si="21"/>
        <v>405</v>
      </c>
    </row>
    <row r="192" spans="1:6" ht="15" customHeight="1" x14ac:dyDescent="0.3">
      <c r="A192" s="60" t="s">
        <v>22</v>
      </c>
      <c r="B192" s="61">
        <v>0</v>
      </c>
      <c r="C192" s="60" t="s">
        <v>22</v>
      </c>
      <c r="D192" s="61">
        <v>225</v>
      </c>
      <c r="E192" s="61">
        <v>154</v>
      </c>
      <c r="F192" s="61">
        <f t="shared" si="21"/>
        <v>379</v>
      </c>
    </row>
    <row r="193" spans="1:6" ht="15" customHeight="1" x14ac:dyDescent="0.3">
      <c r="A193" s="60" t="s">
        <v>23</v>
      </c>
      <c r="B193" s="61">
        <v>0</v>
      </c>
      <c r="C193" s="60" t="s">
        <v>23</v>
      </c>
      <c r="D193" s="61">
        <v>225</v>
      </c>
      <c r="E193" s="61">
        <v>133</v>
      </c>
      <c r="F193" s="61">
        <f t="shared" si="21"/>
        <v>358</v>
      </c>
    </row>
    <row r="194" spans="1:6" ht="15" customHeight="1" x14ac:dyDescent="0.3">
      <c r="A194" s="60" t="s">
        <v>24</v>
      </c>
      <c r="B194" s="61">
        <v>0</v>
      </c>
      <c r="C194" s="60" t="s">
        <v>24</v>
      </c>
      <c r="D194" s="61">
        <v>247</v>
      </c>
      <c r="E194" s="61">
        <v>191</v>
      </c>
      <c r="F194" s="61">
        <f t="shared" si="21"/>
        <v>438</v>
      </c>
    </row>
    <row r="195" spans="1:6" ht="15" customHeight="1" x14ac:dyDescent="0.3">
      <c r="A195" s="60" t="s">
        <v>25</v>
      </c>
      <c r="B195" s="61">
        <v>0</v>
      </c>
      <c r="C195" s="60" t="s">
        <v>25</v>
      </c>
      <c r="D195" s="61">
        <v>299</v>
      </c>
      <c r="E195" s="61">
        <v>141</v>
      </c>
      <c r="F195" s="61">
        <f t="shared" si="21"/>
        <v>440</v>
      </c>
    </row>
    <row r="196" spans="1:6" ht="15" customHeight="1" x14ac:dyDescent="0.3">
      <c r="A196" s="60" t="s">
        <v>26</v>
      </c>
      <c r="B196" s="61">
        <v>0</v>
      </c>
      <c r="C196" s="60" t="s">
        <v>26</v>
      </c>
      <c r="D196" s="61">
        <v>200</v>
      </c>
      <c r="E196" s="61">
        <v>162</v>
      </c>
      <c r="F196" s="61">
        <f t="shared" si="21"/>
        <v>362</v>
      </c>
    </row>
    <row r="197" spans="1:6" ht="15" customHeight="1" x14ac:dyDescent="0.3">
      <c r="A197" s="60" t="s">
        <v>27</v>
      </c>
      <c r="B197" s="61">
        <v>0</v>
      </c>
      <c r="C197" s="60" t="s">
        <v>27</v>
      </c>
      <c r="D197" s="61">
        <v>147</v>
      </c>
      <c r="E197" s="61">
        <v>125</v>
      </c>
      <c r="F197" s="61">
        <f t="shared" si="21"/>
        <v>272</v>
      </c>
    </row>
    <row r="198" spans="1:6" ht="15" customHeight="1" x14ac:dyDescent="0.3">
      <c r="A198" s="60" t="s">
        <v>28</v>
      </c>
      <c r="B198" s="61">
        <v>0</v>
      </c>
      <c r="C198" s="60" t="s">
        <v>28</v>
      </c>
      <c r="D198" s="61">
        <v>97</v>
      </c>
      <c r="E198" s="61">
        <v>108</v>
      </c>
      <c r="F198" s="61">
        <f t="shared" si="21"/>
        <v>205</v>
      </c>
    </row>
    <row r="199" spans="1:6" ht="15" customHeight="1" x14ac:dyDescent="0.3">
      <c r="A199" s="60" t="s">
        <v>29</v>
      </c>
      <c r="B199" s="61">
        <v>0</v>
      </c>
      <c r="C199" s="60" t="s">
        <v>29</v>
      </c>
      <c r="D199" s="61">
        <v>154</v>
      </c>
      <c r="E199" s="61">
        <v>99</v>
      </c>
      <c r="F199" s="61">
        <f t="shared" si="21"/>
        <v>253</v>
      </c>
    </row>
    <row r="200" spans="1:6" ht="15" customHeight="1" x14ac:dyDescent="0.3">
      <c r="A200" s="65">
        <v>2010</v>
      </c>
      <c r="B200" s="81">
        <f>SUM(B201:B212)</f>
        <v>0</v>
      </c>
      <c r="C200" s="65">
        <v>2010</v>
      </c>
      <c r="D200" s="81">
        <f>SUM(D201:D212)</f>
        <v>1298</v>
      </c>
      <c r="E200" s="81">
        <f t="shared" ref="E200:F200" si="22">SUM(E201:E212)</f>
        <v>768</v>
      </c>
      <c r="F200" s="81">
        <f t="shared" si="22"/>
        <v>2066</v>
      </c>
    </row>
    <row r="201" spans="1:6" ht="15" customHeight="1" x14ac:dyDescent="0.3">
      <c r="A201" s="60" t="s">
        <v>18</v>
      </c>
      <c r="B201" s="61">
        <v>0</v>
      </c>
      <c r="C201" s="60" t="s">
        <v>18</v>
      </c>
      <c r="D201" s="61">
        <v>68</v>
      </c>
      <c r="E201" s="61">
        <v>0</v>
      </c>
      <c r="F201" s="61">
        <f>SUM(D201:E201)</f>
        <v>68</v>
      </c>
    </row>
    <row r="202" spans="1:6" ht="15" customHeight="1" x14ac:dyDescent="0.3">
      <c r="A202" s="60" t="s">
        <v>19</v>
      </c>
      <c r="B202" s="61">
        <v>0</v>
      </c>
      <c r="C202" s="60" t="s">
        <v>19</v>
      </c>
      <c r="D202" s="61">
        <v>0</v>
      </c>
      <c r="E202" s="61">
        <v>0</v>
      </c>
      <c r="F202" s="61">
        <f t="shared" ref="F202:F212" si="23">SUM(D202:E202)</f>
        <v>0</v>
      </c>
    </row>
    <row r="203" spans="1:6" ht="15" customHeight="1" x14ac:dyDescent="0.3">
      <c r="A203" s="60" t="s">
        <v>20</v>
      </c>
      <c r="B203" s="61">
        <v>0</v>
      </c>
      <c r="C203" s="60" t="s">
        <v>20</v>
      </c>
      <c r="D203" s="61">
        <v>0</v>
      </c>
      <c r="E203" s="61">
        <v>0</v>
      </c>
      <c r="F203" s="61">
        <f t="shared" si="23"/>
        <v>0</v>
      </c>
    </row>
    <row r="204" spans="1:6" ht="15" customHeight="1" x14ac:dyDescent="0.3">
      <c r="A204" s="60" t="s">
        <v>21</v>
      </c>
      <c r="B204" s="61">
        <v>0</v>
      </c>
      <c r="C204" s="60" t="s">
        <v>21</v>
      </c>
      <c r="D204" s="61">
        <v>0</v>
      </c>
      <c r="E204" s="61">
        <v>0</v>
      </c>
      <c r="F204" s="61">
        <f t="shared" si="23"/>
        <v>0</v>
      </c>
    </row>
    <row r="205" spans="1:6" ht="15" customHeight="1" x14ac:dyDescent="0.3">
      <c r="A205" s="60" t="s">
        <v>22</v>
      </c>
      <c r="B205" s="61">
        <v>0</v>
      </c>
      <c r="C205" s="60" t="s">
        <v>22</v>
      </c>
      <c r="D205" s="61">
        <v>0</v>
      </c>
      <c r="E205" s="61">
        <v>0</v>
      </c>
      <c r="F205" s="61">
        <f t="shared" si="23"/>
        <v>0</v>
      </c>
    </row>
    <row r="206" spans="1:6" ht="15" customHeight="1" x14ac:dyDescent="0.3">
      <c r="A206" s="60" t="s">
        <v>23</v>
      </c>
      <c r="B206" s="61">
        <v>0</v>
      </c>
      <c r="C206" s="60" t="s">
        <v>23</v>
      </c>
      <c r="D206" s="61">
        <v>0</v>
      </c>
      <c r="E206" s="61">
        <v>0</v>
      </c>
      <c r="F206" s="61">
        <f t="shared" si="23"/>
        <v>0</v>
      </c>
    </row>
    <row r="207" spans="1:6" ht="15" customHeight="1" x14ac:dyDescent="0.3">
      <c r="A207" s="60" t="s">
        <v>24</v>
      </c>
      <c r="B207" s="61">
        <v>0</v>
      </c>
      <c r="C207" s="60" t="s">
        <v>24</v>
      </c>
      <c r="D207" s="61">
        <v>210</v>
      </c>
      <c r="E207" s="61">
        <v>89</v>
      </c>
      <c r="F207" s="61">
        <f t="shared" si="23"/>
        <v>299</v>
      </c>
    </row>
    <row r="208" spans="1:6" ht="15" customHeight="1" x14ac:dyDescent="0.3">
      <c r="A208" s="60" t="s">
        <v>25</v>
      </c>
      <c r="B208" s="61">
        <v>0</v>
      </c>
      <c r="C208" s="60" t="s">
        <v>25</v>
      </c>
      <c r="D208" s="61">
        <v>254</v>
      </c>
      <c r="E208" s="61">
        <v>145</v>
      </c>
      <c r="F208" s="61">
        <f t="shared" si="23"/>
        <v>399</v>
      </c>
    </row>
    <row r="209" spans="1:6" ht="15" customHeight="1" x14ac:dyDescent="0.3">
      <c r="A209" s="60" t="s">
        <v>26</v>
      </c>
      <c r="B209" s="61">
        <v>0</v>
      </c>
      <c r="C209" s="60" t="s">
        <v>26</v>
      </c>
      <c r="D209" s="61">
        <v>226</v>
      </c>
      <c r="E209" s="61">
        <v>148</v>
      </c>
      <c r="F209" s="61">
        <f t="shared" si="23"/>
        <v>374</v>
      </c>
    </row>
    <row r="210" spans="1:6" ht="15" customHeight="1" x14ac:dyDescent="0.3">
      <c r="A210" s="60" t="s">
        <v>27</v>
      </c>
      <c r="B210" s="61">
        <v>0</v>
      </c>
      <c r="C210" s="60" t="s">
        <v>27</v>
      </c>
      <c r="D210" s="61">
        <v>207</v>
      </c>
      <c r="E210" s="61">
        <v>117</v>
      </c>
      <c r="F210" s="61">
        <f t="shared" si="23"/>
        <v>324</v>
      </c>
    </row>
    <row r="211" spans="1:6" ht="15" customHeight="1" x14ac:dyDescent="0.3">
      <c r="A211" s="60" t="s">
        <v>28</v>
      </c>
      <c r="B211" s="61">
        <v>0</v>
      </c>
      <c r="C211" s="60" t="s">
        <v>28</v>
      </c>
      <c r="D211" s="61">
        <v>161</v>
      </c>
      <c r="E211" s="61">
        <v>149</v>
      </c>
      <c r="F211" s="61">
        <f t="shared" si="23"/>
        <v>310</v>
      </c>
    </row>
    <row r="212" spans="1:6" ht="15" customHeight="1" x14ac:dyDescent="0.3">
      <c r="A212" s="60" t="s">
        <v>29</v>
      </c>
      <c r="B212" s="61">
        <v>0</v>
      </c>
      <c r="C212" s="60" t="s">
        <v>29</v>
      </c>
      <c r="D212" s="61">
        <v>172</v>
      </c>
      <c r="E212" s="61">
        <v>120</v>
      </c>
      <c r="F212" s="61">
        <f t="shared" si="23"/>
        <v>292</v>
      </c>
    </row>
    <row r="213" spans="1:6" ht="15" customHeight="1" x14ac:dyDescent="0.3">
      <c r="A213" s="4" t="s">
        <v>94</v>
      </c>
      <c r="D213" s="2"/>
      <c r="E213" s="2"/>
      <c r="F213" s="2"/>
    </row>
    <row r="214" spans="1:6" ht="15" customHeight="1" x14ac:dyDescent="0.3">
      <c r="C214" s="3"/>
      <c r="D214" s="3"/>
      <c r="E214" s="3"/>
      <c r="F214" s="3"/>
    </row>
  </sheetData>
  <mergeCells count="2">
    <mergeCell ref="C3:F3"/>
    <mergeCell ref="A3:B3"/>
  </mergeCells>
  <pageMargins left="0.70866141732283472" right="0.70866141732283472" top="0.74803149606299213" bottom="0.74803149606299213" header="0.31496062992125984" footer="0.31496062992125984"/>
  <pageSetup paperSize="9" fitToHeight="0" orientation="landscape" r:id="rId1"/>
  <headerFooter>
    <oddHeader>&amp;R&amp;G</oddHeader>
    <oddFooter>&amp;L&amp;F&amp;C&amp;P / &amp;N&amp;R&amp;A</oddFooter>
  </headerFooter>
  <rowBreaks count="3" manualBreakCount="3">
    <brk id="134" max="16383" man="1"/>
    <brk id="160" max="16383" man="1"/>
    <brk id="186" max="16383" man="1"/>
  </rowBreaks>
  <ignoredErrors>
    <ignoredError sqref="F122 F109" formula="1"/>
    <ignoredError sqref="B96" formulaRange="1"/>
  </ignoredError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3:T15"/>
  <sheetViews>
    <sheetView showGridLines="0" zoomScaleNormal="100" workbookViewId="0">
      <pane xSplit="1" topLeftCell="B1" activePane="topRight" state="frozen"/>
      <selection activeCell="B14" sqref="B14"/>
      <selection pane="topRight" activeCell="R5" sqref="R5:R14"/>
    </sheetView>
  </sheetViews>
  <sheetFormatPr defaultRowHeight="15" customHeight="1" x14ac:dyDescent="0.3"/>
  <cols>
    <col min="1" max="1" width="14.6640625" style="13" customWidth="1"/>
    <col min="2" max="2" width="17.6640625" style="13" bestFit="1" customWidth="1"/>
    <col min="3" max="3" width="6.33203125" style="13" bestFit="1" customWidth="1"/>
    <col min="4" max="5" width="7" style="13" bestFit="1" customWidth="1"/>
    <col min="6" max="6" width="8.33203125" style="13" bestFit="1" customWidth="1"/>
    <col min="7" max="8" width="7" style="13" bestFit="1" customWidth="1"/>
    <col min="9" max="13" width="9.109375" style="13" bestFit="1" customWidth="1"/>
    <col min="14" max="18" width="9.109375" style="13" customWidth="1"/>
    <col min="19" max="16384" width="8.88671875" style="13"/>
  </cols>
  <sheetData>
    <row r="3" spans="1:20" ht="15" customHeight="1" x14ac:dyDescent="0.3">
      <c r="A3" s="102" t="s">
        <v>129</v>
      </c>
      <c r="B3" s="102"/>
      <c r="C3" s="102"/>
      <c r="D3" s="102"/>
      <c r="E3" s="102"/>
      <c r="F3" s="102"/>
      <c r="G3" s="102"/>
      <c r="H3" s="102"/>
      <c r="I3" s="102"/>
      <c r="J3" s="102"/>
      <c r="K3" s="102"/>
      <c r="L3" s="102"/>
      <c r="M3" s="102"/>
      <c r="N3" s="102"/>
      <c r="O3" s="102"/>
      <c r="P3" s="102"/>
      <c r="Q3" s="102"/>
      <c r="R3" s="102"/>
    </row>
    <row r="4" spans="1:20" ht="15" customHeight="1" x14ac:dyDescent="0.3">
      <c r="A4" s="71" t="s">
        <v>86</v>
      </c>
      <c r="B4" s="72"/>
      <c r="C4" s="79">
        <v>2010</v>
      </c>
      <c r="D4" s="79">
        <v>2011</v>
      </c>
      <c r="E4" s="79">
        <v>2012</v>
      </c>
      <c r="F4" s="79">
        <v>2013</v>
      </c>
      <c r="G4" s="79">
        <v>2014</v>
      </c>
      <c r="H4" s="79">
        <v>2015</v>
      </c>
      <c r="I4" s="79">
        <v>2016</v>
      </c>
      <c r="J4" s="79">
        <v>2017</v>
      </c>
      <c r="K4" s="79">
        <v>2018</v>
      </c>
      <c r="L4" s="79">
        <v>2019</v>
      </c>
      <c r="M4" s="79">
        <v>2020</v>
      </c>
      <c r="N4" s="79">
        <v>2021</v>
      </c>
      <c r="O4" s="79">
        <v>2022</v>
      </c>
      <c r="P4" s="79">
        <v>2023</v>
      </c>
      <c r="Q4" s="79">
        <v>2024</v>
      </c>
      <c r="R4" s="79">
        <v>2025</v>
      </c>
      <c r="S4" s="58"/>
      <c r="T4" s="58"/>
    </row>
    <row r="5" spans="1:20" ht="15" customHeight="1" x14ac:dyDescent="0.3">
      <c r="A5" s="103" t="s">
        <v>2</v>
      </c>
      <c r="B5" s="12" t="s">
        <v>9</v>
      </c>
      <c r="C5" s="59">
        <v>0</v>
      </c>
      <c r="D5" s="59">
        <v>0</v>
      </c>
      <c r="E5" s="59">
        <v>0</v>
      </c>
      <c r="F5" s="59">
        <v>0</v>
      </c>
      <c r="G5" s="59">
        <v>0</v>
      </c>
      <c r="H5" s="59">
        <v>0</v>
      </c>
      <c r="I5" s="59">
        <v>188</v>
      </c>
      <c r="J5" s="59">
        <v>200</v>
      </c>
      <c r="K5" s="59">
        <v>261</v>
      </c>
      <c r="L5" s="59">
        <v>180</v>
      </c>
      <c r="M5" s="59">
        <v>81</v>
      </c>
      <c r="N5" s="59">
        <v>155</v>
      </c>
      <c r="O5" s="59">
        <v>265</v>
      </c>
      <c r="P5" s="59">
        <v>210</v>
      </c>
      <c r="Q5" s="59">
        <v>372</v>
      </c>
      <c r="R5" s="59">
        <v>301</v>
      </c>
    </row>
    <row r="6" spans="1:20" ht="15" customHeight="1" x14ac:dyDescent="0.3">
      <c r="A6" s="103"/>
      <c r="B6" s="12" t="s">
        <v>81</v>
      </c>
      <c r="C6" s="59">
        <v>0</v>
      </c>
      <c r="D6" s="59">
        <v>0</v>
      </c>
      <c r="E6" s="59">
        <v>0</v>
      </c>
      <c r="F6" s="59">
        <v>0</v>
      </c>
      <c r="G6" s="59">
        <v>0</v>
      </c>
      <c r="H6" s="59">
        <v>0</v>
      </c>
      <c r="I6" s="59">
        <v>0</v>
      </c>
      <c r="J6" s="59">
        <v>0</v>
      </c>
      <c r="K6" s="59">
        <v>0</v>
      </c>
      <c r="L6" s="59">
        <v>0</v>
      </c>
      <c r="M6" s="59">
        <v>0</v>
      </c>
      <c r="N6" s="59">
        <v>0</v>
      </c>
      <c r="O6" s="59">
        <v>0</v>
      </c>
      <c r="P6" s="59">
        <v>0</v>
      </c>
      <c r="Q6" s="59">
        <v>0</v>
      </c>
      <c r="R6" s="59">
        <v>0</v>
      </c>
    </row>
    <row r="7" spans="1:20" ht="15" customHeight="1" x14ac:dyDescent="0.3">
      <c r="A7" s="104" t="s">
        <v>3</v>
      </c>
      <c r="B7" s="13" t="s">
        <v>9</v>
      </c>
      <c r="C7" s="15">
        <v>0</v>
      </c>
      <c r="D7" s="15">
        <v>3070</v>
      </c>
      <c r="E7" s="15">
        <v>4230</v>
      </c>
      <c r="F7" s="15">
        <v>3443</v>
      </c>
      <c r="G7" s="15">
        <v>0</v>
      </c>
      <c r="H7" s="15">
        <v>0</v>
      </c>
      <c r="I7" s="15">
        <v>2013</v>
      </c>
      <c r="J7" s="15">
        <v>3906</v>
      </c>
      <c r="K7" s="15">
        <v>5942</v>
      </c>
      <c r="L7" s="15">
        <v>7039</v>
      </c>
      <c r="M7" s="15">
        <v>1757</v>
      </c>
      <c r="N7" s="15">
        <v>3199</v>
      </c>
      <c r="O7" s="15">
        <v>6461</v>
      </c>
      <c r="P7" s="15">
        <v>7235</v>
      </c>
      <c r="Q7" s="15">
        <v>8138</v>
      </c>
      <c r="R7" s="15">
        <v>7730</v>
      </c>
    </row>
    <row r="8" spans="1:20" ht="15" customHeight="1" x14ac:dyDescent="0.3">
      <c r="A8" s="104"/>
      <c r="B8" s="13" t="s">
        <v>81</v>
      </c>
      <c r="C8" s="15">
        <v>0</v>
      </c>
      <c r="D8" s="15">
        <v>0</v>
      </c>
      <c r="E8" s="15">
        <v>198</v>
      </c>
      <c r="F8" s="15">
        <v>1276</v>
      </c>
      <c r="G8" s="15">
        <v>1593</v>
      </c>
      <c r="H8" s="15">
        <v>2135</v>
      </c>
      <c r="I8" s="15">
        <v>1335</v>
      </c>
      <c r="J8" s="15">
        <v>627</v>
      </c>
      <c r="K8" s="15">
        <v>1338</v>
      </c>
      <c r="L8" s="15">
        <v>1175</v>
      </c>
      <c r="M8" s="15">
        <v>122</v>
      </c>
      <c r="N8" s="15">
        <v>768</v>
      </c>
      <c r="O8" s="15">
        <v>723</v>
      </c>
      <c r="P8" s="15">
        <v>994</v>
      </c>
      <c r="Q8" s="15">
        <v>1056</v>
      </c>
      <c r="R8" s="15">
        <v>843</v>
      </c>
    </row>
    <row r="9" spans="1:20" ht="15" customHeight="1" x14ac:dyDescent="0.3">
      <c r="A9" s="103" t="s">
        <v>4</v>
      </c>
      <c r="B9" s="12" t="s">
        <v>9</v>
      </c>
      <c r="C9" s="59">
        <v>0</v>
      </c>
      <c r="D9" s="59">
        <v>0</v>
      </c>
      <c r="E9" s="59">
        <v>2022</v>
      </c>
      <c r="F9" s="59">
        <v>5965</v>
      </c>
      <c r="G9" s="59">
        <v>5148</v>
      </c>
      <c r="H9" s="59">
        <v>5879</v>
      </c>
      <c r="I9" s="59">
        <v>4516</v>
      </c>
      <c r="J9" s="59">
        <v>6353</v>
      </c>
      <c r="K9" s="59">
        <v>9533</v>
      </c>
      <c r="L9" s="59">
        <v>7726</v>
      </c>
      <c r="M9" s="59">
        <v>2758</v>
      </c>
      <c r="N9" s="59">
        <v>3364</v>
      </c>
      <c r="O9" s="59">
        <v>9424</v>
      </c>
      <c r="P9" s="59">
        <v>14152</v>
      </c>
      <c r="Q9" s="59">
        <v>14350</v>
      </c>
      <c r="R9" s="59">
        <v>11585</v>
      </c>
    </row>
    <row r="10" spans="1:20" ht="15" customHeight="1" x14ac:dyDescent="0.3">
      <c r="A10" s="103"/>
      <c r="B10" s="12" t="s">
        <v>81</v>
      </c>
      <c r="C10" s="59">
        <v>0</v>
      </c>
      <c r="D10" s="59">
        <v>9792</v>
      </c>
      <c r="E10" s="59">
        <v>6424</v>
      </c>
      <c r="F10" s="59">
        <v>389</v>
      </c>
      <c r="G10" s="59">
        <v>153</v>
      </c>
      <c r="H10" s="59">
        <v>35</v>
      </c>
      <c r="I10" s="59">
        <v>0</v>
      </c>
      <c r="J10" s="59">
        <v>0</v>
      </c>
      <c r="K10" s="59">
        <v>42</v>
      </c>
      <c r="L10" s="59">
        <v>18</v>
      </c>
      <c r="M10" s="59">
        <v>181</v>
      </c>
      <c r="N10" s="59">
        <v>32</v>
      </c>
      <c r="O10" s="59">
        <v>259</v>
      </c>
      <c r="P10" s="59">
        <v>69</v>
      </c>
      <c r="Q10" s="59">
        <v>601</v>
      </c>
      <c r="R10" s="59">
        <v>562</v>
      </c>
    </row>
    <row r="11" spans="1:20" ht="15" customHeight="1" x14ac:dyDescent="0.3">
      <c r="A11" s="104" t="s">
        <v>5</v>
      </c>
      <c r="B11" s="13" t="s">
        <v>9</v>
      </c>
      <c r="C11" s="15">
        <v>790</v>
      </c>
      <c r="D11" s="15">
        <v>579</v>
      </c>
      <c r="E11" s="15">
        <v>1271</v>
      </c>
      <c r="F11" s="15">
        <v>2842</v>
      </c>
      <c r="G11" s="15">
        <v>1857</v>
      </c>
      <c r="H11" s="15">
        <v>1572</v>
      </c>
      <c r="I11" s="15">
        <v>1853</v>
      </c>
      <c r="J11" s="15">
        <v>1486</v>
      </c>
      <c r="K11" s="15">
        <v>1691</v>
      </c>
      <c r="L11" s="15">
        <v>1693</v>
      </c>
      <c r="M11" s="15">
        <v>434</v>
      </c>
      <c r="N11" s="15">
        <v>1076</v>
      </c>
      <c r="O11" s="15">
        <v>1211</v>
      </c>
      <c r="P11" s="15">
        <v>1744</v>
      </c>
      <c r="Q11" s="15">
        <v>2026</v>
      </c>
      <c r="R11" s="15">
        <v>2121</v>
      </c>
    </row>
    <row r="12" spans="1:20" ht="15" customHeight="1" x14ac:dyDescent="0.3">
      <c r="A12" s="104"/>
      <c r="B12" s="13" t="s">
        <v>81</v>
      </c>
      <c r="C12" s="15">
        <v>0</v>
      </c>
      <c r="D12" s="15">
        <v>0</v>
      </c>
      <c r="E12" s="15">
        <v>0</v>
      </c>
      <c r="F12" s="15">
        <v>515</v>
      </c>
      <c r="G12" s="15">
        <v>894</v>
      </c>
      <c r="H12" s="15">
        <v>509</v>
      </c>
      <c r="I12" s="15">
        <v>983</v>
      </c>
      <c r="J12" s="15">
        <v>636</v>
      </c>
      <c r="K12" s="15">
        <v>630</v>
      </c>
      <c r="L12" s="15">
        <v>743</v>
      </c>
      <c r="M12" s="15">
        <v>265</v>
      </c>
      <c r="N12" s="15">
        <v>183</v>
      </c>
      <c r="O12" s="15">
        <v>725</v>
      </c>
      <c r="P12" s="15">
        <v>1983</v>
      </c>
      <c r="Q12" s="15">
        <v>1375</v>
      </c>
      <c r="R12" s="15">
        <v>837</v>
      </c>
    </row>
    <row r="13" spans="1:20" ht="15" customHeight="1" x14ac:dyDescent="0.3">
      <c r="A13" s="105" t="s">
        <v>1</v>
      </c>
      <c r="B13" s="73" t="s">
        <v>9</v>
      </c>
      <c r="C13" s="77">
        <f>C5+C7+C9+C11</f>
        <v>790</v>
      </c>
      <c r="D13" s="77">
        <f t="shared" ref="D13:K14" si="0">D5+D7+D9+D11</f>
        <v>3649</v>
      </c>
      <c r="E13" s="77">
        <f t="shared" si="0"/>
        <v>7523</v>
      </c>
      <c r="F13" s="77">
        <f t="shared" si="0"/>
        <v>12250</v>
      </c>
      <c r="G13" s="77">
        <f t="shared" si="0"/>
        <v>7005</v>
      </c>
      <c r="H13" s="77">
        <f t="shared" si="0"/>
        <v>7451</v>
      </c>
      <c r="I13" s="77">
        <f t="shared" si="0"/>
        <v>8570</v>
      </c>
      <c r="J13" s="77">
        <f t="shared" si="0"/>
        <v>11945</v>
      </c>
      <c r="K13" s="77">
        <f t="shared" si="0"/>
        <v>17427</v>
      </c>
      <c r="L13" s="77">
        <f t="shared" ref="L13:M13" si="1">L5+L7+L9+L11</f>
        <v>16638</v>
      </c>
      <c r="M13" s="77">
        <f t="shared" si="1"/>
        <v>5030</v>
      </c>
      <c r="N13" s="77">
        <f t="shared" ref="N13:O13" si="2">N5+N7+N9+N11</f>
        <v>7794</v>
      </c>
      <c r="O13" s="77">
        <f t="shared" si="2"/>
        <v>17361</v>
      </c>
      <c r="P13" s="77">
        <f t="shared" ref="P13" si="3">P5+P7+P9+P11</f>
        <v>23341</v>
      </c>
      <c r="Q13" s="77">
        <v>24886</v>
      </c>
      <c r="R13" s="77">
        <v>21737</v>
      </c>
    </row>
    <row r="14" spans="1:20" ht="15" customHeight="1" x14ac:dyDescent="0.3">
      <c r="A14" s="105"/>
      <c r="B14" s="73" t="s">
        <v>81</v>
      </c>
      <c r="C14" s="77">
        <f>C6+C8+C10+C12</f>
        <v>0</v>
      </c>
      <c r="D14" s="77">
        <f t="shared" si="0"/>
        <v>9792</v>
      </c>
      <c r="E14" s="77">
        <f t="shared" si="0"/>
        <v>6622</v>
      </c>
      <c r="F14" s="77">
        <f t="shared" si="0"/>
        <v>2180</v>
      </c>
      <c r="G14" s="77">
        <f t="shared" si="0"/>
        <v>2640</v>
      </c>
      <c r="H14" s="77">
        <f t="shared" si="0"/>
        <v>2679</v>
      </c>
      <c r="I14" s="77">
        <f t="shared" si="0"/>
        <v>2318</v>
      </c>
      <c r="J14" s="77">
        <f t="shared" si="0"/>
        <v>1263</v>
      </c>
      <c r="K14" s="77">
        <f t="shared" si="0"/>
        <v>2010</v>
      </c>
      <c r="L14" s="77">
        <f t="shared" ref="L14:M14" si="4">L6+L8+L10+L12</f>
        <v>1936</v>
      </c>
      <c r="M14" s="77">
        <f t="shared" si="4"/>
        <v>568</v>
      </c>
      <c r="N14" s="77">
        <f t="shared" ref="N14:O14" si="5">N6+N8+N10+N12</f>
        <v>983</v>
      </c>
      <c r="O14" s="77">
        <f t="shared" si="5"/>
        <v>1707</v>
      </c>
      <c r="P14" s="77">
        <f t="shared" ref="P14" si="6">P6+P8+P10+P12</f>
        <v>3046</v>
      </c>
      <c r="Q14" s="77">
        <v>3032</v>
      </c>
      <c r="R14" s="77">
        <v>2242</v>
      </c>
    </row>
    <row r="15" spans="1:20" ht="15" customHeight="1" x14ac:dyDescent="0.3">
      <c r="A15" s="4" t="s">
        <v>95</v>
      </c>
    </row>
  </sheetData>
  <mergeCells count="6">
    <mergeCell ref="A3:R3"/>
    <mergeCell ref="A13:A14"/>
    <mergeCell ref="A5:A6"/>
    <mergeCell ref="A7:A8"/>
    <mergeCell ref="A9:A10"/>
    <mergeCell ref="A11:A12"/>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Cover Page </vt:lpstr>
      <vt:lpstr>Explanatory Notes</vt:lpstr>
      <vt:lpstr>Key Figures</vt:lpstr>
      <vt:lpstr>Employment</vt:lpstr>
      <vt:lpstr>Hotel Capacity</vt:lpstr>
      <vt:lpstr>STR capacity</vt:lpstr>
      <vt:lpstr>Rooms for Rent Capacity</vt:lpstr>
      <vt:lpstr>Arrivals-Overnights-Occupancy</vt:lpstr>
      <vt:lpstr>short stay_Arriv-Overnights</vt:lpstr>
      <vt:lpstr>Domestic Air Arrivals</vt:lpstr>
      <vt:lpstr>Admissions to Museums</vt:lpstr>
      <vt:lpstr>'Admissions to Museums'!Print_Area</vt:lpstr>
      <vt:lpstr>'Cover Page '!Print_Area</vt:lpstr>
      <vt:lpstr>'Explanatory Notes'!Print_Area</vt:lpstr>
      <vt:lpstr>'Hotel Capacity'!Print_Area</vt:lpstr>
      <vt:lpstr>'Domestic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2017-11-16T11:42:24Z</cp:lastPrinted>
  <dcterms:created xsi:type="dcterms:W3CDTF">2016-07-19T08:35:01Z</dcterms:created>
  <dcterms:modified xsi:type="dcterms:W3CDTF">2026-05-12T08:27:34Z</dcterms:modified>
</cp:coreProperties>
</file>