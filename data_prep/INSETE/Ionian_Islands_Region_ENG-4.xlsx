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63" documentId="13_ncr:1_{83EC2962-84A3-48A0-AB61-F67E9D5305E4}" xr6:coauthVersionLast="47" xr6:coauthVersionMax="47" xr10:uidLastSave="{672143CE-6C8D-42EC-AAB8-4536D4FC6E1A}"/>
  <bookViews>
    <workbookView xWindow="-108" yWindow="-108" windowWidth="23256" windowHeight="12456" tabRatio="737"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7" r:id="rId6"/>
    <sheet name="Rooms for Rent Capacity" sheetId="13" r:id="rId7"/>
    <sheet name="Arrivals-Overnights-Occupancy" sheetId="3" r:id="rId8"/>
    <sheet name="short stay_Arriv-Overnights" sheetId="16" r:id="rId9"/>
    <sheet name="Intern-Domestic Air Arrivals" sheetId="5" r:id="rId10"/>
    <sheet name="Domestic Traffic in Ports" sheetId="7" r:id="rId11"/>
    <sheet name="Intern. Traffic in ports " sheetId="15" r:id="rId12"/>
    <sheet name="Cruise Ship Traffic" sheetId="14" r:id="rId13"/>
    <sheet name="Admissions to Museums" sheetId="2" r:id="rId14"/>
  </sheets>
  <definedNames>
    <definedName name="_xlnm.Print_Area" localSheetId="13">'Admissions to Museums'!$A$1:$M$17</definedName>
    <definedName name="_xlnm.Print_Area" localSheetId="0">'Cover Page'!$A$1:$O$26</definedName>
    <definedName name="_xlnm.Print_Area" localSheetId="10">'Domestic Traffic in Ports'!$A$1:$F$262</definedName>
    <definedName name="_xlnm.Print_Area" localSheetId="3">Employment!$A$1:$L$16</definedName>
    <definedName name="_xlnm.Print_Area" localSheetId="1">'Explanatory Notes'!$A$1:$O$20</definedName>
    <definedName name="_xlnm.Print_Area" localSheetId="9">'Intern-Domestic Air Arrivals'!$A$1:$L$213</definedName>
    <definedName name="_xlnm.Print_Titles" localSheetId="10">'Domestic Traffic in Ports'!$3:$4</definedName>
    <definedName name="_xlnm.Print_Titles" localSheetId="9">'Intern-Domestic Air Arrivals'!$3:$4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3" i="1" l="1"/>
  <c r="F23" i="1"/>
  <c r="E23" i="1"/>
  <c r="D23" i="1"/>
  <c r="C23" i="1"/>
  <c r="G22" i="1"/>
  <c r="F22" i="1"/>
  <c r="E22" i="1"/>
  <c r="D22" i="1"/>
  <c r="C22" i="1"/>
  <c r="G21" i="1"/>
  <c r="F21" i="1"/>
  <c r="E21" i="1"/>
  <c r="D21" i="1"/>
  <c r="C21" i="1"/>
  <c r="H20" i="1"/>
  <c r="H19" i="1"/>
  <c r="H18" i="1"/>
  <c r="H17" i="1"/>
  <c r="H16" i="1"/>
  <c r="H15" i="1"/>
  <c r="H14" i="1"/>
  <c r="H13" i="1"/>
  <c r="H12" i="1"/>
  <c r="H11" i="1"/>
  <c r="H10" i="1"/>
  <c r="H9" i="1"/>
  <c r="H8" i="1"/>
  <c r="H7" i="1"/>
  <c r="H6" i="1"/>
  <c r="O11" i="14"/>
  <c r="O12" i="14"/>
  <c r="N11" i="14"/>
  <c r="N12" i="14"/>
  <c r="G47" i="1"/>
  <c r="F47" i="1"/>
  <c r="E47" i="1"/>
  <c r="D47" i="1"/>
  <c r="C47" i="1"/>
  <c r="G46" i="1"/>
  <c r="F46" i="1"/>
  <c r="E46" i="1"/>
  <c r="D46" i="1"/>
  <c r="C46" i="1"/>
  <c r="G45" i="1"/>
  <c r="F45" i="1"/>
  <c r="E45" i="1"/>
  <c r="D45" i="1"/>
  <c r="C45" i="1"/>
  <c r="H44" i="1"/>
  <c r="H43" i="1"/>
  <c r="H42" i="1"/>
  <c r="H41" i="1"/>
  <c r="H40" i="1"/>
  <c r="H39" i="1"/>
  <c r="H38" i="1"/>
  <c r="H37" i="1"/>
  <c r="H36" i="1"/>
  <c r="H35" i="1"/>
  <c r="H34" i="1"/>
  <c r="H46" i="1"/>
  <c r="H33" i="1"/>
  <c r="H32" i="1"/>
  <c r="H47" i="1"/>
  <c r="H31" i="1"/>
  <c r="H30" i="1"/>
  <c r="P15" i="2"/>
  <c r="P16" i="2"/>
  <c r="O9" i="10"/>
  <c r="O6" i="10"/>
  <c r="O10" i="10"/>
  <c r="N6" i="10"/>
  <c r="N10" i="10"/>
  <c r="N9" i="10"/>
  <c r="M11" i="14"/>
  <c r="M12" i="14"/>
  <c r="G71" i="1"/>
  <c r="F71" i="1"/>
  <c r="E71" i="1"/>
  <c r="D71" i="1"/>
  <c r="C71" i="1"/>
  <c r="G70" i="1"/>
  <c r="F70" i="1"/>
  <c r="E70" i="1"/>
  <c r="D70" i="1"/>
  <c r="C70" i="1"/>
  <c r="G69" i="1"/>
  <c r="F69" i="1"/>
  <c r="E69" i="1"/>
  <c r="D69" i="1"/>
  <c r="C69" i="1"/>
  <c r="H68" i="1"/>
  <c r="H67" i="1"/>
  <c r="H66" i="1"/>
  <c r="H65" i="1"/>
  <c r="H64" i="1"/>
  <c r="H63" i="1"/>
  <c r="H62" i="1"/>
  <c r="H61" i="1"/>
  <c r="H60" i="1"/>
  <c r="H59" i="1"/>
  <c r="H58" i="1"/>
  <c r="H57" i="1"/>
  <c r="H56" i="1"/>
  <c r="H55" i="1"/>
  <c r="H70" i="1"/>
  <c r="H54" i="1"/>
  <c r="H69" i="1"/>
  <c r="O15" i="2"/>
  <c r="O16" i="2"/>
  <c r="G95" i="1"/>
  <c r="F95" i="1"/>
  <c r="E95" i="1"/>
  <c r="D95" i="1"/>
  <c r="C95" i="1"/>
  <c r="G94" i="1"/>
  <c r="F94" i="1"/>
  <c r="E94" i="1"/>
  <c r="D94" i="1"/>
  <c r="C94" i="1"/>
  <c r="G93" i="1"/>
  <c r="F93" i="1"/>
  <c r="E93" i="1"/>
  <c r="D93" i="1"/>
  <c r="C93" i="1"/>
  <c r="H92" i="1"/>
  <c r="H91" i="1"/>
  <c r="H90" i="1"/>
  <c r="H89" i="1"/>
  <c r="H88" i="1"/>
  <c r="H87" i="1"/>
  <c r="H86" i="1"/>
  <c r="H85" i="1"/>
  <c r="H84" i="1"/>
  <c r="H93" i="1"/>
  <c r="H83" i="1"/>
  <c r="H82" i="1"/>
  <c r="H81" i="1"/>
  <c r="H80" i="1"/>
  <c r="H95" i="1"/>
  <c r="H79" i="1"/>
  <c r="H94" i="1"/>
  <c r="H78" i="1"/>
  <c r="L11" i="14"/>
  <c r="L12" i="14"/>
  <c r="H71" i="1"/>
  <c r="N15" i="2"/>
  <c r="N16" i="2"/>
  <c r="F76" i="11"/>
  <c r="G76" i="11"/>
  <c r="D77" i="11"/>
  <c r="C77" i="11"/>
  <c r="F77" i="11"/>
  <c r="E77" i="11"/>
  <c r="G77" i="11"/>
  <c r="H77" i="11"/>
  <c r="G78" i="11"/>
  <c r="F78" i="11"/>
  <c r="H78" i="11"/>
  <c r="G75" i="11"/>
  <c r="F75" i="11"/>
  <c r="H75" i="11"/>
  <c r="G74" i="11"/>
  <c r="F74" i="11"/>
  <c r="H74" i="11"/>
  <c r="G73" i="11"/>
  <c r="F73" i="11"/>
  <c r="H73" i="11"/>
  <c r="G72" i="11"/>
  <c r="F72" i="11"/>
  <c r="G71" i="11"/>
  <c r="F71" i="11"/>
  <c r="G70" i="11"/>
  <c r="F70" i="11"/>
  <c r="G69" i="11"/>
  <c r="F69" i="11"/>
  <c r="H69" i="11"/>
  <c r="G119" i="1"/>
  <c r="F119" i="1"/>
  <c r="E119" i="1"/>
  <c r="D119" i="1"/>
  <c r="C119" i="1"/>
  <c r="G118" i="1"/>
  <c r="F118" i="1"/>
  <c r="E118" i="1"/>
  <c r="D118" i="1"/>
  <c r="C118" i="1"/>
  <c r="G117" i="1"/>
  <c r="F117" i="1"/>
  <c r="E117" i="1"/>
  <c r="D117" i="1"/>
  <c r="C117" i="1"/>
  <c r="H116" i="1"/>
  <c r="H115" i="1"/>
  <c r="H114" i="1"/>
  <c r="H113" i="1"/>
  <c r="H112" i="1"/>
  <c r="H111" i="1"/>
  <c r="H110" i="1"/>
  <c r="H109" i="1"/>
  <c r="H108" i="1"/>
  <c r="H107" i="1"/>
  <c r="H106" i="1"/>
  <c r="H105" i="1"/>
  <c r="H104" i="1"/>
  <c r="H119" i="1"/>
  <c r="H103" i="1"/>
  <c r="H118" i="1"/>
  <c r="H102" i="1"/>
  <c r="H117" i="1"/>
  <c r="H71" i="11"/>
  <c r="L69" i="5"/>
  <c r="F69" i="5"/>
  <c r="L68" i="5"/>
  <c r="F68" i="5"/>
  <c r="L67" i="5"/>
  <c r="F67" i="5"/>
  <c r="L66" i="5"/>
  <c r="F66" i="5"/>
  <c r="L65" i="5"/>
  <c r="F65" i="5"/>
  <c r="L64" i="5"/>
  <c r="F64" i="5"/>
  <c r="L63" i="5"/>
  <c r="F63" i="5"/>
  <c r="L62" i="5"/>
  <c r="F62" i="5"/>
  <c r="L61" i="5"/>
  <c r="F61" i="5"/>
  <c r="L60" i="5"/>
  <c r="F60" i="5"/>
  <c r="L59" i="5"/>
  <c r="F59" i="5"/>
  <c r="L58" i="5"/>
  <c r="F58" i="5"/>
  <c r="K57" i="5"/>
  <c r="J57" i="5"/>
  <c r="I57" i="5"/>
  <c r="H57" i="5"/>
  <c r="E57" i="5"/>
  <c r="D57" i="5"/>
  <c r="C57" i="5"/>
  <c r="B57" i="5"/>
  <c r="K12" i="14"/>
  <c r="J12" i="14"/>
  <c r="I12" i="14"/>
  <c r="H12" i="14"/>
  <c r="G12" i="14"/>
  <c r="F12" i="14"/>
  <c r="E12" i="14"/>
  <c r="D12" i="14"/>
  <c r="C12" i="14"/>
  <c r="K11" i="14"/>
  <c r="J11" i="14"/>
  <c r="I11" i="14"/>
  <c r="H11" i="14"/>
  <c r="G11" i="14"/>
  <c r="F11" i="14"/>
  <c r="E11" i="14"/>
  <c r="D11" i="14"/>
  <c r="C11" i="14"/>
  <c r="F89" i="7"/>
  <c r="F90" i="7"/>
  <c r="F91" i="7"/>
  <c r="F92" i="7"/>
  <c r="F93" i="7"/>
  <c r="F94" i="7"/>
  <c r="F95" i="7"/>
  <c r="F96" i="7"/>
  <c r="F97" i="7"/>
  <c r="F98" i="7"/>
  <c r="F99" i="7"/>
  <c r="F100" i="7"/>
  <c r="F101" i="7"/>
  <c r="F102" i="7"/>
  <c r="F103" i="7"/>
  <c r="F104" i="7"/>
  <c r="F105" i="7"/>
  <c r="F106" i="7"/>
  <c r="F88" i="7"/>
  <c r="F107" i="7"/>
  <c r="E107" i="7"/>
  <c r="D107" i="7"/>
  <c r="M15" i="2"/>
  <c r="M16" i="2"/>
  <c r="G93" i="11"/>
  <c r="F93" i="11"/>
  <c r="E92" i="11"/>
  <c r="D92" i="11"/>
  <c r="G92" i="11"/>
  <c r="C92" i="11"/>
  <c r="F92" i="11"/>
  <c r="H92" i="11"/>
  <c r="G91" i="11"/>
  <c r="F91" i="11"/>
  <c r="H91" i="11"/>
  <c r="G90" i="11"/>
  <c r="F90" i="11"/>
  <c r="G89" i="11"/>
  <c r="F89" i="11"/>
  <c r="G88" i="11"/>
  <c r="F88" i="11"/>
  <c r="G87" i="11"/>
  <c r="F87" i="11"/>
  <c r="H87" i="11"/>
  <c r="G86" i="11"/>
  <c r="F86" i="11"/>
  <c r="H86" i="11"/>
  <c r="G85" i="11"/>
  <c r="F85" i="11"/>
  <c r="H85" i="11"/>
  <c r="L82" i="5"/>
  <c r="F82" i="5"/>
  <c r="L81" i="5"/>
  <c r="F81" i="5"/>
  <c r="L80" i="5"/>
  <c r="F80" i="5"/>
  <c r="L79" i="5"/>
  <c r="F79" i="5"/>
  <c r="L78" i="5"/>
  <c r="F78" i="5"/>
  <c r="L77" i="5"/>
  <c r="F77" i="5"/>
  <c r="L76" i="5"/>
  <c r="F76" i="5"/>
  <c r="L75" i="5"/>
  <c r="F75" i="5"/>
  <c r="L74" i="5"/>
  <c r="L71" i="5"/>
  <c r="L72" i="5"/>
  <c r="L73" i="5"/>
  <c r="L70" i="5"/>
  <c r="F74" i="5"/>
  <c r="F73" i="5"/>
  <c r="F72" i="5"/>
  <c r="F71" i="5"/>
  <c r="K70" i="5"/>
  <c r="J70" i="5"/>
  <c r="I70" i="5"/>
  <c r="H70" i="5"/>
  <c r="E70" i="5"/>
  <c r="D70" i="5"/>
  <c r="C70" i="5"/>
  <c r="B70" i="5"/>
  <c r="G143" i="1"/>
  <c r="F143" i="1"/>
  <c r="E143" i="1"/>
  <c r="D143" i="1"/>
  <c r="C143" i="1"/>
  <c r="G142" i="1"/>
  <c r="F142" i="1"/>
  <c r="E142" i="1"/>
  <c r="D142" i="1"/>
  <c r="C142" i="1"/>
  <c r="G141" i="1"/>
  <c r="F141" i="1"/>
  <c r="E141" i="1"/>
  <c r="D141" i="1"/>
  <c r="C141" i="1"/>
  <c r="H140" i="1"/>
  <c r="H139" i="1"/>
  <c r="H138" i="1"/>
  <c r="H137" i="1"/>
  <c r="H136" i="1"/>
  <c r="H135" i="1"/>
  <c r="H134" i="1"/>
  <c r="H143" i="1"/>
  <c r="H133" i="1"/>
  <c r="H132" i="1"/>
  <c r="H131" i="1"/>
  <c r="H128" i="1"/>
  <c r="H130" i="1"/>
  <c r="H129" i="1"/>
  <c r="H127" i="1"/>
  <c r="H126" i="1"/>
  <c r="H141" i="1"/>
  <c r="L15" i="2"/>
  <c r="L16" i="2"/>
  <c r="H90" i="11"/>
  <c r="H93" i="11"/>
  <c r="H89" i="11"/>
  <c r="H142" i="1"/>
  <c r="K9" i="10"/>
  <c r="K10" i="10"/>
  <c r="L95" i="5"/>
  <c r="F95" i="5"/>
  <c r="L94" i="5"/>
  <c r="F94" i="5"/>
  <c r="L93" i="5"/>
  <c r="F93" i="5"/>
  <c r="L92" i="5"/>
  <c r="F92" i="5"/>
  <c r="L91" i="5"/>
  <c r="F91" i="5"/>
  <c r="L90" i="5"/>
  <c r="F90" i="5"/>
  <c r="L89" i="5"/>
  <c r="F89" i="5"/>
  <c r="L88" i="5"/>
  <c r="F88" i="5"/>
  <c r="L87" i="5"/>
  <c r="F87" i="5"/>
  <c r="L86" i="5"/>
  <c r="F86" i="5"/>
  <c r="L85" i="5"/>
  <c r="F85" i="5"/>
  <c r="L84" i="5"/>
  <c r="L83" i="5"/>
  <c r="F84" i="5"/>
  <c r="K83" i="5"/>
  <c r="J83" i="5"/>
  <c r="I83" i="5"/>
  <c r="H83" i="5"/>
  <c r="E83" i="5"/>
  <c r="D83" i="5"/>
  <c r="C83" i="5"/>
  <c r="B83" i="5"/>
  <c r="G109" i="11"/>
  <c r="F109" i="11"/>
  <c r="E108" i="11"/>
  <c r="D108" i="11"/>
  <c r="G108" i="11"/>
  <c r="C108" i="11"/>
  <c r="G107" i="11"/>
  <c r="F107" i="11"/>
  <c r="H107" i="11"/>
  <c r="G106" i="11"/>
  <c r="F106" i="11"/>
  <c r="H106" i="11"/>
  <c r="G105" i="11"/>
  <c r="F105" i="11"/>
  <c r="G104" i="11"/>
  <c r="F104" i="11"/>
  <c r="G103" i="11"/>
  <c r="F103" i="11"/>
  <c r="H103" i="11"/>
  <c r="G102" i="11"/>
  <c r="F102" i="11"/>
  <c r="H102" i="11"/>
  <c r="G101" i="11"/>
  <c r="F101" i="11"/>
  <c r="G100" i="11"/>
  <c r="F100" i="11"/>
  <c r="H100" i="11"/>
  <c r="H109" i="11"/>
  <c r="H101" i="11"/>
  <c r="H104" i="11"/>
  <c r="F108" i="11"/>
  <c r="H108" i="11"/>
  <c r="G167" i="1"/>
  <c r="F167" i="1"/>
  <c r="E167" i="1"/>
  <c r="D167" i="1"/>
  <c r="C167" i="1"/>
  <c r="G166" i="1"/>
  <c r="F166" i="1"/>
  <c r="E166" i="1"/>
  <c r="D166" i="1"/>
  <c r="C166" i="1"/>
  <c r="G165" i="1"/>
  <c r="F165" i="1"/>
  <c r="E165" i="1"/>
  <c r="D165" i="1"/>
  <c r="C165" i="1"/>
  <c r="H164" i="1"/>
  <c r="H152" i="1"/>
  <c r="H155" i="1"/>
  <c r="H158" i="1"/>
  <c r="H161" i="1"/>
  <c r="H167" i="1"/>
  <c r="H163" i="1"/>
  <c r="H162" i="1"/>
  <c r="H160" i="1"/>
  <c r="H159" i="1"/>
  <c r="H157" i="1"/>
  <c r="H156" i="1"/>
  <c r="H154" i="1"/>
  <c r="H153" i="1"/>
  <c r="H151" i="1"/>
  <c r="H166" i="1"/>
  <c r="H150" i="1"/>
  <c r="H165" i="1"/>
  <c r="F23" i="13"/>
  <c r="E23" i="13"/>
  <c r="D23" i="13"/>
  <c r="C23" i="13"/>
  <c r="F22" i="13"/>
  <c r="E22" i="13"/>
  <c r="D22" i="13"/>
  <c r="C22" i="13"/>
  <c r="F21" i="13"/>
  <c r="E21" i="13"/>
  <c r="D21" i="13"/>
  <c r="C21" i="13"/>
  <c r="G20" i="13"/>
  <c r="G19" i="13"/>
  <c r="G18" i="13"/>
  <c r="G17" i="13"/>
  <c r="G16" i="13"/>
  <c r="G15" i="13"/>
  <c r="G14" i="13"/>
  <c r="G13" i="13"/>
  <c r="G12" i="13"/>
  <c r="G11" i="13"/>
  <c r="G10" i="13"/>
  <c r="G9" i="13"/>
  <c r="G8" i="13"/>
  <c r="G7" i="13"/>
  <c r="G6" i="13"/>
  <c r="G22" i="13"/>
  <c r="G23" i="13"/>
  <c r="G21" i="13"/>
  <c r="E151" i="7"/>
  <c r="D151" i="7"/>
  <c r="F150" i="7"/>
  <c r="F149" i="7"/>
  <c r="F148" i="7"/>
  <c r="F147" i="7"/>
  <c r="F146" i="7"/>
  <c r="F145" i="7"/>
  <c r="F144" i="7"/>
  <c r="F143" i="7"/>
  <c r="F142" i="7"/>
  <c r="F141" i="7"/>
  <c r="F140" i="7"/>
  <c r="F139" i="7"/>
  <c r="F138" i="7"/>
  <c r="F137" i="7"/>
  <c r="F136" i="7"/>
  <c r="F135" i="7"/>
  <c r="F134" i="7"/>
  <c r="F133" i="7"/>
  <c r="F132" i="7"/>
  <c r="F131" i="7"/>
  <c r="F130" i="7"/>
  <c r="F151" i="7"/>
  <c r="K16" i="2"/>
  <c r="K15" i="2"/>
  <c r="J5" i="10"/>
  <c r="J9" i="10"/>
  <c r="J6" i="10"/>
  <c r="J10" i="10"/>
  <c r="G125" i="11"/>
  <c r="F125" i="11"/>
  <c r="H125" i="11"/>
  <c r="E124" i="11"/>
  <c r="D124" i="11"/>
  <c r="G124" i="11"/>
  <c r="C124" i="11"/>
  <c r="G123" i="11"/>
  <c r="F123" i="11"/>
  <c r="H123" i="11"/>
  <c r="G122" i="11"/>
  <c r="F122" i="11"/>
  <c r="H122" i="11"/>
  <c r="G121" i="11"/>
  <c r="F121" i="11"/>
  <c r="H121" i="11"/>
  <c r="G120" i="11"/>
  <c r="F120" i="11"/>
  <c r="G119" i="11"/>
  <c r="F119" i="11"/>
  <c r="G118" i="11"/>
  <c r="F118" i="11"/>
  <c r="G117" i="11"/>
  <c r="F117" i="11"/>
  <c r="H117" i="11"/>
  <c r="G116" i="11"/>
  <c r="F116" i="11"/>
  <c r="E141" i="11"/>
  <c r="D141" i="11"/>
  <c r="C141" i="11"/>
  <c r="G140" i="11"/>
  <c r="F140" i="11"/>
  <c r="G139" i="11"/>
  <c r="F139" i="11"/>
  <c r="G138" i="11"/>
  <c r="F138" i="11"/>
  <c r="H138" i="11"/>
  <c r="G137" i="11"/>
  <c r="F137" i="11"/>
  <c r="G136" i="11"/>
  <c r="F136" i="11"/>
  <c r="H136" i="11"/>
  <c r="G135" i="11"/>
  <c r="F135" i="11"/>
  <c r="G134" i="11"/>
  <c r="F134" i="11"/>
  <c r="G133" i="11"/>
  <c r="F133" i="11"/>
  <c r="G132" i="11"/>
  <c r="F132" i="11"/>
  <c r="E157" i="11"/>
  <c r="D157" i="11"/>
  <c r="C157" i="11"/>
  <c r="G156" i="11"/>
  <c r="F156" i="11"/>
  <c r="G155" i="11"/>
  <c r="F155" i="11"/>
  <c r="H155" i="11"/>
  <c r="G154" i="11"/>
  <c r="F154" i="11"/>
  <c r="G153" i="11"/>
  <c r="F153" i="11"/>
  <c r="G152" i="11"/>
  <c r="F152" i="11"/>
  <c r="G151" i="11"/>
  <c r="F151" i="11"/>
  <c r="H151" i="11"/>
  <c r="G150" i="11"/>
  <c r="F150" i="11"/>
  <c r="H150" i="11"/>
  <c r="G149" i="11"/>
  <c r="F149" i="11"/>
  <c r="G148" i="11"/>
  <c r="F148" i="11"/>
  <c r="H152" i="11"/>
  <c r="H116" i="11"/>
  <c r="H140" i="11"/>
  <c r="H156" i="11"/>
  <c r="H137" i="11"/>
  <c r="H134" i="11"/>
  <c r="H148" i="11"/>
  <c r="H154" i="11"/>
  <c r="H132" i="11"/>
  <c r="H118" i="11"/>
  <c r="H133" i="11"/>
  <c r="H135" i="11"/>
  <c r="F141" i="11"/>
  <c r="G191" i="1"/>
  <c r="F191" i="1"/>
  <c r="E191" i="1"/>
  <c r="D191" i="1"/>
  <c r="C191" i="1"/>
  <c r="G190" i="1"/>
  <c r="F190" i="1"/>
  <c r="E190" i="1"/>
  <c r="D190" i="1"/>
  <c r="C190" i="1"/>
  <c r="G189" i="1"/>
  <c r="F189" i="1"/>
  <c r="E189" i="1"/>
  <c r="D189" i="1"/>
  <c r="C189" i="1"/>
  <c r="H188" i="1"/>
  <c r="H187" i="1"/>
  <c r="H186" i="1"/>
  <c r="H185" i="1"/>
  <c r="H184" i="1"/>
  <c r="H183" i="1"/>
  <c r="H182" i="1"/>
  <c r="H181" i="1"/>
  <c r="H180" i="1"/>
  <c r="H179" i="1"/>
  <c r="H178" i="1"/>
  <c r="H177" i="1"/>
  <c r="H174" i="1"/>
  <c r="H189" i="1"/>
  <c r="H176" i="1"/>
  <c r="H191" i="1"/>
  <c r="H175" i="1"/>
  <c r="H190" i="1"/>
  <c r="F47" i="13"/>
  <c r="E47" i="13"/>
  <c r="D47" i="13"/>
  <c r="C47" i="13"/>
  <c r="F46" i="13"/>
  <c r="E46" i="13"/>
  <c r="D46" i="13"/>
  <c r="C46" i="13"/>
  <c r="F45" i="13"/>
  <c r="E45" i="13"/>
  <c r="D45" i="13"/>
  <c r="C45" i="13"/>
  <c r="G44" i="13"/>
  <c r="G43" i="13"/>
  <c r="G42" i="13"/>
  <c r="G41" i="13"/>
  <c r="G40" i="13"/>
  <c r="G39" i="13"/>
  <c r="G38" i="13"/>
  <c r="G37" i="13"/>
  <c r="G36" i="13"/>
  <c r="G35" i="13"/>
  <c r="G34" i="13"/>
  <c r="G33" i="13"/>
  <c r="G30" i="13"/>
  <c r="G45" i="13"/>
  <c r="G32" i="13"/>
  <c r="G31" i="13"/>
  <c r="G46" i="13"/>
  <c r="G47" i="13"/>
  <c r="L108" i="5"/>
  <c r="F108" i="5"/>
  <c r="L107" i="5"/>
  <c r="F107" i="5"/>
  <c r="L106" i="5"/>
  <c r="F106" i="5"/>
  <c r="L105" i="5"/>
  <c r="F105" i="5"/>
  <c r="L104" i="5"/>
  <c r="F104" i="5"/>
  <c r="L103" i="5"/>
  <c r="F103" i="5"/>
  <c r="L102" i="5"/>
  <c r="F102" i="5"/>
  <c r="L101" i="5"/>
  <c r="F101" i="5"/>
  <c r="L100" i="5"/>
  <c r="F100" i="5"/>
  <c r="L99" i="5"/>
  <c r="F99" i="5"/>
  <c r="L98" i="5"/>
  <c r="F98" i="5"/>
  <c r="L97" i="5"/>
  <c r="F97" i="5"/>
  <c r="F96" i="5"/>
  <c r="K96" i="5"/>
  <c r="J96" i="5"/>
  <c r="I96" i="5"/>
  <c r="H96" i="5"/>
  <c r="E96" i="5"/>
  <c r="D96" i="5"/>
  <c r="C96" i="5"/>
  <c r="B96" i="5"/>
  <c r="F260" i="7"/>
  <c r="F216" i="7"/>
  <c r="F194" i="7"/>
  <c r="F172" i="7"/>
  <c r="E173" i="7"/>
  <c r="D173" i="7"/>
  <c r="F171" i="7"/>
  <c r="F170" i="7"/>
  <c r="F169" i="7"/>
  <c r="F168" i="7"/>
  <c r="F167" i="7"/>
  <c r="F166" i="7"/>
  <c r="F165" i="7"/>
  <c r="F164" i="7"/>
  <c r="F163" i="7"/>
  <c r="F162" i="7"/>
  <c r="F161" i="7"/>
  <c r="F160" i="7"/>
  <c r="F159" i="7"/>
  <c r="F158" i="7"/>
  <c r="F157" i="7"/>
  <c r="F156" i="7"/>
  <c r="F155" i="7"/>
  <c r="F154" i="7"/>
  <c r="F153" i="7"/>
  <c r="F152" i="7"/>
  <c r="F173" i="7"/>
  <c r="J16" i="2"/>
  <c r="J15" i="2"/>
  <c r="I9" i="10"/>
  <c r="I6" i="10"/>
  <c r="I10" i="10"/>
  <c r="H201" i="1"/>
  <c r="H198" i="1"/>
  <c r="H213" i="1"/>
  <c r="H204" i="1"/>
  <c r="H207" i="1"/>
  <c r="H210" i="1"/>
  <c r="H202" i="1"/>
  <c r="H203" i="1"/>
  <c r="C213" i="1"/>
  <c r="D213" i="1"/>
  <c r="E213" i="1"/>
  <c r="F213" i="1"/>
  <c r="G213" i="1"/>
  <c r="C214" i="1"/>
  <c r="D214" i="1"/>
  <c r="E214" i="1"/>
  <c r="F214" i="1"/>
  <c r="G214" i="1"/>
  <c r="C215" i="1"/>
  <c r="D215" i="1"/>
  <c r="E215" i="1"/>
  <c r="F215" i="1"/>
  <c r="G215" i="1"/>
  <c r="H212" i="1"/>
  <c r="H211" i="1"/>
  <c r="H209" i="1"/>
  <c r="H208" i="1"/>
  <c r="H206" i="1"/>
  <c r="H205" i="1"/>
  <c r="H200" i="1"/>
  <c r="H215" i="1"/>
  <c r="H199" i="1"/>
  <c r="H214" i="1"/>
  <c r="L111" i="5"/>
  <c r="L112" i="5"/>
  <c r="L113" i="5"/>
  <c r="L114" i="5"/>
  <c r="L115" i="5"/>
  <c r="L116" i="5"/>
  <c r="L117" i="5"/>
  <c r="L118" i="5"/>
  <c r="L119" i="5"/>
  <c r="L120" i="5"/>
  <c r="L121" i="5"/>
  <c r="L110" i="5"/>
  <c r="F111" i="5"/>
  <c r="F112" i="5"/>
  <c r="F113" i="5"/>
  <c r="F114" i="5"/>
  <c r="F115" i="5"/>
  <c r="F116" i="5"/>
  <c r="F117" i="5"/>
  <c r="F118" i="5"/>
  <c r="F119" i="5"/>
  <c r="F120" i="5"/>
  <c r="F121" i="5"/>
  <c r="I109" i="5"/>
  <c r="J109" i="5"/>
  <c r="K109" i="5"/>
  <c r="H109" i="5"/>
  <c r="C109" i="5"/>
  <c r="D109" i="5"/>
  <c r="E109" i="5"/>
  <c r="C70" i="13"/>
  <c r="D70" i="13"/>
  <c r="E70" i="13"/>
  <c r="F70" i="13"/>
  <c r="C71" i="13"/>
  <c r="D71" i="13"/>
  <c r="E71" i="13"/>
  <c r="F71" i="13"/>
  <c r="D69" i="13"/>
  <c r="E69" i="13"/>
  <c r="F69" i="13"/>
  <c r="C69" i="13"/>
  <c r="G65" i="13"/>
  <c r="G64" i="13"/>
  <c r="G63" i="13"/>
  <c r="G62" i="13"/>
  <c r="G61" i="13"/>
  <c r="G60" i="13"/>
  <c r="G56" i="13"/>
  <c r="G55" i="13"/>
  <c r="G54" i="13"/>
  <c r="G68" i="13"/>
  <c r="G67" i="13"/>
  <c r="G66" i="13"/>
  <c r="G59" i="13"/>
  <c r="G58" i="13"/>
  <c r="G57" i="13"/>
  <c r="G69" i="13"/>
  <c r="G71" i="13"/>
  <c r="G70" i="13"/>
  <c r="E195" i="7"/>
  <c r="D195" i="7"/>
  <c r="F193" i="7"/>
  <c r="F192" i="7"/>
  <c r="F191" i="7"/>
  <c r="F190" i="7"/>
  <c r="F189" i="7"/>
  <c r="F188" i="7"/>
  <c r="F187" i="7"/>
  <c r="F186" i="7"/>
  <c r="F185" i="7"/>
  <c r="F184" i="7"/>
  <c r="F183" i="7"/>
  <c r="F182" i="7"/>
  <c r="F181" i="7"/>
  <c r="F180" i="7"/>
  <c r="F179" i="7"/>
  <c r="F178" i="7"/>
  <c r="F177" i="7"/>
  <c r="F176" i="7"/>
  <c r="F175" i="7"/>
  <c r="F174" i="7"/>
  <c r="F195" i="7"/>
  <c r="C6" i="10"/>
  <c r="C10" i="10"/>
  <c r="D6" i="10"/>
  <c r="D10" i="10"/>
  <c r="E6" i="10"/>
  <c r="E10" i="10"/>
  <c r="F6" i="10"/>
  <c r="G6" i="10"/>
  <c r="H6" i="10"/>
  <c r="B6" i="10"/>
  <c r="H10" i="10"/>
  <c r="G10" i="10"/>
  <c r="F10" i="10"/>
  <c r="B10" i="10"/>
  <c r="H9" i="10"/>
  <c r="G9" i="10"/>
  <c r="F9" i="10"/>
  <c r="E9" i="10"/>
  <c r="D9" i="10"/>
  <c r="C9" i="10"/>
  <c r="B9" i="10"/>
  <c r="I16" i="2"/>
  <c r="I15" i="2"/>
  <c r="L124" i="5"/>
  <c r="L125" i="5"/>
  <c r="L126" i="5"/>
  <c r="L127" i="5"/>
  <c r="L128" i="5"/>
  <c r="L129" i="5"/>
  <c r="L130" i="5"/>
  <c r="L131" i="5"/>
  <c r="L132" i="5"/>
  <c r="L133" i="5"/>
  <c r="L134" i="5"/>
  <c r="L123" i="5"/>
  <c r="L122" i="5"/>
  <c r="I122" i="5"/>
  <c r="J122" i="5"/>
  <c r="K122" i="5"/>
  <c r="H122" i="5"/>
  <c r="F124" i="5"/>
  <c r="F125" i="5"/>
  <c r="F126" i="5"/>
  <c r="F127" i="5"/>
  <c r="F128" i="5"/>
  <c r="F129" i="5"/>
  <c r="F130" i="5"/>
  <c r="F131" i="5"/>
  <c r="F132" i="5"/>
  <c r="F133" i="5"/>
  <c r="F134" i="5"/>
  <c r="F123" i="5"/>
  <c r="C122" i="5"/>
  <c r="D122" i="5"/>
  <c r="E122" i="5"/>
  <c r="B122" i="5"/>
  <c r="G239" i="1"/>
  <c r="F239" i="1"/>
  <c r="E239" i="1"/>
  <c r="D239" i="1"/>
  <c r="C239" i="1"/>
  <c r="G238" i="1"/>
  <c r="F238" i="1"/>
  <c r="E238" i="1"/>
  <c r="D238" i="1"/>
  <c r="C238" i="1"/>
  <c r="G237" i="1"/>
  <c r="F237" i="1"/>
  <c r="E237" i="1"/>
  <c r="D237" i="1"/>
  <c r="C237" i="1"/>
  <c r="H236" i="1"/>
  <c r="H235" i="1"/>
  <c r="H234" i="1"/>
  <c r="H233" i="1"/>
  <c r="H232" i="1"/>
  <c r="H231" i="1"/>
  <c r="H230" i="1"/>
  <c r="H229" i="1"/>
  <c r="H228" i="1"/>
  <c r="H227" i="1"/>
  <c r="H226" i="1"/>
  <c r="H225" i="1"/>
  <c r="H222" i="1"/>
  <c r="H237" i="1"/>
  <c r="H224" i="1"/>
  <c r="H239" i="1"/>
  <c r="H223" i="1"/>
  <c r="H238" i="1"/>
  <c r="C200" i="5"/>
  <c r="D200" i="5"/>
  <c r="E200" i="5"/>
  <c r="B200" i="5"/>
  <c r="C187" i="5"/>
  <c r="D187" i="5"/>
  <c r="E187" i="5"/>
  <c r="B187" i="5"/>
  <c r="C174" i="5"/>
  <c r="D174" i="5"/>
  <c r="E174" i="5"/>
  <c r="B174" i="5"/>
  <c r="C161" i="5"/>
  <c r="D161" i="5"/>
  <c r="E161" i="5"/>
  <c r="B161" i="5"/>
  <c r="C148" i="5"/>
  <c r="D148" i="5"/>
  <c r="E148" i="5"/>
  <c r="B148" i="5"/>
  <c r="C135" i="5"/>
  <c r="D135" i="5"/>
  <c r="E135" i="5"/>
  <c r="B135" i="5"/>
  <c r="I200" i="5"/>
  <c r="J200" i="5"/>
  <c r="K200" i="5"/>
  <c r="H200" i="5"/>
  <c r="L189" i="5"/>
  <c r="L190" i="5"/>
  <c r="L191" i="5"/>
  <c r="L192" i="5"/>
  <c r="L193" i="5"/>
  <c r="L194" i="5"/>
  <c r="L195" i="5"/>
  <c r="L196" i="5"/>
  <c r="L197" i="5"/>
  <c r="L198" i="5"/>
  <c r="L199" i="5"/>
  <c r="L188" i="5"/>
  <c r="I187" i="5"/>
  <c r="J187" i="5"/>
  <c r="K187" i="5"/>
  <c r="H187" i="5"/>
  <c r="L175" i="5"/>
  <c r="I174" i="5"/>
  <c r="J174" i="5"/>
  <c r="K174" i="5"/>
  <c r="H174" i="5"/>
  <c r="L162" i="5"/>
  <c r="I161" i="5"/>
  <c r="J161" i="5"/>
  <c r="K161" i="5"/>
  <c r="H161" i="5"/>
  <c r="I148" i="5"/>
  <c r="J148" i="5"/>
  <c r="K148" i="5"/>
  <c r="H148" i="5"/>
  <c r="L150" i="5"/>
  <c r="L152" i="5"/>
  <c r="L153" i="5"/>
  <c r="L154" i="5"/>
  <c r="L155" i="5"/>
  <c r="L156" i="5"/>
  <c r="L157" i="5"/>
  <c r="L158" i="5"/>
  <c r="L159" i="5"/>
  <c r="L160" i="5"/>
  <c r="L149" i="5"/>
  <c r="L143" i="5"/>
  <c r="L139" i="5"/>
  <c r="I135" i="5"/>
  <c r="J135" i="5"/>
  <c r="K135" i="5"/>
  <c r="H135" i="5"/>
  <c r="L212" i="5"/>
  <c r="L211" i="5"/>
  <c r="L210" i="5"/>
  <c r="L209" i="5"/>
  <c r="L208" i="5"/>
  <c r="L207" i="5"/>
  <c r="L206" i="5"/>
  <c r="L205" i="5"/>
  <c r="L204" i="5"/>
  <c r="L203" i="5"/>
  <c r="L202" i="5"/>
  <c r="L201" i="5"/>
  <c r="L186" i="5"/>
  <c r="L185" i="5"/>
  <c r="L184" i="5"/>
  <c r="L183" i="5"/>
  <c r="L182" i="5"/>
  <c r="L181" i="5"/>
  <c r="L180" i="5"/>
  <c r="L179" i="5"/>
  <c r="L178" i="5"/>
  <c r="L177" i="5"/>
  <c r="L176" i="5"/>
  <c r="L173" i="5"/>
  <c r="L172" i="5"/>
  <c r="L171" i="5"/>
  <c r="L170" i="5"/>
  <c r="L169" i="5"/>
  <c r="L168" i="5"/>
  <c r="L167" i="5"/>
  <c r="L166" i="5"/>
  <c r="L165" i="5"/>
  <c r="L164" i="5"/>
  <c r="L163" i="5"/>
  <c r="L147" i="5"/>
  <c r="L146" i="5"/>
  <c r="L145" i="5"/>
  <c r="L144" i="5"/>
  <c r="L142" i="5"/>
  <c r="L141" i="5"/>
  <c r="L140" i="5"/>
  <c r="L138" i="5"/>
  <c r="L137" i="5"/>
  <c r="L136" i="5"/>
  <c r="F202" i="5"/>
  <c r="F203" i="5"/>
  <c r="F204" i="5"/>
  <c r="F205" i="5"/>
  <c r="F206" i="5"/>
  <c r="F207" i="5"/>
  <c r="F208" i="5"/>
  <c r="F209" i="5"/>
  <c r="F210" i="5"/>
  <c r="F211" i="5"/>
  <c r="F212" i="5"/>
  <c r="F201" i="5"/>
  <c r="F189" i="5"/>
  <c r="F190" i="5"/>
  <c r="F191" i="5"/>
  <c r="F192" i="5"/>
  <c r="F193" i="5"/>
  <c r="F194" i="5"/>
  <c r="F195" i="5"/>
  <c r="F196" i="5"/>
  <c r="F197" i="5"/>
  <c r="F198" i="5"/>
  <c r="F199" i="5"/>
  <c r="F188" i="5"/>
  <c r="F176" i="5"/>
  <c r="F177" i="5"/>
  <c r="F178" i="5"/>
  <c r="F179" i="5"/>
  <c r="F180" i="5"/>
  <c r="F181" i="5"/>
  <c r="F182" i="5"/>
  <c r="F183" i="5"/>
  <c r="F184" i="5"/>
  <c r="F185" i="5"/>
  <c r="F186" i="5"/>
  <c r="F175" i="5"/>
  <c r="F163" i="5"/>
  <c r="F164" i="5"/>
  <c r="F165" i="5"/>
  <c r="F166" i="5"/>
  <c r="F167" i="5"/>
  <c r="F168" i="5"/>
  <c r="F169" i="5"/>
  <c r="F170" i="5"/>
  <c r="F171" i="5"/>
  <c r="F172" i="5"/>
  <c r="F173" i="5"/>
  <c r="F162" i="5"/>
  <c r="F150" i="5"/>
  <c r="F151" i="5"/>
  <c r="F152" i="5"/>
  <c r="F153" i="5"/>
  <c r="F154" i="5"/>
  <c r="F155" i="5"/>
  <c r="F156" i="5"/>
  <c r="F157" i="5"/>
  <c r="F158" i="5"/>
  <c r="F159" i="5"/>
  <c r="F160" i="5"/>
  <c r="F149" i="5"/>
  <c r="F148" i="5"/>
  <c r="F137" i="5"/>
  <c r="F138" i="5"/>
  <c r="F139" i="5"/>
  <c r="F140" i="5"/>
  <c r="F141" i="5"/>
  <c r="F142" i="5"/>
  <c r="F143" i="5"/>
  <c r="F144" i="5"/>
  <c r="F145" i="5"/>
  <c r="F146" i="5"/>
  <c r="F147" i="5"/>
  <c r="F136" i="5"/>
  <c r="E261" i="7"/>
  <c r="D217" i="7"/>
  <c r="E217" i="7"/>
  <c r="D239" i="7"/>
  <c r="E239" i="7"/>
  <c r="D261" i="7"/>
  <c r="F210" i="7"/>
  <c r="F232" i="7"/>
  <c r="F254" i="7"/>
  <c r="F215" i="7"/>
  <c r="F214" i="7"/>
  <c r="F213" i="7"/>
  <c r="F211" i="7"/>
  <c r="F209" i="7"/>
  <c r="F208" i="7"/>
  <c r="F207" i="7"/>
  <c r="F206" i="7"/>
  <c r="F205" i="7"/>
  <c r="F201" i="7"/>
  <c r="F200" i="7"/>
  <c r="F199" i="7"/>
  <c r="F258" i="7"/>
  <c r="F257" i="7"/>
  <c r="F259" i="7"/>
  <c r="F253" i="7"/>
  <c r="F251" i="7"/>
  <c r="F249" i="7"/>
  <c r="F250" i="7"/>
  <c r="F252" i="7"/>
  <c r="F255" i="7"/>
  <c r="F245" i="7"/>
  <c r="F240" i="7"/>
  <c r="F241" i="7"/>
  <c r="F242" i="7"/>
  <c r="F243" i="7"/>
  <c r="F256" i="7"/>
  <c r="F248" i="7"/>
  <c r="F247" i="7"/>
  <c r="F246" i="7"/>
  <c r="F244" i="7"/>
  <c r="F261" i="7"/>
  <c r="F237" i="7"/>
  <c r="F236" i="7"/>
  <c r="F235" i="7"/>
  <c r="F233" i="7"/>
  <c r="F231" i="7"/>
  <c r="F230" i="7"/>
  <c r="F229" i="7"/>
  <c r="F228" i="7"/>
  <c r="F227" i="7"/>
  <c r="F223" i="7"/>
  <c r="F222" i="7"/>
  <c r="F221" i="7"/>
  <c r="F198" i="7"/>
  <c r="F197" i="7"/>
  <c r="F196" i="7"/>
  <c r="F202" i="7"/>
  <c r="F203" i="7"/>
  <c r="F204" i="7"/>
  <c r="F212" i="7"/>
  <c r="F217" i="7"/>
  <c r="F219" i="7"/>
  <c r="F220" i="7"/>
  <c r="F218" i="7"/>
  <c r="F224" i="7"/>
  <c r="F225" i="7"/>
  <c r="F226" i="7"/>
  <c r="F234" i="7"/>
  <c r="F239" i="7"/>
  <c r="C16" i="2"/>
  <c r="D16" i="2"/>
  <c r="E16" i="2"/>
  <c r="F16" i="2"/>
  <c r="G16" i="2"/>
  <c r="H16" i="2"/>
  <c r="D15" i="2"/>
  <c r="E15" i="2"/>
  <c r="F15" i="2"/>
  <c r="G15" i="2"/>
  <c r="H15" i="2"/>
  <c r="C15" i="2"/>
  <c r="C382" i="1"/>
  <c r="D382" i="1"/>
  <c r="E382" i="1"/>
  <c r="F382" i="1"/>
  <c r="G382" i="1"/>
  <c r="C383" i="1"/>
  <c r="D383" i="1"/>
  <c r="E383" i="1"/>
  <c r="F383" i="1"/>
  <c r="G383" i="1"/>
  <c r="D381" i="1"/>
  <c r="E381" i="1"/>
  <c r="F381" i="1"/>
  <c r="G381" i="1"/>
  <c r="C381" i="1"/>
  <c r="H380" i="1"/>
  <c r="H379" i="1"/>
  <c r="H378" i="1"/>
  <c r="C358" i="1"/>
  <c r="D358" i="1"/>
  <c r="E358" i="1"/>
  <c r="F358" i="1"/>
  <c r="G358" i="1"/>
  <c r="C359" i="1"/>
  <c r="D359" i="1"/>
  <c r="E359" i="1"/>
  <c r="F359" i="1"/>
  <c r="G359" i="1"/>
  <c r="D357" i="1"/>
  <c r="E357" i="1"/>
  <c r="F357" i="1"/>
  <c r="G357" i="1"/>
  <c r="C357" i="1"/>
  <c r="H356" i="1"/>
  <c r="H355" i="1"/>
  <c r="H354" i="1"/>
  <c r="C334" i="1"/>
  <c r="D334" i="1"/>
  <c r="E334" i="1"/>
  <c r="F334" i="1"/>
  <c r="G334" i="1"/>
  <c r="C335" i="1"/>
  <c r="D335" i="1"/>
  <c r="E335" i="1"/>
  <c r="F335" i="1"/>
  <c r="G335" i="1"/>
  <c r="D333" i="1"/>
  <c r="E333" i="1"/>
  <c r="F333" i="1"/>
  <c r="G333" i="1"/>
  <c r="C333" i="1"/>
  <c r="H332" i="1"/>
  <c r="H331" i="1"/>
  <c r="H330" i="1"/>
  <c r="C310" i="1"/>
  <c r="D310" i="1"/>
  <c r="E310" i="1"/>
  <c r="F310" i="1"/>
  <c r="G310" i="1"/>
  <c r="C311" i="1"/>
  <c r="D311" i="1"/>
  <c r="E311" i="1"/>
  <c r="F311" i="1"/>
  <c r="G311" i="1"/>
  <c r="D309" i="1"/>
  <c r="E309" i="1"/>
  <c r="F309" i="1"/>
  <c r="G309" i="1"/>
  <c r="C309" i="1"/>
  <c r="H308" i="1"/>
  <c r="H307" i="1"/>
  <c r="H306" i="1"/>
  <c r="C286" i="1"/>
  <c r="D286" i="1"/>
  <c r="E286" i="1"/>
  <c r="F286" i="1"/>
  <c r="G286" i="1"/>
  <c r="C287" i="1"/>
  <c r="D287" i="1"/>
  <c r="E287" i="1"/>
  <c r="F287" i="1"/>
  <c r="G287" i="1"/>
  <c r="D285" i="1"/>
  <c r="E285" i="1"/>
  <c r="F285" i="1"/>
  <c r="G285" i="1"/>
  <c r="C285" i="1"/>
  <c r="H283" i="1"/>
  <c r="H284" i="1"/>
  <c r="H282" i="1"/>
  <c r="C262" i="1"/>
  <c r="D262" i="1"/>
  <c r="E262" i="1"/>
  <c r="F262" i="1"/>
  <c r="G262" i="1"/>
  <c r="C263" i="1"/>
  <c r="D263" i="1"/>
  <c r="E263" i="1"/>
  <c r="F263" i="1"/>
  <c r="G263" i="1"/>
  <c r="D261" i="1"/>
  <c r="E261" i="1"/>
  <c r="F261" i="1"/>
  <c r="G261" i="1"/>
  <c r="C261" i="1"/>
  <c r="H260" i="1"/>
  <c r="H263" i="1"/>
  <c r="H259" i="1"/>
  <c r="H258" i="1"/>
  <c r="H377" i="1"/>
  <c r="H376" i="1"/>
  <c r="H367" i="1"/>
  <c r="H370" i="1"/>
  <c r="H373" i="1"/>
  <c r="H382" i="1"/>
  <c r="H375" i="1"/>
  <c r="H353" i="1"/>
  <c r="H352" i="1"/>
  <c r="H351" i="1"/>
  <c r="H329" i="1"/>
  <c r="H328" i="1"/>
  <c r="H327" i="1"/>
  <c r="H305" i="1"/>
  <c r="H304" i="1"/>
  <c r="H303" i="1"/>
  <c r="H280" i="1"/>
  <c r="H281" i="1"/>
  <c r="H279" i="1"/>
  <c r="H257" i="1"/>
  <c r="H256" i="1"/>
  <c r="H255" i="1"/>
  <c r="H368" i="1"/>
  <c r="H383" i="1"/>
  <c r="H369" i="1"/>
  <c r="H371" i="1"/>
  <c r="H372" i="1"/>
  <c r="H374" i="1"/>
  <c r="H366" i="1"/>
  <c r="H381" i="1"/>
  <c r="H343" i="1"/>
  <c r="H358" i="1"/>
  <c r="H344" i="1"/>
  <c r="H359" i="1"/>
  <c r="H347" i="1"/>
  <c r="H350" i="1"/>
  <c r="H345" i="1"/>
  <c r="H346" i="1"/>
  <c r="H348" i="1"/>
  <c r="H349" i="1"/>
  <c r="H342" i="1"/>
  <c r="H357" i="1"/>
  <c r="H319" i="1"/>
  <c r="H334" i="1"/>
  <c r="H322" i="1"/>
  <c r="H325" i="1"/>
  <c r="H320" i="1"/>
  <c r="H321" i="1"/>
  <c r="H323" i="1"/>
  <c r="H324" i="1"/>
  <c r="H326" i="1"/>
  <c r="H318" i="1"/>
  <c r="H333" i="1"/>
  <c r="H295" i="1"/>
  <c r="H296" i="1"/>
  <c r="H299" i="1"/>
  <c r="H302" i="1"/>
  <c r="H311" i="1"/>
  <c r="H297" i="1"/>
  <c r="H298" i="1"/>
  <c r="H300" i="1"/>
  <c r="H294" i="1"/>
  <c r="H309" i="1"/>
  <c r="H301" i="1"/>
  <c r="H271" i="1"/>
  <c r="H274" i="1"/>
  <c r="H286" i="1"/>
  <c r="H277" i="1"/>
  <c r="H272" i="1"/>
  <c r="H287" i="1"/>
  <c r="H273" i="1"/>
  <c r="H275" i="1"/>
  <c r="H278" i="1"/>
  <c r="H276" i="1"/>
  <c r="H270" i="1"/>
  <c r="H285" i="1"/>
  <c r="H247" i="1"/>
  <c r="H248" i="1"/>
  <c r="H249" i="1"/>
  <c r="H246" i="1"/>
  <c r="H252" i="1"/>
  <c r="H261" i="1"/>
  <c r="H250" i="1"/>
  <c r="H262" i="1"/>
  <c r="H253" i="1"/>
  <c r="H251" i="1"/>
  <c r="H254" i="1"/>
  <c r="H310" i="1"/>
  <c r="H335" i="1"/>
  <c r="B109" i="5"/>
  <c r="F110" i="5"/>
  <c r="H76" i="11"/>
  <c r="H120" i="11"/>
  <c r="H119" i="11"/>
  <c r="G141" i="11"/>
  <c r="H141" i="11"/>
  <c r="H139" i="11"/>
  <c r="F157" i="11"/>
  <c r="G157" i="11"/>
  <c r="H157" i="11"/>
  <c r="H153" i="11"/>
  <c r="H149" i="11"/>
  <c r="H72" i="11"/>
  <c r="H70" i="11"/>
  <c r="H88" i="11"/>
  <c r="H105" i="11"/>
  <c r="F124" i="11"/>
  <c r="H124" i="11"/>
  <c r="L148" i="5"/>
  <c r="L187" i="5"/>
  <c r="L109" i="5"/>
  <c r="F83" i="5"/>
  <c r="F70" i="5"/>
  <c r="F109" i="5"/>
  <c r="F122" i="5"/>
  <c r="L96" i="5"/>
  <c r="F135" i="5"/>
  <c r="L57" i="5"/>
  <c r="F161" i="5"/>
  <c r="F174" i="5"/>
  <c r="F187" i="5"/>
  <c r="F200" i="5"/>
  <c r="F57" i="5"/>
  <c r="L135" i="5"/>
  <c r="L161" i="5"/>
  <c r="L174" i="5"/>
  <c r="L200" i="5"/>
  <c r="H45" i="1"/>
  <c r="H22" i="1"/>
  <c r="H23" i="1"/>
  <c r="H21" i="1"/>
</calcChain>
</file>

<file path=xl/sharedStrings.xml><?xml version="1.0" encoding="utf-8"?>
<sst xmlns="http://schemas.openxmlformats.org/spreadsheetml/2006/main" count="1958" uniqueCount="174">
  <si>
    <t>1*</t>
  </si>
  <si>
    <t>Total</t>
  </si>
  <si>
    <t>Zante</t>
  </si>
  <si>
    <t>Ithaca</t>
  </si>
  <si>
    <t>Corfu</t>
  </si>
  <si>
    <t>Kefalonia</t>
  </si>
  <si>
    <t>Lefkada</t>
  </si>
  <si>
    <t>Units</t>
  </si>
  <si>
    <t>Rooms</t>
  </si>
  <si>
    <t>Guest beds</t>
  </si>
  <si>
    <t>Museums</t>
  </si>
  <si>
    <t>Foreign overnights</t>
  </si>
  <si>
    <t xml:space="preserve">Domestic overnights </t>
  </si>
  <si>
    <t>Occupancy</t>
  </si>
  <si>
    <t>TOTAL</t>
  </si>
  <si>
    <t xml:space="preserve">PASSENGERS WITH P/S - C/S </t>
  </si>
  <si>
    <t>YEAR</t>
  </si>
  <si>
    <t>Port</t>
  </si>
  <si>
    <t>Lefkimmi</t>
  </si>
  <si>
    <t>Paxos</t>
  </si>
  <si>
    <t>Erikoussa</t>
  </si>
  <si>
    <t>Mathraki</t>
  </si>
  <si>
    <t>Othoni</t>
  </si>
  <si>
    <t>Fiskardo</t>
  </si>
  <si>
    <t>Sami</t>
  </si>
  <si>
    <t>Poros</t>
  </si>
  <si>
    <t>Argostoli</t>
  </si>
  <si>
    <t>Lixouri</t>
  </si>
  <si>
    <t>Pessada</t>
  </si>
  <si>
    <t>Vasiliki</t>
  </si>
  <si>
    <t>Meganisi</t>
  </si>
  <si>
    <t>Nidri</t>
  </si>
  <si>
    <t>Schinari</t>
  </si>
  <si>
    <t>Pisaetos</t>
  </si>
  <si>
    <t>Frikes</t>
  </si>
  <si>
    <t>January</t>
  </si>
  <si>
    <t>February</t>
  </si>
  <si>
    <t>March</t>
  </si>
  <si>
    <t>April</t>
  </si>
  <si>
    <t>May</t>
  </si>
  <si>
    <t>June</t>
  </si>
  <si>
    <t>July</t>
  </si>
  <si>
    <t>August</t>
  </si>
  <si>
    <t xml:space="preserve">September </t>
  </si>
  <si>
    <t>Οctober</t>
  </si>
  <si>
    <t>Νovember</t>
  </si>
  <si>
    <t>December</t>
  </si>
  <si>
    <t xml:space="preserve">Foreign overnights </t>
  </si>
  <si>
    <t xml:space="preserve">Aktio </t>
  </si>
  <si>
    <t>5*</t>
  </si>
  <si>
    <t>4*</t>
  </si>
  <si>
    <t>3*</t>
  </si>
  <si>
    <t>2*</t>
  </si>
  <si>
    <t xml:space="preserve">PASSENGERS DISEMBARKED </t>
  </si>
  <si>
    <t>PASSENGERS EMBARKED</t>
  </si>
  <si>
    <t>International air arrivals</t>
  </si>
  <si>
    <t>Domestic air arrivals</t>
  </si>
  <si>
    <t xml:space="preserve">Occupnacy </t>
  </si>
  <si>
    <t>Countries of origin</t>
  </si>
  <si>
    <t>Visits (in th.)</t>
  </si>
  <si>
    <t>Others</t>
  </si>
  <si>
    <t>as a percentage of the total</t>
  </si>
  <si>
    <t>Key figures of incoming tourism in Ionian Islands Region 2016</t>
  </si>
  <si>
    <t>UK</t>
  </si>
  <si>
    <t>Italy</t>
  </si>
  <si>
    <t>Germany</t>
  </si>
  <si>
    <t>Poland</t>
  </si>
  <si>
    <t>France</t>
  </si>
  <si>
    <t>Nethrlands</t>
  </si>
  <si>
    <t>Russia</t>
  </si>
  <si>
    <t>Austria</t>
  </si>
  <si>
    <t>4Κ</t>
  </si>
  <si>
    <t>3Κ</t>
  </si>
  <si>
    <t>2Κ</t>
  </si>
  <si>
    <t>1Κ</t>
  </si>
  <si>
    <t>Ithaki</t>
  </si>
  <si>
    <t>Receipts          (in mil. €)</t>
  </si>
  <si>
    <t xml:space="preserve">Foreign arrivals </t>
  </si>
  <si>
    <t>Domestic arrivals</t>
  </si>
  <si>
    <t>Foreign arrivals</t>
  </si>
  <si>
    <t>Domestic Arrivlas</t>
  </si>
  <si>
    <t xml:space="preserve">Domestic arrivals </t>
  </si>
  <si>
    <t>Key figures of incoming tourism in Ionian Islands Region 2017</t>
  </si>
  <si>
    <t>Overnights           (in th.)</t>
  </si>
  <si>
    <t xml:space="preserve">Key Figures for Ionian Islands Region </t>
  </si>
  <si>
    <t>Ionian Islands</t>
  </si>
  <si>
    <t>Other sectors</t>
  </si>
  <si>
    <t>Total employment</t>
  </si>
  <si>
    <t>Total Greece</t>
  </si>
  <si>
    <t>Employment in the other sectors as a percentage of the total employment in the Region</t>
  </si>
  <si>
    <t>IONIAN ISLANDS REGION</t>
  </si>
  <si>
    <t>Hotel capacity 2017</t>
  </si>
  <si>
    <t>Hotel capacity 2016</t>
  </si>
  <si>
    <t>Hotel capacity 2015</t>
  </si>
  <si>
    <t>Hotel capacity 2014</t>
  </si>
  <si>
    <t>Hotel capacity 2013</t>
  </si>
  <si>
    <t>Hotel capacity 2012</t>
  </si>
  <si>
    <t>Hotel capacity 2011</t>
  </si>
  <si>
    <t>Hotel capacity 2010</t>
  </si>
  <si>
    <t xml:space="preserve">IONIAN ISLANDS REGION </t>
  </si>
  <si>
    <t>ROOMS FOR RENT 2017</t>
  </si>
  <si>
    <t>Cruise ships</t>
  </si>
  <si>
    <t>Passengers</t>
  </si>
  <si>
    <t>ROOMS FOR RENT 2018</t>
  </si>
  <si>
    <t>Hotel capacity 2018</t>
  </si>
  <si>
    <t>Key figures of incoming tourism in Ionian Islands Region 2018</t>
  </si>
  <si>
    <t>ROOMS FOR RENT 2019</t>
  </si>
  <si>
    <t>Hotel capacity 2019</t>
  </si>
  <si>
    <t xml:space="preserve">PASSENGERS EMBARKED </t>
  </si>
  <si>
    <t>Accommodation and catering services</t>
  </si>
  <si>
    <t xml:space="preserve">Employment in Services as a percentage of total employment in the Region </t>
  </si>
  <si>
    <t>Key figures of incoming tourism in Ionian Islands Region 2019</t>
  </si>
  <si>
    <t>Hotel capacity 2020</t>
  </si>
  <si>
    <t>Key figures of incoming tourism in Ionian Islands Region 2020</t>
  </si>
  <si>
    <t>Netherlands</t>
  </si>
  <si>
    <t>Archaeological sites</t>
  </si>
  <si>
    <t>Average Expenditure per Journey      (in  €)</t>
  </si>
  <si>
    <t>Average Expenditure per Overnight Stay      (in €)</t>
  </si>
  <si>
    <t>Average Duration of Stay (in overnights)</t>
  </si>
  <si>
    <t xml:space="preserve">Regional Unit </t>
  </si>
  <si>
    <t>Regional Unit</t>
  </si>
  <si>
    <t>Region</t>
  </si>
  <si>
    <t>Total region</t>
  </si>
  <si>
    <t>Source: Greek Port Association - Processing INSETE Intelligence</t>
  </si>
  <si>
    <t>Kefalonia-Ithaca</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</si>
  <si>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</si>
  <si>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</si>
  <si>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</si>
  <si>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</si>
  <si>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</si>
  <si>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</si>
  <si>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</si>
  <si>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</si>
  <si>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Total Region</t>
  </si>
  <si>
    <t>Source: ELSTAT - Processing INSETE Intelligence</t>
  </si>
  <si>
    <t>Hotel capacity 2021</t>
  </si>
  <si>
    <t>Key figures of incoming tourism in Ionian Islands Region 2021</t>
  </si>
  <si>
    <t>Source: ELSTAT - Processinfg INSETE Intelliegence</t>
  </si>
  <si>
    <t>Hotel capacity 2022</t>
  </si>
  <si>
    <t>Key figures of incoming tourism in Ionian Islands Region 2022</t>
  </si>
  <si>
    <t>(:)</t>
  </si>
  <si>
    <t>-</t>
  </si>
  <si>
    <t>Key figures of incoming tourism in Ionian Islands Region 2023</t>
  </si>
  <si>
    <t>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</si>
  <si>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</si>
  <si>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</si>
  <si>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</si>
  <si>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</si>
  <si>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</si>
  <si>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</si>
  <si>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</si>
  <si>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</si>
  <si>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</si>
  <si>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</si>
  <si>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</si>
  <si>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</si>
  <si>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</si>
  <si>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</si>
  <si>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 xml:space="preserve">Occupancy </t>
  </si>
  <si>
    <t>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</si>
  <si>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</si>
  <si>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</si>
  <si>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</si>
  <si>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</si>
  <si>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Ionian Islands Region 2024</t>
  </si>
  <si>
    <t>INTERNATIONAL TRAFFIC IN PORTS, 2013-2024</t>
  </si>
  <si>
    <t>DOMESTIC TRAFFIC IN PORTS, 2013-2024</t>
  </si>
  <si>
    <t>IONIAN ISLANDS REGION: arrivals, overnights and occupancy in hotel establishments, 2010-2024</t>
  </si>
  <si>
    <t>IONIAN ISLANDS REGION: arrivals and overnight stays in short stay accommodation establishments,         2020-2024</t>
  </si>
  <si>
    <t>Cruise ship traffic in Ionian Islands Region, 2013-2025</t>
  </si>
  <si>
    <t>Key figures of incoming tourism in Ionian Islands Region 2025</t>
  </si>
  <si>
    <t>Employment in Ionian Islands Region  (in thous.), 2010-2025</t>
  </si>
  <si>
    <t>IONIAN ISLANDS REGION: Admissions to Museums / Archaelogical sites, 2010-2025</t>
  </si>
  <si>
    <t>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</si>
</sst>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8" x14ac:knownFonts="1">
    <font>
      <sz val="11"/>
      <color theme="1"/>
      <name val="Calibri"/>
      <family val="2"/>
      <charset val="161"/>
      <scheme val="minor"/>
    </font>
    <font>
      <sz val="10"/>
      <color rgb="FF000000"/>
      <name val="Times New Roman"/>
      <family val="1"/>
      <charset val="161"/>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sz val="8"/>
      <color rgb="FF0070C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9">
    <border>
      <left/>
      <right/>
      <top/>
      <bottom/>
      <diagonal/>
    </border>
    <border>
      <left/>
      <right style="thin">
        <color theme="4"/>
      </right>
      <top/>
      <bottom style="thin">
        <color theme="4"/>
      </bottom>
      <diagonal/>
    </border>
    <border>
      <left/>
      <right style="thin">
        <color theme="4"/>
      </right>
      <top/>
      <bottom/>
      <diagonal/>
    </border>
    <border>
      <left/>
      <right style="thin">
        <color theme="4"/>
      </right>
      <top style="thin">
        <color theme="4"/>
      </top>
      <bottom/>
      <diagonal/>
    </border>
    <border>
      <left style="thin">
        <color theme="4"/>
      </left>
      <right style="thin">
        <color theme="4"/>
      </right>
      <top/>
      <bottom style="thin">
        <color theme="4"/>
      </bottom>
      <diagonal/>
    </border>
    <border>
      <left style="thin">
        <color theme="4"/>
      </left>
      <right style="thin">
        <color theme="4"/>
      </right>
      <top/>
      <bottom/>
      <diagonal/>
    </border>
    <border>
      <left style="thin">
        <color theme="4"/>
      </left>
      <right style="thin">
        <color theme="4"/>
      </right>
      <top style="thin">
        <color theme="4"/>
      </top>
      <bottom/>
      <diagonal/>
    </border>
    <border>
      <left style="thin">
        <color theme="4"/>
      </left>
      <right style="thin">
        <color theme="4"/>
      </right>
      <top/>
      <bottom style="medium">
        <color theme="4"/>
      </bottom>
      <diagonal/>
    </border>
    <border>
      <left/>
      <right style="thin">
        <color theme="4"/>
      </right>
      <top/>
      <bottom style="medium">
        <color theme="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rgb="FF000000"/>
      </left>
      <right style="thin">
        <color rgb="FF000000"/>
      </right>
      <top/>
      <bottom style="thin">
        <color indexed="64"/>
      </bottom>
      <diagonal/>
    </border>
    <border>
      <left style="thin">
        <color theme="4"/>
      </left>
      <right style="thin">
        <color theme="4"/>
      </right>
      <top style="thin">
        <color indexed="64"/>
      </top>
      <bottom/>
      <diagonal/>
    </border>
    <border>
      <left style="thin">
        <color indexed="64"/>
      </left>
      <right style="thin">
        <color rgb="FF000000"/>
      </right>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right/>
      <top style="hair">
        <color rgb="FF0070C0"/>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top/>
      <bottom style="thin">
        <color indexed="64"/>
      </bottom>
      <diagonal/>
    </border>
    <border>
      <left style="thin">
        <color theme="4"/>
      </left>
      <right style="thin">
        <color theme="4"/>
      </right>
      <top style="thin">
        <color indexed="64"/>
      </top>
      <bottom style="thin">
        <color rgb="FF0070C0"/>
      </bottom>
      <diagonal/>
    </border>
    <border>
      <left/>
      <right style="thin">
        <color theme="4"/>
      </right>
      <top style="thin">
        <color indexed="64"/>
      </top>
      <bottom style="thin">
        <color rgb="FF0070C0"/>
      </bottom>
      <diagonal/>
    </border>
    <border>
      <left style="thin">
        <color indexed="64"/>
      </left>
      <right style="thin">
        <color rgb="FF000000"/>
      </right>
      <top style="thin">
        <color indexed="64"/>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top style="thin">
        <color theme="4" tint="-0.249977111117893"/>
      </top>
      <bottom style="thin">
        <color theme="4" tint="-0.249977111117893"/>
      </bottom>
      <diagonal/>
    </border>
    <border>
      <left style="thin">
        <color theme="4"/>
      </left>
      <right style="thin">
        <color theme="4"/>
      </right>
      <top style="medium">
        <color theme="4"/>
      </top>
      <bottom/>
      <diagonal/>
    </border>
    <border>
      <left/>
      <right/>
      <top/>
      <bottom style="thin">
        <color theme="4" tint="-0.249977111117893"/>
      </bottom>
      <diagonal/>
    </border>
    <border>
      <left/>
      <right/>
      <top style="thin">
        <color theme="4" tint="-0.249977111117893"/>
      </top>
      <bottom/>
      <diagonal/>
    </border>
  </borders>
  <cellStyleXfs count="7">
    <xf numFmtId="0" fontId="0"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0" fontId="5" fillId="6" borderId="0" applyNumberFormat="0" applyBorder="0" applyAlignment="0" applyProtection="0"/>
    <xf numFmtId="0" fontId="6" fillId="0" borderId="0"/>
  </cellStyleXfs>
  <cellXfs count="211">
    <xf numFmtId="0" fontId="0" fillId="0" borderId="0" xfId="0"/>
    <xf numFmtId="0" fontId="7" fillId="0" borderId="18" xfId="0" applyFont="1" applyBorder="1" applyAlignment="1">
      <alignment vertical="center"/>
    </xf>
    <xf numFmtId="0" fontId="8" fillId="0" borderId="0" xfId="0" applyFont="1" applyAlignment="1">
      <alignment horizontal="left" vertical="center"/>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11" fillId="0" borderId="0" xfId="0" applyFont="1" applyAlignment="1">
      <alignment horizontal="left" vertical="center"/>
    </xf>
    <xf numFmtId="0" fontId="12" fillId="0" borderId="0" xfId="0" applyFont="1" applyAlignment="1">
      <alignment vertical="center"/>
    </xf>
    <xf numFmtId="0" fontId="13" fillId="0" borderId="0" xfId="0" applyFont="1" applyAlignment="1">
      <alignment vertical="center"/>
    </xf>
    <xf numFmtId="0" fontId="10" fillId="0" borderId="0" xfId="0" applyFont="1" applyAlignment="1">
      <alignment horizontal="left" vertical="center"/>
    </xf>
    <xf numFmtId="0" fontId="15" fillId="0" borderId="0" xfId="0" applyFont="1" applyAlignment="1">
      <alignment vertical="center" wrapText="1"/>
    </xf>
    <xf numFmtId="0" fontId="18" fillId="0" borderId="0" xfId="0" applyFont="1" applyAlignment="1">
      <alignment vertical="center"/>
    </xf>
    <xf numFmtId="0" fontId="18" fillId="5" borderId="18" xfId="0" applyFont="1" applyFill="1" applyBorder="1" applyAlignment="1">
      <alignment vertical="center"/>
    </xf>
    <xf numFmtId="166" fontId="18" fillId="5" borderId="18" xfId="0" applyNumberFormat="1" applyFont="1" applyFill="1" applyBorder="1" applyAlignment="1">
      <alignment horizontal="center" vertical="center"/>
    </xf>
    <xf numFmtId="166" fontId="18" fillId="5" borderId="19" xfId="0" applyNumberFormat="1" applyFont="1" applyFill="1" applyBorder="1" applyAlignment="1">
      <alignment horizontal="center" vertical="center"/>
    </xf>
    <xf numFmtId="167" fontId="18" fillId="5" borderId="18" xfId="0" applyNumberFormat="1" applyFont="1" applyFill="1" applyBorder="1" applyAlignment="1">
      <alignment horizontal="center" vertical="center"/>
    </xf>
    <xf numFmtId="0" fontId="18" fillId="2" borderId="0" xfId="0" applyFont="1" applyFill="1" applyAlignment="1">
      <alignment vertical="center"/>
    </xf>
    <xf numFmtId="166" fontId="18" fillId="2" borderId="0" xfId="0" applyNumberFormat="1" applyFont="1" applyFill="1" applyAlignment="1">
      <alignment horizontal="center" vertical="center"/>
    </xf>
    <xf numFmtId="166" fontId="18" fillId="2" borderId="16" xfId="0" applyNumberFormat="1" applyFont="1" applyFill="1" applyBorder="1" applyAlignment="1">
      <alignment horizontal="center" vertical="center"/>
    </xf>
    <xf numFmtId="167" fontId="18" fillId="2" borderId="0" xfId="0" applyNumberFormat="1" applyFont="1" applyFill="1" applyAlignment="1">
      <alignment horizontal="center" vertical="center"/>
    </xf>
    <xf numFmtId="0" fontId="18" fillId="5" borderId="0" xfId="0" applyFont="1" applyFill="1" applyAlignment="1">
      <alignment vertical="center"/>
    </xf>
    <xf numFmtId="166" fontId="18" fillId="5" borderId="0" xfId="0" applyNumberFormat="1" applyFont="1" applyFill="1" applyAlignment="1">
      <alignment horizontal="center" vertical="center"/>
    </xf>
    <xf numFmtId="166" fontId="18" fillId="5" borderId="16" xfId="0" applyNumberFormat="1" applyFont="1" applyFill="1" applyBorder="1" applyAlignment="1">
      <alignment horizontal="center" vertical="center"/>
    </xf>
    <xf numFmtId="167" fontId="18" fillId="5" borderId="0" xfId="0" applyNumberFormat="1" applyFont="1" applyFill="1" applyAlignment="1">
      <alignment horizontal="center" vertical="center"/>
    </xf>
    <xf numFmtId="0" fontId="18" fillId="2" borderId="22" xfId="0" applyFont="1" applyFill="1" applyBorder="1" applyAlignment="1">
      <alignment vertical="center"/>
    </xf>
    <xf numFmtId="166" fontId="18" fillId="2" borderId="22" xfId="0" applyNumberFormat="1" applyFont="1" applyFill="1" applyBorder="1" applyAlignment="1">
      <alignment horizontal="center" vertical="center"/>
    </xf>
    <xf numFmtId="166" fontId="18" fillId="2" borderId="23" xfId="0" applyNumberFormat="1" applyFont="1" applyFill="1" applyBorder="1" applyAlignment="1">
      <alignment horizontal="center" vertical="center"/>
    </xf>
    <xf numFmtId="167" fontId="18" fillId="2" borderId="22" xfId="0" applyNumberFormat="1" applyFont="1" applyFill="1" applyBorder="1" applyAlignment="1">
      <alignment horizontal="center" vertical="center"/>
    </xf>
    <xf numFmtId="167" fontId="19" fillId="5" borderId="0" xfId="0" applyNumberFormat="1" applyFont="1" applyFill="1" applyAlignment="1">
      <alignment horizontal="center" vertical="center"/>
    </xf>
    <xf numFmtId="0" fontId="19" fillId="5" borderId="24" xfId="0" applyFont="1" applyFill="1" applyBorder="1" applyAlignment="1">
      <alignment vertical="center" wrapText="1"/>
    </xf>
    <xf numFmtId="166" fontId="19" fillId="5" borderId="0" xfId="0" applyNumberFormat="1" applyFont="1" applyFill="1" applyAlignment="1">
      <alignment horizontal="center" vertical="center"/>
    </xf>
    <xf numFmtId="166" fontId="19" fillId="5" borderId="16" xfId="0" applyNumberFormat="1" applyFont="1" applyFill="1" applyBorder="1" applyAlignment="1">
      <alignment horizontal="center" vertical="center"/>
    </xf>
    <xf numFmtId="167" fontId="19" fillId="5" borderId="25" xfId="0" applyNumberFormat="1" applyFont="1" applyFill="1" applyBorder="1" applyAlignment="1">
      <alignment horizontal="center" vertical="center"/>
    </xf>
    <xf numFmtId="0" fontId="19" fillId="5" borderId="25" xfId="0" applyFont="1" applyFill="1" applyBorder="1" applyAlignment="1">
      <alignment vertical="center" wrapText="1"/>
    </xf>
    <xf numFmtId="165" fontId="19" fillId="5" borderId="25" xfId="2" applyNumberFormat="1" applyFont="1" applyFill="1" applyBorder="1" applyAlignment="1">
      <alignment horizontal="center" vertical="center"/>
    </xf>
    <xf numFmtId="165" fontId="19" fillId="5" borderId="26" xfId="2" applyNumberFormat="1" applyFont="1" applyFill="1" applyBorder="1" applyAlignment="1">
      <alignment horizontal="center" vertical="center"/>
    </xf>
    <xf numFmtId="166" fontId="19" fillId="5" borderId="25" xfId="0" applyNumberFormat="1" applyFont="1" applyFill="1" applyBorder="1" applyAlignment="1">
      <alignment horizontal="center" vertical="center"/>
    </xf>
    <xf numFmtId="166" fontId="19" fillId="5" borderId="26" xfId="0" applyNumberFormat="1" applyFont="1" applyFill="1" applyBorder="1" applyAlignment="1">
      <alignment horizontal="center" vertical="center"/>
    </xf>
    <xf numFmtId="0" fontId="18" fillId="5" borderId="22" xfId="0" applyFont="1" applyFill="1" applyBorder="1" applyAlignment="1">
      <alignment vertical="center"/>
    </xf>
    <xf numFmtId="166" fontId="18" fillId="5" borderId="22" xfId="0" applyNumberFormat="1" applyFont="1" applyFill="1" applyBorder="1" applyAlignment="1">
      <alignment horizontal="center" vertical="center"/>
    </xf>
    <xf numFmtId="166" fontId="18" fillId="5" borderId="23" xfId="0" applyNumberFormat="1" applyFont="1" applyFill="1" applyBorder="1" applyAlignment="1">
      <alignment horizontal="center" vertical="center"/>
    </xf>
    <xf numFmtId="167" fontId="18" fillId="5" borderId="22" xfId="0" applyNumberFormat="1" applyFont="1" applyFill="1" applyBorder="1" applyAlignment="1">
      <alignment horizontal="center" vertical="center"/>
    </xf>
    <xf numFmtId="0" fontId="18" fillId="0" borderId="0" xfId="0" applyFont="1" applyAlignment="1">
      <alignment horizontal="center" vertical="center"/>
    </xf>
    <xf numFmtId="3" fontId="18" fillId="2" borderId="0" xfId="0" applyNumberFormat="1" applyFont="1" applyFill="1" applyAlignment="1">
      <alignment horizontal="center" vertical="center"/>
    </xf>
    <xf numFmtId="3" fontId="18" fillId="0" borderId="0" xfId="0" applyNumberFormat="1" applyFont="1" applyAlignment="1">
      <alignment horizontal="center" vertical="center"/>
    </xf>
    <xf numFmtId="0" fontId="17" fillId="7" borderId="0" xfId="5" applyFont="1" applyFill="1" applyBorder="1" applyAlignment="1">
      <alignment horizontal="left" vertical="center"/>
    </xf>
    <xf numFmtId="0" fontId="17" fillId="7" borderId="0" xfId="5" applyFont="1" applyFill="1" applyBorder="1" applyAlignment="1">
      <alignment horizontal="right" vertical="center"/>
    </xf>
    <xf numFmtId="3" fontId="18" fillId="0" borderId="0" xfId="0" applyNumberFormat="1" applyFont="1" applyAlignment="1">
      <alignment horizontal="right" vertical="center"/>
    </xf>
    <xf numFmtId="0" fontId="11" fillId="0" borderId="0" xfId="6" applyFont="1" applyAlignment="1">
      <alignment horizontal="left" vertical="center" readingOrder="1"/>
    </xf>
    <xf numFmtId="3" fontId="21" fillId="5" borderId="29" xfId="0" applyNumberFormat="1" applyFont="1" applyFill="1" applyBorder="1" applyAlignment="1">
      <alignment horizontal="right" vertical="center" wrapText="1"/>
    </xf>
    <xf numFmtId="3" fontId="18" fillId="5" borderId="28" xfId="0" applyNumberFormat="1" applyFont="1" applyFill="1" applyBorder="1" applyAlignment="1">
      <alignment vertical="center"/>
    </xf>
    <xf numFmtId="0" fontId="14" fillId="0" borderId="0" xfId="0" applyFont="1" applyAlignment="1">
      <alignment vertical="center"/>
    </xf>
    <xf numFmtId="0" fontId="21" fillId="0" borderId="2" xfId="0" applyFont="1" applyBorder="1" applyAlignment="1">
      <alignment horizontal="left" vertical="center" wrapText="1"/>
    </xf>
    <xf numFmtId="3" fontId="21" fillId="5" borderId="2" xfId="0" applyNumberFormat="1" applyFont="1" applyFill="1" applyBorder="1" applyAlignment="1">
      <alignment horizontal="right" vertical="center" wrapText="1"/>
    </xf>
    <xf numFmtId="3" fontId="18" fillId="5" borderId="5" xfId="0" applyNumberFormat="1" applyFont="1" applyFill="1" applyBorder="1" applyAlignment="1">
      <alignment vertical="center"/>
    </xf>
    <xf numFmtId="3" fontId="18" fillId="5" borderId="2" xfId="0" applyNumberFormat="1" applyFont="1" applyFill="1" applyBorder="1" applyAlignment="1">
      <alignment vertical="center"/>
    </xf>
    <xf numFmtId="0" fontId="21" fillId="0" borderId="1" xfId="0" applyFont="1" applyBorder="1" applyAlignment="1">
      <alignment horizontal="left" vertical="center" wrapText="1"/>
    </xf>
    <xf numFmtId="3" fontId="21" fillId="5" borderId="1" xfId="0" applyNumberFormat="1" applyFont="1" applyFill="1" applyBorder="1" applyAlignment="1">
      <alignment horizontal="right" vertical="center" wrapText="1"/>
    </xf>
    <xf numFmtId="3" fontId="18" fillId="5" borderId="4" xfId="0" applyNumberFormat="1" applyFont="1" applyFill="1" applyBorder="1" applyAlignment="1">
      <alignment vertical="center"/>
    </xf>
    <xf numFmtId="3" fontId="18" fillId="5" borderId="1" xfId="0" applyNumberFormat="1" applyFont="1" applyFill="1" applyBorder="1" applyAlignment="1">
      <alignment vertical="center"/>
    </xf>
    <xf numFmtId="0" fontId="21" fillId="0" borderId="3" xfId="0" applyFont="1" applyBorder="1" applyAlignment="1">
      <alignment horizontal="left" vertical="center" wrapText="1"/>
    </xf>
    <xf numFmtId="3" fontId="21" fillId="5" borderId="3" xfId="0" applyNumberFormat="1" applyFont="1" applyFill="1" applyBorder="1" applyAlignment="1">
      <alignment horizontal="right" vertical="center" wrapText="1"/>
    </xf>
    <xf numFmtId="3" fontId="18" fillId="5" borderId="6" xfId="0" applyNumberFormat="1" applyFont="1" applyFill="1" applyBorder="1" applyAlignment="1">
      <alignment vertical="center"/>
    </xf>
    <xf numFmtId="3" fontId="18" fillId="5" borderId="3" xfId="0" applyNumberFormat="1" applyFont="1" applyFill="1" applyBorder="1" applyAlignment="1">
      <alignment vertical="center"/>
    </xf>
    <xf numFmtId="0" fontId="18" fillId="4" borderId="0" xfId="0" applyFont="1" applyFill="1" applyAlignment="1">
      <alignment horizontal="left" vertical="center"/>
    </xf>
    <xf numFmtId="3" fontId="18" fillId="4" borderId="0" xfId="0" applyNumberFormat="1" applyFont="1" applyFill="1" applyAlignment="1">
      <alignment vertical="center"/>
    </xf>
    <xf numFmtId="0" fontId="18" fillId="0" borderId="0" xfId="0" applyFont="1" applyAlignment="1">
      <alignment horizontal="left" vertical="center"/>
    </xf>
    <xf numFmtId="165" fontId="18" fillId="0" borderId="0" xfId="0" applyNumberFormat="1" applyFont="1" applyAlignment="1">
      <alignment horizontal="center" vertical="center"/>
    </xf>
    <xf numFmtId="0" fontId="18" fillId="3" borderId="0" xfId="0" applyFont="1" applyFill="1" applyAlignment="1">
      <alignment horizontal="left" vertical="center"/>
    </xf>
    <xf numFmtId="3" fontId="18" fillId="3" borderId="0" xfId="0" applyNumberFormat="1" applyFont="1" applyFill="1" applyAlignment="1">
      <alignment horizontal="center" vertical="center"/>
    </xf>
    <xf numFmtId="165" fontId="18" fillId="3" borderId="0" xfId="0" applyNumberFormat="1" applyFont="1" applyFill="1" applyAlignment="1">
      <alignment horizontal="center" vertical="center"/>
    </xf>
    <xf numFmtId="3" fontId="19" fillId="0" borderId="0" xfId="0" applyNumberFormat="1" applyFont="1" applyAlignment="1">
      <alignment horizontal="right" vertical="center"/>
    </xf>
    <xf numFmtId="3" fontId="18"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3" fontId="18" fillId="2" borderId="0" xfId="0" applyNumberFormat="1" applyFont="1" applyFill="1" applyAlignment="1">
      <alignment vertical="center"/>
    </xf>
    <xf numFmtId="3" fontId="19" fillId="2" borderId="0" xfId="0" applyNumberFormat="1" applyFont="1" applyFill="1" applyAlignment="1">
      <alignment vertical="center"/>
    </xf>
    <xf numFmtId="3" fontId="18" fillId="0" borderId="0" xfId="0" applyNumberFormat="1" applyFont="1" applyAlignment="1">
      <alignment vertical="center"/>
    </xf>
    <xf numFmtId="3" fontId="19" fillId="0" borderId="0" xfId="0" applyNumberFormat="1" applyFont="1" applyAlignment="1">
      <alignment vertical="center"/>
    </xf>
    <xf numFmtId="0" fontId="19" fillId="0" borderId="0" xfId="0" applyFont="1" applyAlignment="1">
      <alignment vertical="center"/>
    </xf>
    <xf numFmtId="166" fontId="16" fillId="0" borderId="0" xfId="0" applyNumberFormat="1" applyFont="1" applyAlignment="1">
      <alignment horizontal="center" vertical="center"/>
    </xf>
    <xf numFmtId="167" fontId="18" fillId="0" borderId="0" xfId="0" applyNumberFormat="1" applyFont="1" applyAlignment="1">
      <alignment horizontal="center" vertical="center"/>
    </xf>
    <xf numFmtId="0" fontId="19" fillId="2" borderId="0" xfId="0" applyFont="1" applyFill="1" applyAlignment="1">
      <alignment vertical="center"/>
    </xf>
    <xf numFmtId="0" fontId="19" fillId="0" borderId="0" xfId="0" applyFont="1" applyAlignment="1">
      <alignment vertical="center" wrapText="1"/>
    </xf>
    <xf numFmtId="165" fontId="16" fillId="0" borderId="0" xfId="2" applyNumberFormat="1" applyFont="1" applyAlignment="1">
      <alignment horizontal="center" vertical="center"/>
    </xf>
    <xf numFmtId="165" fontId="18" fillId="0" borderId="0" xfId="2" applyNumberFormat="1" applyFont="1" applyAlignment="1">
      <alignment horizontal="center" vertical="center"/>
    </xf>
    <xf numFmtId="0" fontId="19" fillId="2" borderId="0" xfId="0" applyFont="1" applyFill="1" applyAlignment="1">
      <alignment vertical="center" wrapText="1"/>
    </xf>
    <xf numFmtId="165" fontId="18" fillId="2" borderId="0" xfId="2" applyNumberFormat="1" applyFont="1" applyFill="1" applyAlignment="1">
      <alignment horizontal="center" vertical="center"/>
    </xf>
    <xf numFmtId="0" fontId="17" fillId="9" borderId="0" xfId="0" applyFont="1" applyFill="1" applyAlignment="1">
      <alignment horizontal="center" vertical="center"/>
    </xf>
    <xf numFmtId="0" fontId="17" fillId="9" borderId="0" xfId="0" applyFont="1" applyFill="1" applyAlignment="1">
      <alignment horizontal="center" vertical="center" wrapText="1"/>
    </xf>
    <xf numFmtId="0" fontId="17" fillId="9" borderId="16" xfId="0" applyFont="1" applyFill="1" applyBorder="1" applyAlignment="1">
      <alignment horizontal="center" vertical="center" wrapText="1"/>
    </xf>
    <xf numFmtId="0" fontId="22" fillId="9" borderId="0" xfId="0" applyFont="1" applyFill="1" applyAlignment="1">
      <alignment vertical="center"/>
    </xf>
    <xf numFmtId="0" fontId="17" fillId="10" borderId="35" xfId="0" applyFont="1" applyFill="1" applyBorder="1" applyAlignment="1">
      <alignment vertical="center"/>
    </xf>
    <xf numFmtId="166" fontId="17" fillId="10" borderId="35" xfId="0" applyNumberFormat="1" applyFont="1" applyFill="1" applyBorder="1" applyAlignment="1">
      <alignment horizontal="center" vertical="center"/>
    </xf>
    <xf numFmtId="0" fontId="17" fillId="7" borderId="0" xfId="0" applyFont="1" applyFill="1" applyAlignment="1">
      <alignment horizontal="left" vertical="center"/>
    </xf>
    <xf numFmtId="0" fontId="17" fillId="7" borderId="0" xfId="0" applyFont="1" applyFill="1" applyAlignment="1">
      <alignment horizontal="right" vertical="center"/>
    </xf>
    <xf numFmtId="0" fontId="17" fillId="10" borderId="0" xfId="0" applyFont="1" applyFill="1" applyAlignment="1">
      <alignment vertical="center"/>
    </xf>
    <xf numFmtId="3" fontId="17" fillId="10" borderId="0" xfId="0" applyNumberFormat="1" applyFont="1" applyFill="1" applyAlignment="1">
      <alignment vertical="center"/>
    </xf>
    <xf numFmtId="0" fontId="11" fillId="0" borderId="0" xfId="0" applyFont="1" applyAlignment="1">
      <alignment vertical="center"/>
    </xf>
    <xf numFmtId="3" fontId="17" fillId="10" borderId="0" xfId="0" applyNumberFormat="1" applyFont="1" applyFill="1" applyAlignment="1">
      <alignment horizontal="right" vertical="center"/>
    </xf>
    <xf numFmtId="0" fontId="17" fillId="7" borderId="0" xfId="0" applyFont="1" applyFill="1" applyAlignment="1">
      <alignment horizontal="center" vertical="center"/>
    </xf>
    <xf numFmtId="0" fontId="17" fillId="10" borderId="0" xfId="0" applyFont="1" applyFill="1" applyAlignment="1">
      <alignment horizontal="left" vertical="center"/>
    </xf>
    <xf numFmtId="3" fontId="17" fillId="10" borderId="0" xfId="0" applyNumberFormat="1" applyFont="1" applyFill="1" applyAlignment="1">
      <alignment horizontal="center" vertical="center"/>
    </xf>
    <xf numFmtId="165" fontId="17" fillId="10" borderId="0" xfId="0" applyNumberFormat="1" applyFont="1" applyFill="1" applyAlignment="1">
      <alignment horizontal="center" vertical="center"/>
    </xf>
    <xf numFmtId="3" fontId="17" fillId="9" borderId="0" xfId="0" applyNumberFormat="1" applyFont="1" applyFill="1" applyAlignment="1">
      <alignment horizontal="left" vertical="center"/>
    </xf>
    <xf numFmtId="3" fontId="17" fillId="9" borderId="0" xfId="0" applyNumberFormat="1" applyFont="1" applyFill="1" applyAlignment="1">
      <alignment horizontal="right" vertical="center"/>
    </xf>
    <xf numFmtId="1" fontId="17" fillId="9" borderId="0" xfId="0" applyNumberFormat="1" applyFont="1" applyFill="1" applyAlignment="1">
      <alignment horizontal="center" vertical="center"/>
    </xf>
    <xf numFmtId="0" fontId="17" fillId="9" borderId="30" xfId="0" applyFont="1" applyFill="1" applyBorder="1" applyAlignment="1">
      <alignment horizontal="center" vertical="center" wrapText="1"/>
    </xf>
    <xf numFmtId="0" fontId="17" fillId="9" borderId="34" xfId="0" applyFont="1" applyFill="1" applyBorder="1" applyAlignment="1">
      <alignment horizontal="left" vertical="center" wrapText="1"/>
    </xf>
    <xf numFmtId="0" fontId="17" fillId="9" borderId="33" xfId="0" applyFont="1" applyFill="1" applyBorder="1" applyAlignment="1">
      <alignment horizontal="left" vertical="center" wrapText="1"/>
    </xf>
    <xf numFmtId="0" fontId="17" fillId="9" borderId="13" xfId="0" applyFont="1" applyFill="1" applyBorder="1" applyAlignment="1">
      <alignment horizontal="center" vertical="center" wrapText="1"/>
    </xf>
    <xf numFmtId="0" fontId="17" fillId="9" borderId="9" xfId="0" applyFont="1" applyFill="1" applyBorder="1" applyAlignment="1">
      <alignment horizontal="center" vertical="center" wrapText="1"/>
    </xf>
    <xf numFmtId="0" fontId="17" fillId="9" borderId="15" xfId="0" applyFont="1" applyFill="1" applyBorder="1" applyAlignment="1">
      <alignment horizontal="center" vertical="center" wrapText="1"/>
    </xf>
    <xf numFmtId="0" fontId="17" fillId="9" borderId="12" xfId="0" applyFont="1" applyFill="1" applyBorder="1" applyAlignment="1">
      <alignment horizontal="center" vertical="center" wrapText="1"/>
    </xf>
    <xf numFmtId="0" fontId="17" fillId="9" borderId="11" xfId="0" applyFont="1" applyFill="1" applyBorder="1" applyAlignment="1">
      <alignment horizontal="right" vertical="center" wrapText="1"/>
    </xf>
    <xf numFmtId="0" fontId="17" fillId="9" borderId="10" xfId="0" applyFont="1" applyFill="1" applyBorder="1" applyAlignment="1">
      <alignment horizontal="right" vertical="center" wrapText="1"/>
    </xf>
    <xf numFmtId="0" fontId="21" fillId="11" borderId="2" xfId="0" applyFont="1" applyFill="1" applyBorder="1" applyAlignment="1">
      <alignment horizontal="left" vertical="center" wrapText="1"/>
    </xf>
    <xf numFmtId="3" fontId="21" fillId="11" borderId="2" xfId="0" applyNumberFormat="1" applyFont="1" applyFill="1" applyBorder="1" applyAlignment="1">
      <alignment horizontal="right" vertical="center" wrapText="1"/>
    </xf>
    <xf numFmtId="3" fontId="18" fillId="11" borderId="5" xfId="0" applyNumberFormat="1" applyFont="1" applyFill="1" applyBorder="1" applyAlignment="1">
      <alignment vertical="center"/>
    </xf>
    <xf numFmtId="3" fontId="18" fillId="11" borderId="2" xfId="0" applyNumberFormat="1" applyFont="1" applyFill="1" applyBorder="1" applyAlignment="1">
      <alignment vertical="center"/>
    </xf>
    <xf numFmtId="0" fontId="21" fillId="11" borderId="1" xfId="0" applyFont="1" applyFill="1" applyBorder="1" applyAlignment="1">
      <alignment horizontal="left" vertical="center" wrapText="1"/>
    </xf>
    <xf numFmtId="3" fontId="21" fillId="11" borderId="1" xfId="0" applyNumberFormat="1" applyFont="1" applyFill="1" applyBorder="1" applyAlignment="1">
      <alignment horizontal="right" vertical="center" wrapText="1"/>
    </xf>
    <xf numFmtId="3" fontId="18" fillId="11" borderId="4" xfId="0" applyNumberFormat="1" applyFont="1" applyFill="1" applyBorder="1" applyAlignment="1">
      <alignment vertical="center"/>
    </xf>
    <xf numFmtId="3" fontId="18" fillId="11" borderId="1" xfId="0" applyNumberFormat="1" applyFont="1" applyFill="1" applyBorder="1" applyAlignment="1">
      <alignment vertical="center"/>
    </xf>
    <xf numFmtId="0" fontId="21" fillId="11" borderId="3" xfId="0" applyFont="1" applyFill="1" applyBorder="1" applyAlignment="1">
      <alignment horizontal="left" vertical="center" wrapText="1"/>
    </xf>
    <xf numFmtId="3" fontId="21" fillId="11" borderId="3" xfId="0" applyNumberFormat="1" applyFont="1" applyFill="1" applyBorder="1" applyAlignment="1">
      <alignment horizontal="right" vertical="center" wrapText="1"/>
    </xf>
    <xf numFmtId="3" fontId="18" fillId="11" borderId="6" xfId="0" applyNumberFormat="1" applyFont="1" applyFill="1" applyBorder="1" applyAlignment="1">
      <alignment vertical="center"/>
    </xf>
    <xf numFmtId="3" fontId="18" fillId="11" borderId="3" xfId="0" applyNumberFormat="1" applyFont="1" applyFill="1" applyBorder="1" applyAlignment="1">
      <alignment vertical="center"/>
    </xf>
    <xf numFmtId="0" fontId="17" fillId="10" borderId="8" xfId="0" applyFont="1" applyFill="1" applyBorder="1" applyAlignment="1">
      <alignment horizontal="center" vertical="center"/>
    </xf>
    <xf numFmtId="0" fontId="22" fillId="10" borderId="8" xfId="0" applyFont="1" applyFill="1" applyBorder="1" applyAlignment="1">
      <alignment horizontal="left" vertical="center" wrapText="1"/>
    </xf>
    <xf numFmtId="3" fontId="17" fillId="10" borderId="8" xfId="0" applyNumberFormat="1" applyFont="1" applyFill="1" applyBorder="1" applyAlignment="1">
      <alignment horizontal="right" vertical="center" wrapText="1"/>
    </xf>
    <xf numFmtId="3" fontId="17" fillId="10" borderId="7" xfId="0" applyNumberFormat="1" applyFont="1" applyFill="1" applyBorder="1" applyAlignment="1">
      <alignment vertical="center"/>
    </xf>
    <xf numFmtId="0" fontId="17" fillId="9" borderId="30" xfId="0" applyFont="1" applyFill="1" applyBorder="1" applyAlignment="1">
      <alignment vertical="center"/>
    </xf>
    <xf numFmtId="0" fontId="17" fillId="9" borderId="15" xfId="0" applyFont="1" applyFill="1" applyBorder="1" applyAlignment="1">
      <alignment horizontal="left" vertical="center"/>
    </xf>
    <xf numFmtId="0" fontId="17" fillId="9" borderId="13" xfId="0" applyFont="1" applyFill="1" applyBorder="1" applyAlignment="1">
      <alignment horizontal="left" vertical="center" wrapText="1"/>
    </xf>
    <xf numFmtId="3" fontId="21" fillId="11" borderId="29" xfId="0" applyNumberFormat="1" applyFont="1" applyFill="1" applyBorder="1" applyAlignment="1">
      <alignment horizontal="right" vertical="center" wrapText="1"/>
    </xf>
    <xf numFmtId="3" fontId="18" fillId="11" borderId="28" xfId="0" applyNumberFormat="1" applyFont="1" applyFill="1" applyBorder="1" applyAlignment="1">
      <alignment vertical="center"/>
    </xf>
    <xf numFmtId="3" fontId="17" fillId="10" borderId="0" xfId="1" applyNumberFormat="1" applyFont="1" applyFill="1" applyAlignment="1">
      <alignment vertical="center" wrapText="1"/>
    </xf>
    <xf numFmtId="3" fontId="17" fillId="10" borderId="0" xfId="1" applyNumberFormat="1" applyFont="1" applyFill="1" applyAlignment="1">
      <alignment vertical="center"/>
    </xf>
    <xf numFmtId="0" fontId="18" fillId="0" borderId="0" xfId="0" applyFont="1" applyAlignment="1">
      <alignment horizontal="left" vertical="center" wrapText="1"/>
    </xf>
    <xf numFmtId="3" fontId="18" fillId="0" borderId="0" xfId="0" applyNumberFormat="1" applyFont="1" applyAlignment="1">
      <alignment horizontal="right" vertical="center" wrapText="1"/>
    </xf>
    <xf numFmtId="0" fontId="18" fillId="0" borderId="37" xfId="0" applyFont="1" applyBorder="1" applyAlignment="1">
      <alignment horizontal="left" vertical="center" wrapText="1"/>
    </xf>
    <xf numFmtId="3" fontId="18" fillId="0" borderId="37" xfId="0" applyNumberFormat="1" applyFont="1" applyBorder="1" applyAlignment="1">
      <alignment horizontal="right" vertical="center"/>
    </xf>
    <xf numFmtId="0" fontId="18" fillId="8" borderId="38" xfId="0" applyFont="1" applyFill="1" applyBorder="1" applyAlignment="1">
      <alignment horizontal="left" vertical="center" wrapText="1"/>
    </xf>
    <xf numFmtId="3" fontId="18" fillId="8" borderId="38" xfId="0" applyNumberFormat="1" applyFont="1" applyFill="1" applyBorder="1" applyAlignment="1">
      <alignment horizontal="right" vertical="center" wrapText="1"/>
    </xf>
    <xf numFmtId="3" fontId="18" fillId="8" borderId="38" xfId="0" applyNumberFormat="1" applyFont="1" applyFill="1" applyBorder="1" applyAlignment="1">
      <alignment horizontal="right" vertical="center"/>
    </xf>
    <xf numFmtId="0" fontId="18" fillId="8" borderId="37" xfId="0" applyFont="1" applyFill="1" applyBorder="1" applyAlignment="1">
      <alignment horizontal="left" vertical="center"/>
    </xf>
    <xf numFmtId="3" fontId="18" fillId="8" borderId="37" xfId="0" applyNumberFormat="1" applyFont="1" applyFill="1" applyBorder="1" applyAlignment="1">
      <alignment horizontal="right" vertical="center"/>
    </xf>
    <xf numFmtId="0" fontId="18" fillId="0" borderId="38" xfId="0" applyFont="1" applyBorder="1" applyAlignment="1">
      <alignment horizontal="left" vertical="center" wrapText="1"/>
    </xf>
    <xf numFmtId="3" fontId="18" fillId="0" borderId="38" xfId="0" applyNumberFormat="1" applyFont="1" applyBorder="1" applyAlignment="1">
      <alignment horizontal="right" vertical="center"/>
    </xf>
    <xf numFmtId="0" fontId="18" fillId="0" borderId="37" xfId="0" applyFont="1" applyBorder="1" applyAlignment="1">
      <alignment horizontal="left" vertical="center"/>
    </xf>
    <xf numFmtId="0" fontId="17" fillId="7" borderId="0" xfId="0" applyFont="1" applyFill="1" applyAlignment="1">
      <alignment horizontal="left" vertical="center" wrapText="1"/>
    </xf>
    <xf numFmtId="166" fontId="17" fillId="10" borderId="0" xfId="0" applyNumberFormat="1" applyFont="1" applyFill="1" applyAlignment="1">
      <alignment horizontal="center" vertical="center"/>
    </xf>
    <xf numFmtId="0" fontId="11" fillId="0" borderId="0" xfId="0" applyFont="1" applyAlignment="1">
      <alignment horizontal="left" vertical="center" wrapText="1"/>
    </xf>
    <xf numFmtId="0" fontId="20" fillId="0" borderId="28" xfId="0" applyFont="1" applyBorder="1" applyAlignment="1">
      <alignment horizontal="center" vertical="center" wrapText="1"/>
    </xf>
    <xf numFmtId="0" fontId="21" fillId="0" borderId="28" xfId="0" applyFont="1" applyBorder="1" applyAlignment="1">
      <alignment vertical="center" wrapText="1"/>
    </xf>
    <xf numFmtId="0" fontId="20" fillId="11" borderId="28" xfId="0" applyFont="1" applyFill="1" applyBorder="1" applyAlignment="1">
      <alignment horizontal="center" vertical="center" wrapText="1"/>
    </xf>
    <xf numFmtId="0" fontId="21" fillId="11" borderId="28" xfId="0" applyFont="1" applyFill="1" applyBorder="1" applyAlignment="1">
      <alignment vertical="center" wrapText="1"/>
    </xf>
    <xf numFmtId="0" fontId="25" fillId="0" borderId="0" xfId="0" applyFont="1" applyAlignment="1">
      <alignment vertical="center"/>
    </xf>
    <xf numFmtId="0" fontId="24" fillId="9" borderId="0" xfId="0" applyFont="1" applyFill="1" applyAlignment="1">
      <alignment vertical="center"/>
    </xf>
    <xf numFmtId="3" fontId="25" fillId="0" borderId="0" xfId="0" applyNumberFormat="1" applyFont="1" applyAlignment="1">
      <alignment vertical="center"/>
    </xf>
    <xf numFmtId="0" fontId="25" fillId="2" borderId="0" xfId="0" applyFont="1" applyFill="1" applyAlignment="1">
      <alignment vertical="center"/>
    </xf>
    <xf numFmtId="3" fontId="25" fillId="2" borderId="0" xfId="0" applyNumberFormat="1" applyFont="1" applyFill="1" applyAlignment="1">
      <alignment vertical="center"/>
    </xf>
    <xf numFmtId="0" fontId="26" fillId="0" borderId="0" xfId="0" applyFont="1" applyAlignment="1">
      <alignment vertical="center"/>
    </xf>
    <xf numFmtId="0" fontId="26" fillId="0" borderId="0" xfId="0" applyFont="1"/>
    <xf numFmtId="3" fontId="21" fillId="0" borderId="29" xfId="0" applyNumberFormat="1" applyFont="1" applyBorder="1" applyAlignment="1">
      <alignment vertical="center" wrapText="1"/>
    </xf>
    <xf numFmtId="3" fontId="21" fillId="11" borderId="29" xfId="0" applyNumberFormat="1" applyFont="1" applyFill="1" applyBorder="1" applyAlignment="1">
      <alignment vertical="center" wrapText="1"/>
    </xf>
    <xf numFmtId="0" fontId="23" fillId="0" borderId="0" xfId="0" applyFont="1" applyAlignment="1">
      <alignment horizontal="center" vertical="center" wrapText="1"/>
    </xf>
    <xf numFmtId="0" fontId="2" fillId="0" borderId="0" xfId="0" applyFont="1" applyAlignment="1">
      <alignment horizontal="center" vertical="center" wrapText="1"/>
    </xf>
    <xf numFmtId="0" fontId="17" fillId="9" borderId="0" xfId="0" applyFont="1" applyFill="1" applyAlignment="1">
      <alignment horizontal="center" vertical="center"/>
    </xf>
    <xf numFmtId="0" fontId="19" fillId="5" borderId="17" xfId="0" applyFont="1" applyFill="1" applyBorder="1" applyAlignment="1">
      <alignment horizontal="left" vertical="center" wrapText="1"/>
    </xf>
    <xf numFmtId="0" fontId="19" fillId="5" borderId="20" xfId="0" applyFont="1" applyFill="1" applyBorder="1" applyAlignment="1">
      <alignment horizontal="left" vertical="center" wrapText="1"/>
    </xf>
    <xf numFmtId="0" fontId="19" fillId="5" borderId="21" xfId="0" applyFont="1" applyFill="1" applyBorder="1" applyAlignment="1">
      <alignment horizontal="left" vertical="center" wrapText="1"/>
    </xf>
    <xf numFmtId="0" fontId="11" fillId="0" borderId="18"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11" fillId="0" borderId="0" xfId="0" applyFont="1" applyAlignment="1">
      <alignment horizontal="left" vertical="center"/>
    </xf>
    <xf numFmtId="0" fontId="17" fillId="7" borderId="0" xfId="0" applyFont="1" applyFill="1" applyAlignment="1">
      <alignment horizontal="center" vertical="center"/>
    </xf>
    <xf numFmtId="0" fontId="19" fillId="2" borderId="0" xfId="0" applyFont="1" applyFill="1" applyAlignment="1">
      <alignment horizontal="left" vertical="center"/>
    </xf>
    <xf numFmtId="0" fontId="19" fillId="0" borderId="0" xfId="0" applyFont="1" applyAlignment="1">
      <alignment horizontal="left" vertical="center"/>
    </xf>
    <xf numFmtId="0" fontId="17" fillId="10" borderId="0" xfId="0" applyFont="1" applyFill="1" applyAlignment="1">
      <alignment horizontal="left" vertical="center"/>
    </xf>
    <xf numFmtId="0" fontId="19" fillId="0" borderId="0" xfId="0" applyFont="1" applyAlignment="1">
      <alignment horizontal="center" vertical="center"/>
    </xf>
    <xf numFmtId="0" fontId="19" fillId="2" borderId="0" xfId="0" applyFont="1" applyFill="1" applyAlignment="1">
      <alignment horizontal="center" vertical="center"/>
    </xf>
    <xf numFmtId="0" fontId="17" fillId="10" borderId="0" xfId="0" applyFont="1" applyFill="1" applyAlignment="1">
      <alignment horizontal="center" vertical="center"/>
    </xf>
    <xf numFmtId="0" fontId="24" fillId="9" borderId="0" xfId="0" applyFont="1" applyFill="1" applyAlignment="1">
      <alignment horizontal="center" vertical="center"/>
    </xf>
    <xf numFmtId="0" fontId="25" fillId="0" borderId="0" xfId="0" applyFont="1" applyAlignment="1">
      <alignment horizontal="left" vertical="center"/>
    </xf>
    <xf numFmtId="0" fontId="25" fillId="2" borderId="0" xfId="0" applyFont="1" applyFill="1" applyAlignment="1">
      <alignment horizontal="left" vertical="center"/>
    </xf>
    <xf numFmtId="0" fontId="17" fillId="10" borderId="0" xfId="0" applyFont="1" applyFill="1" applyAlignment="1">
      <alignment horizontal="left" vertical="center" wrapText="1"/>
    </xf>
    <xf numFmtId="0" fontId="11" fillId="0" borderId="0" xfId="0" applyFont="1" applyAlignment="1">
      <alignment horizontal="left" vertical="center" wrapText="1"/>
    </xf>
    <xf numFmtId="0" fontId="19" fillId="3" borderId="0" xfId="0" applyFont="1" applyFill="1" applyAlignment="1">
      <alignment horizontal="center" vertical="center"/>
    </xf>
    <xf numFmtId="0" fontId="17" fillId="7" borderId="0" xfId="0" applyFont="1" applyFill="1" applyAlignment="1">
      <alignment horizontal="center" vertical="center" wrapText="1"/>
    </xf>
    <xf numFmtId="3" fontId="17" fillId="9" borderId="0" xfId="0" applyNumberFormat="1" applyFont="1" applyFill="1" applyAlignment="1">
      <alignment horizontal="center" vertical="center"/>
    </xf>
    <xf numFmtId="0" fontId="20" fillId="0" borderId="6"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4"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36" xfId="0" applyFont="1" applyBorder="1" applyAlignment="1">
      <alignment horizontal="center" vertical="center" wrapText="1"/>
    </xf>
    <xf numFmtId="0" fontId="17" fillId="9" borderId="27" xfId="0" applyFont="1" applyFill="1" applyBorder="1" applyAlignment="1">
      <alignment horizontal="center" vertical="center" wrapText="1"/>
    </xf>
    <xf numFmtId="0" fontId="17" fillId="9" borderId="12" xfId="0" applyFont="1" applyFill="1" applyBorder="1" applyAlignment="1">
      <alignment horizontal="center" vertical="center" wrapText="1"/>
    </xf>
    <xf numFmtId="0" fontId="20" fillId="0" borderId="14" xfId="0" applyFont="1" applyBorder="1" applyAlignment="1">
      <alignment horizontal="center" vertical="center" wrapText="1"/>
    </xf>
    <xf numFmtId="0" fontId="17" fillId="9" borderId="31" xfId="0" applyFont="1" applyFill="1" applyBorder="1" applyAlignment="1">
      <alignment horizontal="center" vertical="center" wrapText="1"/>
    </xf>
    <xf numFmtId="0" fontId="17" fillId="9" borderId="32" xfId="0" applyFont="1" applyFill="1" applyBorder="1" applyAlignment="1">
      <alignment horizontal="center" vertical="center" wrapText="1"/>
    </xf>
    <xf numFmtId="0" fontId="18" fillId="0" borderId="0" xfId="0" applyFont="1" applyAlignment="1">
      <alignment horizontal="left" vertical="center"/>
    </xf>
    <xf numFmtId="0" fontId="18" fillId="0" borderId="37" xfId="0" applyFont="1" applyBorder="1" applyAlignment="1">
      <alignment horizontal="left" vertical="center"/>
    </xf>
    <xf numFmtId="0" fontId="18" fillId="8" borderId="38" xfId="0" applyFont="1" applyFill="1" applyBorder="1" applyAlignment="1">
      <alignment horizontal="left" vertical="center"/>
    </xf>
    <xf numFmtId="0" fontId="18" fillId="8" borderId="37" xfId="0" applyFont="1" applyFill="1" applyBorder="1" applyAlignment="1">
      <alignment horizontal="left" vertical="center"/>
    </xf>
    <xf numFmtId="0" fontId="18" fillId="0" borderId="38" xfId="0" applyFont="1" applyBorder="1" applyAlignment="1">
      <alignment horizontal="left" vertical="center"/>
    </xf>
    <xf numFmtId="3" fontId="17" fillId="10" borderId="0" xfId="1" applyNumberFormat="1" applyFont="1" applyFill="1" applyAlignment="1">
      <alignment horizontal="left" vertical="center" wrapText="1"/>
    </xf>
    <xf numFmtId="0" fontId="17" fillId="7" borderId="0" xfId="5" applyFont="1" applyFill="1" applyBorder="1" applyAlignment="1">
      <alignment horizontal="center"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78E54EA0-173F-4F29-8ECA-7440E4ED96B0}"/>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222251</xdr:colOff>
      <xdr:row>13</xdr:row>
      <xdr:rowOff>15875</xdr:rowOff>
    </xdr:from>
    <xdr:to>
      <xdr:col>14</xdr:col>
      <xdr:colOff>269875</xdr:colOff>
      <xdr:row>25</xdr:row>
      <xdr:rowOff>46819</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222251" y="2794000"/>
          <a:ext cx="8493124"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700" b="0" i="0" u="none" strike="noStrike" kern="1200" cap="none" spc="0" normalizeH="0" baseline="0" noProof="0">
              <a:ln>
                <a:noFill/>
              </a:ln>
              <a:solidFill>
                <a:prstClr val="black"/>
              </a:solidFill>
              <a:effectLst/>
              <a:uLnTx/>
              <a:uFillTx/>
              <a:latin typeface="Tahoma" panose="020B0604030504040204" pitchFamily="34" charset="0"/>
              <a:ea typeface="Tahoma" panose="020B0604030504040204" pitchFamily="34" charset="0"/>
              <a:cs typeface="Tahoma" panose="020B0604030504040204" pitchFamily="34" charset="0"/>
            </a:rPr>
            <a:t> </a:t>
          </a: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May 2026</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590550</xdr:colOff>
      <xdr:row>4</xdr:row>
      <xdr:rowOff>133351</xdr:rowOff>
    </xdr:from>
    <xdr:to>
      <xdr:col>8</xdr:col>
      <xdr:colOff>561750</xdr:colOff>
      <xdr:row>11</xdr:row>
      <xdr:rowOff>127668</xdr:rowOff>
    </xdr:to>
    <xdr:pic>
      <xdr:nvPicPr>
        <xdr:cNvPr id="5" name="Picture 4">
          <a:extLst>
            <a:ext uri="{FF2B5EF4-FFF2-40B4-BE49-F238E27FC236}">
              <a16:creationId xmlns:a16="http://schemas.microsoft.com/office/drawing/2014/main" id="{DDDBCBAF-9D87-4E35-B533-192B9663B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38550" y="120015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127635</xdr:rowOff>
    </xdr:from>
    <xdr:to>
      <xdr:col>14</xdr:col>
      <xdr:colOff>28574</xdr:colOff>
      <xdr:row>21</xdr:row>
      <xdr:rowOff>59055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493395"/>
          <a:ext cx="8989694" cy="3406140"/>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tabSelected="1" zoomScaleNormal="100" workbookViewId="0">
      <selection activeCell="B9" sqref="B9"/>
    </sheetView>
  </sheetViews>
  <sheetFormatPr defaultRowHeight="14.4" x14ac:dyDescent="0.3"/>
  <sheetData>
    <row r="1" spans="1:15" ht="39" customHeight="1" x14ac:dyDescent="0.3">
      <c r="A1" s="166" t="s">
        <v>84</v>
      </c>
      <c r="B1" s="167"/>
      <c r="C1" s="167"/>
      <c r="D1" s="167"/>
      <c r="E1" s="167"/>
      <c r="F1" s="167"/>
      <c r="G1" s="167"/>
      <c r="H1" s="167"/>
      <c r="I1" s="167"/>
      <c r="J1" s="167"/>
      <c r="K1" s="167"/>
      <c r="L1" s="167"/>
      <c r="M1" s="167"/>
      <c r="N1" s="167"/>
      <c r="O1" s="167"/>
    </row>
    <row r="2" spans="1:15" x14ac:dyDescent="0.3">
      <c r="A2" s="167"/>
      <c r="B2" s="167"/>
      <c r="C2" s="167"/>
      <c r="D2" s="167"/>
      <c r="E2" s="167"/>
      <c r="F2" s="167"/>
      <c r="G2" s="167"/>
      <c r="H2" s="167"/>
      <c r="I2" s="167"/>
      <c r="J2" s="167"/>
      <c r="K2" s="167"/>
      <c r="L2" s="167"/>
      <c r="M2" s="167"/>
      <c r="N2" s="167"/>
      <c r="O2" s="167"/>
    </row>
  </sheetData>
  <mergeCells count="1">
    <mergeCell ref="A1:O2"/>
  </mergeCells>
  <pageMargins left="0.70866141732283472" right="0.70866141732283472" top="0.74803149606299213" bottom="0.74803149606299213" header="0.31496062992125984" footer="0.31496062992125984"/>
  <pageSetup paperSize="9" scale="98"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Q9" sqref="Q9"/>
    </sheetView>
  </sheetViews>
  <sheetFormatPr defaultRowHeight="14.4" x14ac:dyDescent="0.3"/>
  <sheetData/>
  <pageMargins left="0.70866141732283472" right="0.70866141732283472" top="0.74803149606299213" bottom="0.74803149606299213" header="0.31496062992125984" footer="0.31496062992125984"/>
  <pageSetup paperSize="9" scale="98" orientation="landscape" r:id="rId1"/>
  <headerFooter>
    <oddFooter>&amp;L&amp;F&amp;C&amp;P / &amp;N&amp;R&amp;A</oddFooter>
  </headerFooter>
  <colBreaks count="1" manualBreakCount="1">
    <brk id="1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59"/>
  <sheetViews>
    <sheetView showGridLines="0" zoomScaleNormal="100" workbookViewId="0">
      <selection activeCell="C5" sqref="C5:H15"/>
    </sheetView>
  </sheetViews>
  <sheetFormatPr defaultRowHeight="15" customHeight="1" x14ac:dyDescent="0.3"/>
  <cols>
    <col min="1" max="1" width="13.6640625" style="11" customWidth="1"/>
    <col min="2" max="2" width="17.44140625" style="11" customWidth="1"/>
    <col min="3" max="3" width="12.88671875" style="11" customWidth="1"/>
    <col min="4" max="4" width="10.44140625" style="11" customWidth="1"/>
    <col min="5" max="5" width="15.109375" style="11" customWidth="1"/>
    <col min="6" max="6" width="12" style="11" customWidth="1"/>
    <col min="7" max="7" width="16" style="11" customWidth="1"/>
    <col min="8" max="8" width="16.44140625" style="11" customWidth="1"/>
    <col min="9" max="16384" width="8.88671875" style="11"/>
  </cols>
  <sheetData>
    <row r="3" spans="1:8" ht="15" customHeight="1" x14ac:dyDescent="0.3">
      <c r="A3" s="168" t="s">
        <v>170</v>
      </c>
      <c r="B3" s="168"/>
      <c r="C3" s="168"/>
      <c r="D3" s="168"/>
      <c r="E3" s="168"/>
      <c r="F3" s="168"/>
      <c r="G3" s="168"/>
      <c r="H3" s="168"/>
    </row>
    <row r="4" spans="1:8" ht="40.799999999999997" x14ac:dyDescent="0.3">
      <c r="A4" s="87" t="s">
        <v>121</v>
      </c>
      <c r="B4" s="88" t="s">
        <v>58</v>
      </c>
      <c r="C4" s="88" t="s">
        <v>59</v>
      </c>
      <c r="D4" s="88" t="s">
        <v>76</v>
      </c>
      <c r="E4" s="89" t="s">
        <v>83</v>
      </c>
      <c r="F4" s="88" t="s">
        <v>116</v>
      </c>
      <c r="G4" s="88" t="s">
        <v>117</v>
      </c>
      <c r="H4" s="88" t="s">
        <v>118</v>
      </c>
    </row>
    <row r="5" spans="1:8" ht="15" customHeight="1" x14ac:dyDescent="0.3">
      <c r="A5" s="169" t="s">
        <v>85</v>
      </c>
      <c r="B5" s="12" t="s">
        <v>63</v>
      </c>
      <c r="C5" s="13">
        <v>1167.61568999727</v>
      </c>
      <c r="D5" s="13">
        <v>571.88659162495196</v>
      </c>
      <c r="E5" s="14">
        <v>8514.0466759370993</v>
      </c>
      <c r="F5" s="15">
        <v>489.79008806081487</v>
      </c>
      <c r="G5" s="13">
        <v>67.169774067747539</v>
      </c>
      <c r="H5" s="14">
        <v>7.2918227708613674</v>
      </c>
    </row>
    <row r="6" spans="1:8" ht="15" customHeight="1" x14ac:dyDescent="0.3">
      <c r="A6" s="170"/>
      <c r="B6" s="16" t="s">
        <v>65</v>
      </c>
      <c r="C6" s="17">
        <v>720.00994098171896</v>
      </c>
      <c r="D6" s="17">
        <v>278.95844837370402</v>
      </c>
      <c r="E6" s="18">
        <v>4829.7734244416697</v>
      </c>
      <c r="F6" s="19">
        <v>387.43694009745178</v>
      </c>
      <c r="G6" s="17">
        <v>57.758081768805148</v>
      </c>
      <c r="H6" s="18">
        <v>6.7079260292661687</v>
      </c>
    </row>
    <row r="7" spans="1:8" ht="15" customHeight="1" x14ac:dyDescent="0.3">
      <c r="A7" s="170"/>
      <c r="B7" s="20" t="s">
        <v>64</v>
      </c>
      <c r="C7" s="21">
        <v>422.762381227584</v>
      </c>
      <c r="D7" s="21">
        <v>210.17632250458101</v>
      </c>
      <c r="E7" s="22">
        <v>2844.4711749335102</v>
      </c>
      <c r="F7" s="23">
        <v>497.15001106363252</v>
      </c>
      <c r="G7" s="21">
        <v>73.88941900931512</v>
      </c>
      <c r="H7" s="22">
        <v>6.7282977418046501</v>
      </c>
    </row>
    <row r="8" spans="1:8" ht="15" customHeight="1" x14ac:dyDescent="0.3">
      <c r="A8" s="170"/>
      <c r="B8" s="16" t="s">
        <v>67</v>
      </c>
      <c r="C8" s="17">
        <v>212.088071453873</v>
      </c>
      <c r="D8" s="17">
        <v>86.995659501790101</v>
      </c>
      <c r="E8" s="18">
        <v>1210.6985882460699</v>
      </c>
      <c r="F8" s="19">
        <v>410.18648010437857</v>
      </c>
      <c r="G8" s="17">
        <v>71.855753650311982</v>
      </c>
      <c r="H8" s="18">
        <v>5.7084709194000309</v>
      </c>
    </row>
    <row r="9" spans="1:8" ht="15" customHeight="1" x14ac:dyDescent="0.3">
      <c r="A9" s="170"/>
      <c r="B9" s="20" t="s">
        <v>114</v>
      </c>
      <c r="C9" s="21">
        <v>158.04883577846101</v>
      </c>
      <c r="D9" s="21">
        <v>102.53071180281501</v>
      </c>
      <c r="E9" s="22">
        <v>1172.4063272326</v>
      </c>
      <c r="F9" s="23">
        <v>648.72804217636599</v>
      </c>
      <c r="G9" s="21">
        <v>87.453222847093514</v>
      </c>
      <c r="H9" s="22">
        <v>7.4180004013188441</v>
      </c>
    </row>
    <row r="10" spans="1:8" ht="15" customHeight="1" x14ac:dyDescent="0.3">
      <c r="A10" s="170"/>
      <c r="B10" s="16" t="s">
        <v>66</v>
      </c>
      <c r="C10" s="17">
        <v>128.64439526921399</v>
      </c>
      <c r="D10" s="17">
        <v>83.283299640064698</v>
      </c>
      <c r="E10" s="18">
        <v>848.80982444655899</v>
      </c>
      <c r="F10" s="19">
        <v>647.39159032756788</v>
      </c>
      <c r="G10" s="17">
        <v>98.117737614979987</v>
      </c>
      <c r="H10" s="18">
        <v>6.5981096391355063</v>
      </c>
    </row>
    <row r="11" spans="1:8" ht="15" customHeight="1" x14ac:dyDescent="0.3">
      <c r="A11" s="170"/>
      <c r="B11" s="20" t="s">
        <v>70</v>
      </c>
      <c r="C11" s="21">
        <v>100.1863936644</v>
      </c>
      <c r="D11" s="21">
        <v>59.264562422691498</v>
      </c>
      <c r="E11" s="22">
        <v>656.50038226128504</v>
      </c>
      <c r="F11" s="23">
        <v>591.5430255051732</v>
      </c>
      <c r="G11" s="21">
        <v>90.273462170056121</v>
      </c>
      <c r="H11" s="22">
        <v>6.5527898375142763</v>
      </c>
    </row>
    <row r="12" spans="1:8" ht="15" customHeight="1" x14ac:dyDescent="0.3">
      <c r="A12" s="170"/>
      <c r="B12" s="16" t="s">
        <v>69</v>
      </c>
      <c r="C12" s="17" t="s">
        <v>140</v>
      </c>
      <c r="D12" s="17" t="s">
        <v>140</v>
      </c>
      <c r="E12" s="18" t="s">
        <v>140</v>
      </c>
      <c r="F12" s="19"/>
      <c r="G12" s="17"/>
      <c r="H12" s="18"/>
    </row>
    <row r="13" spans="1:8" ht="15" customHeight="1" x14ac:dyDescent="0.3">
      <c r="A13" s="171"/>
      <c r="B13" s="38" t="s">
        <v>60</v>
      </c>
      <c r="C13" s="39">
        <v>867.82950657545916</v>
      </c>
      <c r="D13" s="39">
        <v>509.15351607694151</v>
      </c>
      <c r="E13" s="40">
        <v>5782.44640275251</v>
      </c>
      <c r="F13" s="41">
        <v>586.69763152685539</v>
      </c>
      <c r="G13" s="39">
        <v>88.051575512153249</v>
      </c>
      <c r="H13" s="40">
        <v>6.6631133868340253</v>
      </c>
    </row>
    <row r="14" spans="1:8" ht="15" customHeight="1" x14ac:dyDescent="0.3">
      <c r="A14" s="28"/>
      <c r="B14" s="29" t="s">
        <v>1</v>
      </c>
      <c r="C14" s="30">
        <v>3777.1852149479801</v>
      </c>
      <c r="D14" s="30">
        <v>1902.2491119475401</v>
      </c>
      <c r="E14" s="31">
        <v>25859.152800251301</v>
      </c>
      <c r="F14" s="28">
        <v>503.61552417909115</v>
      </c>
      <c r="G14" s="30">
        <v>73.561927053118836</v>
      </c>
      <c r="H14" s="31">
        <v>6.8461437098491444</v>
      </c>
    </row>
    <row r="15" spans="1:8" ht="15" customHeight="1" x14ac:dyDescent="0.3">
      <c r="A15" s="32"/>
      <c r="B15" s="33" t="s">
        <v>61</v>
      </c>
      <c r="C15" s="34">
        <v>9.0472963542657672E-2</v>
      </c>
      <c r="D15" s="34">
        <v>8.414382625585641E-2</v>
      </c>
      <c r="E15" s="35">
        <v>0.11091426131634013</v>
      </c>
      <c r="F15" s="32"/>
      <c r="G15" s="36"/>
      <c r="H15" s="37"/>
    </row>
    <row r="16" spans="1:8" ht="15" customHeight="1" x14ac:dyDescent="0.3">
      <c r="A16" s="172" t="s">
        <v>127</v>
      </c>
      <c r="B16" s="172"/>
      <c r="C16" s="172"/>
      <c r="D16" s="172"/>
      <c r="E16" s="172"/>
      <c r="F16" s="1"/>
    </row>
    <row r="19" spans="1:8" ht="15" customHeight="1" x14ac:dyDescent="0.3">
      <c r="A19" s="168" t="s">
        <v>164</v>
      </c>
      <c r="B19" s="168"/>
      <c r="C19" s="168"/>
      <c r="D19" s="168"/>
      <c r="E19" s="168"/>
      <c r="F19" s="168"/>
      <c r="G19" s="168"/>
      <c r="H19" s="168"/>
    </row>
    <row r="20" spans="1:8" ht="40.799999999999997" x14ac:dyDescent="0.3">
      <c r="A20" s="87" t="s">
        <v>121</v>
      </c>
      <c r="B20" s="88" t="s">
        <v>58</v>
      </c>
      <c r="C20" s="88" t="s">
        <v>59</v>
      </c>
      <c r="D20" s="88" t="s">
        <v>76</v>
      </c>
      <c r="E20" s="89" t="s">
        <v>83</v>
      </c>
      <c r="F20" s="88" t="s">
        <v>116</v>
      </c>
      <c r="G20" s="88" t="s">
        <v>117</v>
      </c>
      <c r="H20" s="88" t="s">
        <v>118</v>
      </c>
    </row>
    <row r="21" spans="1:8" ht="15" customHeight="1" x14ac:dyDescent="0.3">
      <c r="A21" s="169" t="s">
        <v>85</v>
      </c>
      <c r="B21" s="12" t="s">
        <v>63</v>
      </c>
      <c r="C21" s="13">
        <v>973</v>
      </c>
      <c r="D21" s="13">
        <v>575.79999999999995</v>
      </c>
      <c r="E21" s="14">
        <v>7554.3</v>
      </c>
      <c r="F21" s="15">
        <v>591.77800616649529</v>
      </c>
      <c r="G21" s="13">
        <v>76.221489747560994</v>
      </c>
      <c r="H21" s="14">
        <v>7.7639260020554968</v>
      </c>
    </row>
    <row r="22" spans="1:8" ht="15" customHeight="1" x14ac:dyDescent="0.3">
      <c r="A22" s="170"/>
      <c r="B22" s="16" t="s">
        <v>65</v>
      </c>
      <c r="C22" s="17">
        <v>529.4</v>
      </c>
      <c r="D22" s="17">
        <v>271.10000000000002</v>
      </c>
      <c r="E22" s="18">
        <v>3794</v>
      </c>
      <c r="F22" s="19">
        <v>512.08915753683425</v>
      </c>
      <c r="G22" s="17">
        <v>71.400000000000006</v>
      </c>
      <c r="H22" s="18">
        <v>7.1721170523366133</v>
      </c>
    </row>
    <row r="23" spans="1:8" ht="15" customHeight="1" x14ac:dyDescent="0.3">
      <c r="A23" s="170"/>
      <c r="B23" s="20" t="s">
        <v>64</v>
      </c>
      <c r="C23" s="21">
        <v>452.9</v>
      </c>
      <c r="D23" s="21">
        <v>224.8</v>
      </c>
      <c r="E23" s="22">
        <v>3045.1</v>
      </c>
      <c r="F23" s="23">
        <v>496.35681165820273</v>
      </c>
      <c r="G23" s="21">
        <v>73.823519753045886</v>
      </c>
      <c r="H23" s="22">
        <v>6.723559284610289</v>
      </c>
    </row>
    <row r="24" spans="1:8" ht="15" customHeight="1" x14ac:dyDescent="0.3">
      <c r="A24" s="170"/>
      <c r="B24" s="16" t="s">
        <v>67</v>
      </c>
      <c r="C24" s="17">
        <v>172.9</v>
      </c>
      <c r="D24" s="17">
        <v>83.4</v>
      </c>
      <c r="E24" s="18">
        <v>1181.2</v>
      </c>
      <c r="F24" s="19">
        <v>482.6</v>
      </c>
      <c r="G24" s="17">
        <v>70.60616322384017</v>
      </c>
      <c r="H24" s="18">
        <v>6.8350973621103117</v>
      </c>
    </row>
    <row r="25" spans="1:8" ht="15" customHeight="1" x14ac:dyDescent="0.3">
      <c r="A25" s="170"/>
      <c r="B25" s="20" t="s">
        <v>114</v>
      </c>
      <c r="C25" s="21">
        <v>183.8</v>
      </c>
      <c r="D25" s="21">
        <v>142.80000000000001</v>
      </c>
      <c r="E25" s="22">
        <v>1491.4</v>
      </c>
      <c r="F25" s="23">
        <v>776.93144722524482</v>
      </c>
      <c r="G25" s="21">
        <v>95.8</v>
      </c>
      <c r="H25" s="22">
        <v>8.1099315994284424</v>
      </c>
    </row>
    <row r="26" spans="1:8" ht="15" customHeight="1" x14ac:dyDescent="0.3">
      <c r="A26" s="170"/>
      <c r="B26" s="16" t="s">
        <v>66</v>
      </c>
      <c r="C26" s="17">
        <v>163.9</v>
      </c>
      <c r="D26" s="17">
        <v>104.6</v>
      </c>
      <c r="E26" s="18">
        <v>1101.9000000000001</v>
      </c>
      <c r="F26" s="19">
        <v>638</v>
      </c>
      <c r="G26" s="17">
        <v>94.926944368817487</v>
      </c>
      <c r="H26" s="18">
        <v>6.72095793499044</v>
      </c>
    </row>
    <row r="27" spans="1:8" ht="15" customHeight="1" x14ac:dyDescent="0.3">
      <c r="A27" s="170"/>
      <c r="B27" s="20" t="s">
        <v>70</v>
      </c>
      <c r="C27" s="21">
        <v>78.2</v>
      </c>
      <c r="D27" s="21">
        <v>51.3</v>
      </c>
      <c r="E27" s="22">
        <v>525.4</v>
      </c>
      <c r="F27" s="23">
        <v>656.01023017902799</v>
      </c>
      <c r="G27" s="21">
        <v>97.7</v>
      </c>
      <c r="H27" s="22">
        <v>6.7145366446164578</v>
      </c>
    </row>
    <row r="28" spans="1:8" ht="15" customHeight="1" x14ac:dyDescent="0.3">
      <c r="A28" s="170"/>
      <c r="B28" s="16" t="s">
        <v>69</v>
      </c>
      <c r="C28" s="17" t="s">
        <v>140</v>
      </c>
      <c r="D28" s="17" t="s">
        <v>140</v>
      </c>
      <c r="E28" s="18" t="s">
        <v>140</v>
      </c>
      <c r="F28" s="19" t="s">
        <v>141</v>
      </c>
      <c r="G28" s="17" t="s">
        <v>141</v>
      </c>
      <c r="H28" s="18" t="s">
        <v>141</v>
      </c>
    </row>
    <row r="29" spans="1:8" ht="15" customHeight="1" x14ac:dyDescent="0.3">
      <c r="A29" s="171"/>
      <c r="B29" s="38" t="s">
        <v>60</v>
      </c>
      <c r="C29" s="39">
        <v>878.79999999999973</v>
      </c>
      <c r="D29" s="39">
        <v>529.79999999999995</v>
      </c>
      <c r="E29" s="40">
        <v>5987.4999999999964</v>
      </c>
      <c r="F29" s="41">
        <v>602.86754665452906</v>
      </c>
      <c r="G29" s="39">
        <v>88.484342379958292</v>
      </c>
      <c r="H29" s="40">
        <v>6.8132680928538898</v>
      </c>
    </row>
    <row r="30" spans="1:8" ht="15" customHeight="1" x14ac:dyDescent="0.3">
      <c r="A30" s="28"/>
      <c r="B30" s="29" t="s">
        <v>1</v>
      </c>
      <c r="C30" s="30">
        <v>3432.9</v>
      </c>
      <c r="D30" s="30">
        <v>1983.6</v>
      </c>
      <c r="E30" s="31">
        <v>24680.799999999999</v>
      </c>
      <c r="F30" s="28">
        <v>577.82050161670884</v>
      </c>
      <c r="G30" s="30">
        <v>80.370166283102662</v>
      </c>
      <c r="H30" s="31">
        <v>7.1894899356229409</v>
      </c>
    </row>
    <row r="31" spans="1:8" ht="20.399999999999999" x14ac:dyDescent="0.3">
      <c r="A31" s="32"/>
      <c r="B31" s="33" t="s">
        <v>61</v>
      </c>
      <c r="C31" s="34">
        <v>8.7229290380613347E-2</v>
      </c>
      <c r="D31" s="34">
        <v>9.6330074738851079E-2</v>
      </c>
      <c r="E31" s="35">
        <v>0.10682590193111424</v>
      </c>
      <c r="F31" s="32"/>
      <c r="G31" s="36"/>
      <c r="H31" s="37"/>
    </row>
    <row r="32" spans="1:8" ht="15" customHeight="1" x14ac:dyDescent="0.3">
      <c r="A32" s="172" t="s">
        <v>127</v>
      </c>
      <c r="B32" s="172"/>
      <c r="C32" s="172"/>
      <c r="D32" s="172"/>
      <c r="E32" s="172"/>
      <c r="F32" s="1"/>
    </row>
    <row r="35" spans="1:8" ht="15" customHeight="1" x14ac:dyDescent="0.3">
      <c r="A35" s="168" t="s">
        <v>142</v>
      </c>
      <c r="B35" s="168"/>
      <c r="C35" s="168"/>
      <c r="D35" s="168"/>
      <c r="E35" s="168"/>
      <c r="F35" s="168"/>
      <c r="G35" s="168"/>
      <c r="H35" s="168"/>
    </row>
    <row r="36" spans="1:8" ht="40.799999999999997" x14ac:dyDescent="0.3">
      <c r="A36" s="87" t="s">
        <v>121</v>
      </c>
      <c r="B36" s="88" t="s">
        <v>58</v>
      </c>
      <c r="C36" s="88" t="s">
        <v>59</v>
      </c>
      <c r="D36" s="88" t="s">
        <v>76</v>
      </c>
      <c r="E36" s="89" t="s">
        <v>83</v>
      </c>
      <c r="F36" s="88" t="s">
        <v>116</v>
      </c>
      <c r="G36" s="88" t="s">
        <v>117</v>
      </c>
      <c r="H36" s="88" t="s">
        <v>118</v>
      </c>
    </row>
    <row r="37" spans="1:8" ht="15" customHeight="1" x14ac:dyDescent="0.3">
      <c r="A37" s="169" t="s">
        <v>85</v>
      </c>
      <c r="B37" s="12" t="s">
        <v>63</v>
      </c>
      <c r="C37" s="13">
        <v>1065.82079203589</v>
      </c>
      <c r="D37" s="13">
        <v>684.75044380030704</v>
      </c>
      <c r="E37" s="14">
        <v>9357.3508016331798</v>
      </c>
      <c r="F37" s="15">
        <v>642.4630190337374</v>
      </c>
      <c r="G37" s="13">
        <v>73.177810506024258</v>
      </c>
      <c r="H37" s="14">
        <v>8.7794785685866827</v>
      </c>
    </row>
    <row r="38" spans="1:8" ht="15" customHeight="1" x14ac:dyDescent="0.3">
      <c r="A38" s="170"/>
      <c r="B38" s="16" t="s">
        <v>65</v>
      </c>
      <c r="C38" s="17">
        <v>548.38817754068805</v>
      </c>
      <c r="D38" s="17">
        <v>331.941878940251</v>
      </c>
      <c r="E38" s="18">
        <v>4229.2088210995598</v>
      </c>
      <c r="F38" s="19">
        <v>605.30458630396413</v>
      </c>
      <c r="G38" s="17">
        <v>78.487937811013268</v>
      </c>
      <c r="H38" s="18">
        <v>7.7120714747461365</v>
      </c>
    </row>
    <row r="39" spans="1:8" ht="15" customHeight="1" x14ac:dyDescent="0.3">
      <c r="A39" s="170"/>
      <c r="B39" s="20" t="s">
        <v>64</v>
      </c>
      <c r="C39" s="21">
        <v>445.09291429874298</v>
      </c>
      <c r="D39" s="21">
        <v>203.15591567925199</v>
      </c>
      <c r="E39" s="22">
        <v>3356.0562210261401</v>
      </c>
      <c r="F39" s="23">
        <v>456.43484574300658</v>
      </c>
      <c r="G39" s="21">
        <v>60.534121689157971</v>
      </c>
      <c r="H39" s="22">
        <v>7.5401250238137481</v>
      </c>
    </row>
    <row r="40" spans="1:8" ht="15" customHeight="1" x14ac:dyDescent="0.3">
      <c r="A40" s="170"/>
      <c r="B40" s="16" t="s">
        <v>67</v>
      </c>
      <c r="C40" s="17">
        <v>164.66046885168601</v>
      </c>
      <c r="D40" s="17">
        <v>101.489691062353</v>
      </c>
      <c r="E40" s="18">
        <v>1294.2951652315601</v>
      </c>
      <c r="F40" s="19">
        <v>616.35735504778279</v>
      </c>
      <c r="G40" s="17">
        <v>78.41309601445947</v>
      </c>
      <c r="H40" s="18">
        <v>7.86038795017258</v>
      </c>
    </row>
    <row r="41" spans="1:8" ht="15" customHeight="1" x14ac:dyDescent="0.3">
      <c r="A41" s="170"/>
      <c r="B41" s="20" t="s">
        <v>114</v>
      </c>
      <c r="C41" s="21">
        <v>159.50954517739601</v>
      </c>
      <c r="D41" s="21">
        <v>107.78418153345901</v>
      </c>
      <c r="E41" s="22">
        <v>1269.4401799905099</v>
      </c>
      <c r="F41" s="23">
        <v>675.72245544044745</v>
      </c>
      <c r="G41" s="21">
        <v>84.906861490917024</v>
      </c>
      <c r="H41" s="22">
        <v>7.9583963365873958</v>
      </c>
    </row>
    <row r="42" spans="1:8" ht="15" customHeight="1" x14ac:dyDescent="0.3">
      <c r="A42" s="170"/>
      <c r="B42" s="16" t="s">
        <v>66</v>
      </c>
      <c r="C42" s="17">
        <v>129.16993344560501</v>
      </c>
      <c r="D42" s="17">
        <v>79.694232465880205</v>
      </c>
      <c r="E42" s="18">
        <v>910.44175268512402</v>
      </c>
      <c r="F42" s="19">
        <v>616.97200223022787</v>
      </c>
      <c r="G42" s="17">
        <v>87.533587108501635</v>
      </c>
      <c r="H42" s="18">
        <v>7.048403048597387</v>
      </c>
    </row>
    <row r="43" spans="1:8" ht="15" customHeight="1" x14ac:dyDescent="0.3">
      <c r="A43" s="170"/>
      <c r="B43" s="20" t="s">
        <v>70</v>
      </c>
      <c r="C43" s="21">
        <v>99.271065332105906</v>
      </c>
      <c r="D43" s="21">
        <v>74.341942452948899</v>
      </c>
      <c r="E43" s="22">
        <v>778.73354582954903</v>
      </c>
      <c r="F43" s="23">
        <v>748.87825777070088</v>
      </c>
      <c r="G43" s="21">
        <v>95.465185558117753</v>
      </c>
      <c r="H43" s="22">
        <v>7.8445168612257623</v>
      </c>
    </row>
    <row r="44" spans="1:8" ht="15" customHeight="1" x14ac:dyDescent="0.3">
      <c r="A44" s="170"/>
      <c r="B44" s="16" t="s">
        <v>69</v>
      </c>
      <c r="C44" s="17" t="s">
        <v>140</v>
      </c>
      <c r="D44" s="17" t="s">
        <v>140</v>
      </c>
      <c r="E44" s="18" t="s">
        <v>140</v>
      </c>
      <c r="F44" s="19" t="s">
        <v>141</v>
      </c>
      <c r="G44" s="17" t="s">
        <v>141</v>
      </c>
      <c r="H44" s="18" t="s">
        <v>141</v>
      </c>
    </row>
    <row r="45" spans="1:8" ht="15" customHeight="1" x14ac:dyDescent="0.3">
      <c r="A45" s="171"/>
      <c r="B45" s="38" t="s">
        <v>60</v>
      </c>
      <c r="C45" s="39">
        <v>766.00498664204588</v>
      </c>
      <c r="D45" s="39">
        <v>455.67147531298883</v>
      </c>
      <c r="E45" s="40">
        <v>5719.3590543899736</v>
      </c>
      <c r="F45" s="41">
        <v>594.8675051196816</v>
      </c>
      <c r="G45" s="39">
        <v>79.671772829725015</v>
      </c>
      <c r="H45" s="40">
        <v>7.4664775740717602</v>
      </c>
    </row>
    <row r="46" spans="1:8" ht="15" customHeight="1" x14ac:dyDescent="0.3">
      <c r="A46" s="28"/>
      <c r="B46" s="29" t="s">
        <v>1</v>
      </c>
      <c r="C46" s="30">
        <v>3377.9178833241599</v>
      </c>
      <c r="D46" s="30">
        <v>2038.82976124744</v>
      </c>
      <c r="E46" s="31">
        <v>26914.8855418856</v>
      </c>
      <c r="F46" s="28">
        <v>603.57588066677852</v>
      </c>
      <c r="G46" s="30">
        <v>75.751009903964245</v>
      </c>
      <c r="H46" s="31">
        <v>7.9678921961830085</v>
      </c>
    </row>
    <row r="47" spans="1:8" ht="20.399999999999999" x14ac:dyDescent="0.3">
      <c r="A47" s="32"/>
      <c r="B47" s="33" t="s">
        <v>61</v>
      </c>
      <c r="C47" s="34">
        <v>9.347900972182574E-2</v>
      </c>
      <c r="D47" s="34">
        <v>0.10325146393635987</v>
      </c>
      <c r="E47" s="35">
        <v>0.11807998408101793</v>
      </c>
      <c r="F47" s="32"/>
      <c r="G47" s="36"/>
      <c r="H47" s="37"/>
    </row>
    <row r="48" spans="1:8" ht="15" customHeight="1" x14ac:dyDescent="0.3">
      <c r="A48" s="172" t="s">
        <v>127</v>
      </c>
      <c r="B48" s="172"/>
      <c r="C48" s="172"/>
      <c r="D48" s="172"/>
      <c r="E48" s="172"/>
      <c r="F48" s="1"/>
    </row>
    <row r="51" spans="1:8" ht="15" customHeight="1" x14ac:dyDescent="0.3">
      <c r="A51" s="168" t="s">
        <v>139</v>
      </c>
      <c r="B51" s="168"/>
      <c r="C51" s="168"/>
      <c r="D51" s="168"/>
      <c r="E51" s="168"/>
      <c r="F51" s="168"/>
      <c r="G51" s="168"/>
      <c r="H51" s="168"/>
    </row>
    <row r="52" spans="1:8" ht="40.799999999999997" x14ac:dyDescent="0.3">
      <c r="A52" s="87" t="s">
        <v>121</v>
      </c>
      <c r="B52" s="88" t="s">
        <v>58</v>
      </c>
      <c r="C52" s="88" t="s">
        <v>59</v>
      </c>
      <c r="D52" s="88" t="s">
        <v>76</v>
      </c>
      <c r="E52" s="89" t="s">
        <v>83</v>
      </c>
      <c r="F52" s="88" t="s">
        <v>116</v>
      </c>
      <c r="G52" s="88" t="s">
        <v>117</v>
      </c>
      <c r="H52" s="88" t="s">
        <v>118</v>
      </c>
    </row>
    <row r="53" spans="1:8" ht="15" customHeight="1" x14ac:dyDescent="0.3">
      <c r="A53" s="169" t="s">
        <v>85</v>
      </c>
      <c r="B53" s="12" t="s">
        <v>63</v>
      </c>
      <c r="C53" s="13">
        <v>992.88535607781796</v>
      </c>
      <c r="D53" s="13">
        <v>868.26390872177706</v>
      </c>
      <c r="E53" s="14">
        <v>7912.4699952959199</v>
      </c>
      <c r="F53" s="15">
        <v>874.485562111288</v>
      </c>
      <c r="G53" s="13">
        <v>109.73361153192022</v>
      </c>
      <c r="H53" s="14">
        <v>7.9691677864526538</v>
      </c>
    </row>
    <row r="54" spans="1:8" ht="15" customHeight="1" x14ac:dyDescent="0.3">
      <c r="A54" s="170"/>
      <c r="B54" s="16" t="s">
        <v>65</v>
      </c>
      <c r="C54" s="17">
        <v>462.24478063690202</v>
      </c>
      <c r="D54" s="17">
        <v>427.993965146927</v>
      </c>
      <c r="E54" s="18">
        <v>3471.3497466146</v>
      </c>
      <c r="F54" s="19">
        <v>925.90329426157564</v>
      </c>
      <c r="G54" s="17">
        <v>123.29324222208491</v>
      </c>
      <c r="H54" s="18">
        <v>7.5097651547987532</v>
      </c>
    </row>
    <row r="55" spans="1:8" ht="15" customHeight="1" x14ac:dyDescent="0.3">
      <c r="A55" s="170"/>
      <c r="B55" s="20" t="s">
        <v>64</v>
      </c>
      <c r="C55" s="21">
        <v>343.55522709939299</v>
      </c>
      <c r="D55" s="21">
        <v>259.11185428489102</v>
      </c>
      <c r="E55" s="22">
        <v>2555.7684508704601</v>
      </c>
      <c r="F55" s="23">
        <v>754.20728269090807</v>
      </c>
      <c r="G55" s="21">
        <v>101.38314924289837</v>
      </c>
      <c r="H55" s="22">
        <v>7.4391778941877602</v>
      </c>
    </row>
    <row r="56" spans="1:8" ht="15" customHeight="1" x14ac:dyDescent="0.3">
      <c r="A56" s="170"/>
      <c r="B56" s="16" t="s">
        <v>67</v>
      </c>
      <c r="C56" s="17">
        <v>193.10413334657801</v>
      </c>
      <c r="D56" s="17">
        <v>165.32755632714799</v>
      </c>
      <c r="E56" s="18">
        <v>1424.0794917120199</v>
      </c>
      <c r="F56" s="19">
        <v>856.15752217184615</v>
      </c>
      <c r="G56" s="17">
        <v>116.0943313131995</v>
      </c>
      <c r="H56" s="18">
        <v>7.3746712047645353</v>
      </c>
    </row>
    <row r="57" spans="1:8" ht="15" customHeight="1" x14ac:dyDescent="0.3">
      <c r="A57" s="170"/>
      <c r="B57" s="20" t="s">
        <v>114</v>
      </c>
      <c r="C57" s="21">
        <v>170.73437271280801</v>
      </c>
      <c r="D57" s="21">
        <v>131.44495148757099</v>
      </c>
      <c r="E57" s="22">
        <v>1401.37831845197</v>
      </c>
      <c r="F57" s="23">
        <v>769.87983965404737</v>
      </c>
      <c r="G57" s="21">
        <v>93.796906771592845</v>
      </c>
      <c r="H57" s="22">
        <v>8.2079448688942449</v>
      </c>
    </row>
    <row r="58" spans="1:8" ht="15" customHeight="1" x14ac:dyDescent="0.3">
      <c r="A58" s="170"/>
      <c r="B58" s="16" t="s">
        <v>66</v>
      </c>
      <c r="C58" s="17">
        <v>179.231862823108</v>
      </c>
      <c r="D58" s="17">
        <v>123.347793770854</v>
      </c>
      <c r="E58" s="18">
        <v>1244.6032886031401</v>
      </c>
      <c r="F58" s="19">
        <v>688.20237555970448</v>
      </c>
      <c r="G58" s="17">
        <v>99.10611268695213</v>
      </c>
      <c r="H58" s="18">
        <v>6.9440961500885319</v>
      </c>
    </row>
    <row r="59" spans="1:8" ht="15" customHeight="1" x14ac:dyDescent="0.3">
      <c r="A59" s="170"/>
      <c r="B59" s="20" t="s">
        <v>70</v>
      </c>
      <c r="C59" s="21">
        <v>96.052736524135895</v>
      </c>
      <c r="D59" s="21">
        <v>85.496666124235901</v>
      </c>
      <c r="E59" s="22">
        <v>711.23928570907503</v>
      </c>
      <c r="F59" s="23">
        <v>890.10130495087469</v>
      </c>
      <c r="G59" s="21">
        <v>120.20801977916531</v>
      </c>
      <c r="H59" s="22">
        <v>7.4046748843054209</v>
      </c>
    </row>
    <row r="60" spans="1:8" ht="15" customHeight="1" x14ac:dyDescent="0.3">
      <c r="A60" s="170"/>
      <c r="B60" s="16" t="s">
        <v>69</v>
      </c>
      <c r="C60" s="17" t="s">
        <v>140</v>
      </c>
      <c r="D60" s="17" t="s">
        <v>140</v>
      </c>
      <c r="E60" s="18" t="s">
        <v>140</v>
      </c>
      <c r="F60" s="19" t="s">
        <v>141</v>
      </c>
      <c r="G60" s="17" t="s">
        <v>141</v>
      </c>
      <c r="H60" s="18" t="s">
        <v>141</v>
      </c>
    </row>
    <row r="61" spans="1:8" ht="15" customHeight="1" x14ac:dyDescent="0.3">
      <c r="A61" s="171"/>
      <c r="B61" s="38" t="s">
        <v>60</v>
      </c>
      <c r="C61" s="39">
        <v>738.4432737363868</v>
      </c>
      <c r="D61" s="39">
        <v>546.7390441715761</v>
      </c>
      <c r="E61" s="40">
        <v>5304.8677518243167</v>
      </c>
      <c r="F61" s="41">
        <v>740.39410150650758</v>
      </c>
      <c r="G61" s="39">
        <v>103.06365205495563</v>
      </c>
      <c r="H61" s="40">
        <v>7.1838527622882458</v>
      </c>
    </row>
    <row r="62" spans="1:8" ht="15" customHeight="1" x14ac:dyDescent="0.3">
      <c r="A62" s="28"/>
      <c r="B62" s="29" t="s">
        <v>1</v>
      </c>
      <c r="C62" s="30">
        <v>3176.2517429571299</v>
      </c>
      <c r="D62" s="30">
        <v>2607.7257400349799</v>
      </c>
      <c r="E62" s="31">
        <v>24025.756329081501</v>
      </c>
      <c r="F62" s="28">
        <v>821.00725983613461</v>
      </c>
      <c r="G62" s="30">
        <v>108.53875750327619</v>
      </c>
      <c r="H62" s="31">
        <v>7.5641851696280282</v>
      </c>
    </row>
    <row r="63" spans="1:8" ht="15" customHeight="1" x14ac:dyDescent="0.3">
      <c r="A63" s="32"/>
      <c r="B63" s="33" t="s">
        <v>61</v>
      </c>
      <c r="C63" s="34">
        <v>0.1012618717090535</v>
      </c>
      <c r="D63" s="34">
        <v>0.15110728906706497</v>
      </c>
      <c r="E63" s="35">
        <v>0.11074384675994065</v>
      </c>
      <c r="F63" s="32"/>
      <c r="G63" s="36"/>
      <c r="H63" s="37"/>
    </row>
    <row r="64" spans="1:8" ht="15" customHeight="1" x14ac:dyDescent="0.3">
      <c r="A64" s="172" t="s">
        <v>127</v>
      </c>
      <c r="B64" s="172"/>
      <c r="C64" s="172"/>
      <c r="D64" s="172"/>
      <c r="E64" s="172"/>
      <c r="F64" s="1"/>
    </row>
    <row r="67" spans="1:8" ht="15" customHeight="1" x14ac:dyDescent="0.3">
      <c r="A67" s="168" t="s">
        <v>136</v>
      </c>
      <c r="B67" s="168"/>
      <c r="C67" s="168"/>
      <c r="D67" s="168"/>
      <c r="E67" s="168"/>
      <c r="F67" s="168"/>
      <c r="G67" s="168"/>
      <c r="H67" s="168"/>
    </row>
    <row r="68" spans="1:8" ht="40.799999999999997" x14ac:dyDescent="0.3">
      <c r="A68" s="87" t="s">
        <v>121</v>
      </c>
      <c r="B68" s="88" t="s">
        <v>58</v>
      </c>
      <c r="C68" s="88" t="s">
        <v>59</v>
      </c>
      <c r="D68" s="88" t="s">
        <v>76</v>
      </c>
      <c r="E68" s="89" t="s">
        <v>83</v>
      </c>
      <c r="F68" s="88" t="s">
        <v>116</v>
      </c>
      <c r="G68" s="88" t="s">
        <v>117</v>
      </c>
      <c r="H68" s="88" t="s">
        <v>118</v>
      </c>
    </row>
    <row r="69" spans="1:8" ht="15" customHeight="1" x14ac:dyDescent="0.3">
      <c r="A69" s="169" t="s">
        <v>85</v>
      </c>
      <c r="B69" s="12" t="s">
        <v>63</v>
      </c>
      <c r="C69" s="13">
        <v>408.507184602667</v>
      </c>
      <c r="D69" s="13">
        <v>397.84081463024302</v>
      </c>
      <c r="E69" s="14">
        <v>3868.2234859150799</v>
      </c>
      <c r="F69" s="15">
        <f>D69/C69*1000</f>
        <v>973.88939442326193</v>
      </c>
      <c r="G69" s="13">
        <f>D69/E69*1000</f>
        <v>102.84845642421006</v>
      </c>
      <c r="H69" s="14">
        <f>F69/G69</f>
        <v>9.46916879730645</v>
      </c>
    </row>
    <row r="70" spans="1:8" ht="15" customHeight="1" x14ac:dyDescent="0.3">
      <c r="A70" s="170"/>
      <c r="B70" s="16" t="s">
        <v>65</v>
      </c>
      <c r="C70" s="17">
        <v>234.85969717166199</v>
      </c>
      <c r="D70" s="17">
        <v>178.38079222892901</v>
      </c>
      <c r="E70" s="18">
        <v>1950.1276928667301</v>
      </c>
      <c r="F70" s="19">
        <f t="shared" ref="F70:F78" si="0">D70/C70*1000</f>
        <v>759.52066010946169</v>
      </c>
      <c r="G70" s="17">
        <f t="shared" ref="G70:G78" si="1">D70/E70*1000</f>
        <v>91.471339482752214</v>
      </c>
      <c r="H70" s="18">
        <f t="shared" ref="H70:H78" si="2">F70/G70</f>
        <v>8.3033731046726</v>
      </c>
    </row>
    <row r="71" spans="1:8" ht="15" customHeight="1" x14ac:dyDescent="0.3">
      <c r="A71" s="170"/>
      <c r="B71" s="20" t="s">
        <v>64</v>
      </c>
      <c r="C71" s="21">
        <v>205.87368009599101</v>
      </c>
      <c r="D71" s="21">
        <v>118.538266043254</v>
      </c>
      <c r="E71" s="22">
        <v>1529.40166348005</v>
      </c>
      <c r="F71" s="23">
        <f t="shared" si="0"/>
        <v>575.78154715058349</v>
      </c>
      <c r="G71" s="21">
        <f t="shared" si="1"/>
        <v>77.506301237784854</v>
      </c>
      <c r="H71" s="22">
        <f t="shared" si="2"/>
        <v>7.4288353070045101</v>
      </c>
    </row>
    <row r="72" spans="1:8" ht="15" customHeight="1" x14ac:dyDescent="0.3">
      <c r="A72" s="170"/>
      <c r="B72" s="16" t="s">
        <v>114</v>
      </c>
      <c r="C72" s="17">
        <v>109.870755887404</v>
      </c>
      <c r="D72" s="17">
        <v>85.5240119833894</v>
      </c>
      <c r="E72" s="18">
        <v>1083.39478103491</v>
      </c>
      <c r="F72" s="19">
        <f t="shared" si="0"/>
        <v>778.40560295257058</v>
      </c>
      <c r="G72" s="17">
        <f t="shared" si="1"/>
        <v>78.940764235261327</v>
      </c>
      <c r="H72" s="18">
        <f t="shared" si="2"/>
        <v>9.8606291754757507</v>
      </c>
    </row>
    <row r="73" spans="1:8" ht="15" customHeight="1" x14ac:dyDescent="0.3">
      <c r="A73" s="170"/>
      <c r="B73" s="20" t="s">
        <v>67</v>
      </c>
      <c r="C73" s="21">
        <v>103.73561971052401</v>
      </c>
      <c r="D73" s="21">
        <v>77.711683777337598</v>
      </c>
      <c r="E73" s="22">
        <v>932.71036797401496</v>
      </c>
      <c r="F73" s="23">
        <f t="shared" si="0"/>
        <v>749.1321109778238</v>
      </c>
      <c r="G73" s="21">
        <f t="shared" si="1"/>
        <v>83.318130092344617</v>
      </c>
      <c r="H73" s="22">
        <f t="shared" si="2"/>
        <v>8.9912256809836286</v>
      </c>
    </row>
    <row r="74" spans="1:8" ht="15" customHeight="1" x14ac:dyDescent="0.3">
      <c r="A74" s="170"/>
      <c r="B74" s="16" t="s">
        <v>66</v>
      </c>
      <c r="C74" s="17">
        <v>128.06839436850501</v>
      </c>
      <c r="D74" s="17">
        <v>75.661321575830002</v>
      </c>
      <c r="E74" s="18">
        <v>873.27615795518295</v>
      </c>
      <c r="F74" s="19">
        <f t="shared" si="0"/>
        <v>590.78839825321393</v>
      </c>
      <c r="G74" s="17">
        <f t="shared" si="1"/>
        <v>86.640773238324215</v>
      </c>
      <c r="H74" s="18">
        <f t="shared" si="2"/>
        <v>6.8188264736294819</v>
      </c>
    </row>
    <row r="75" spans="1:8" ht="15" customHeight="1" x14ac:dyDescent="0.3">
      <c r="A75" s="170"/>
      <c r="B75" s="20" t="s">
        <v>70</v>
      </c>
      <c r="C75" s="21">
        <v>38.383801013869501</v>
      </c>
      <c r="D75" s="21">
        <v>28.457614475220399</v>
      </c>
      <c r="E75" s="22">
        <v>262.42133651633799</v>
      </c>
      <c r="F75" s="23">
        <f t="shared" si="0"/>
        <v>741.39646735188103</v>
      </c>
      <c r="G75" s="21">
        <f t="shared" si="1"/>
        <v>108.44245690155103</v>
      </c>
      <c r="H75" s="22">
        <f t="shared" si="2"/>
        <v>6.836773054901867</v>
      </c>
    </row>
    <row r="76" spans="1:8" ht="15" customHeight="1" x14ac:dyDescent="0.3">
      <c r="A76" s="170"/>
      <c r="B76" s="16" t="s">
        <v>69</v>
      </c>
      <c r="C76" s="17">
        <v>13.644568714650401</v>
      </c>
      <c r="D76" s="17">
        <v>11.6889317358144</v>
      </c>
      <c r="E76" s="18">
        <v>143.37986117989001</v>
      </c>
      <c r="F76" s="19">
        <f t="shared" ref="F76" si="3">D76/C76*1000</f>
        <v>856.67286231361788</v>
      </c>
      <c r="G76" s="17">
        <f t="shared" ref="G76" si="4">D76/E76*1000</f>
        <v>81.524222715971291</v>
      </c>
      <c r="H76" s="18">
        <f t="shared" ref="H76" si="5">F76/G76</f>
        <v>10.508200308738282</v>
      </c>
    </row>
    <row r="77" spans="1:8" ht="15" customHeight="1" x14ac:dyDescent="0.3">
      <c r="A77" s="171"/>
      <c r="B77" s="38" t="s">
        <v>60</v>
      </c>
      <c r="C77" s="39">
        <f>C78-SUM(C69:C76)</f>
        <v>499.297907208997</v>
      </c>
      <c r="D77" s="39">
        <f t="shared" ref="D77:E77" si="6">D78-SUM(D69:D76)</f>
        <v>323.54112580889205</v>
      </c>
      <c r="E77" s="40">
        <f t="shared" si="6"/>
        <v>3747.5998826703053</v>
      </c>
      <c r="F77" s="41">
        <f t="shared" si="0"/>
        <v>647.99215285607761</v>
      </c>
      <c r="G77" s="39">
        <f t="shared" si="1"/>
        <v>86.332889299365888</v>
      </c>
      <c r="H77" s="40">
        <f t="shared" si="2"/>
        <v>7.5057392161301975</v>
      </c>
    </row>
    <row r="78" spans="1:8" ht="15" customHeight="1" x14ac:dyDescent="0.3">
      <c r="A78" s="28"/>
      <c r="B78" s="29" t="s">
        <v>1</v>
      </c>
      <c r="C78" s="30">
        <v>1742.2416087742699</v>
      </c>
      <c r="D78" s="30">
        <v>1297.3445622589099</v>
      </c>
      <c r="E78" s="31">
        <v>14390.5352295925</v>
      </c>
      <c r="F78" s="28">
        <f t="shared" si="0"/>
        <v>744.64101633506436</v>
      </c>
      <c r="G78" s="30">
        <f t="shared" si="1"/>
        <v>90.152627512496437</v>
      </c>
      <c r="H78" s="31">
        <f t="shared" si="2"/>
        <v>8.2597816267955864</v>
      </c>
    </row>
    <row r="79" spans="1:8" ht="20.399999999999999" x14ac:dyDescent="0.3">
      <c r="A79" s="32"/>
      <c r="B79" s="33" t="s">
        <v>61</v>
      </c>
      <c r="C79" s="34">
        <v>0.10639072415709518</v>
      </c>
      <c r="D79" s="34">
        <v>0.12560919629670586</v>
      </c>
      <c r="E79" s="35">
        <v>0.10955246834670471</v>
      </c>
      <c r="F79" s="32"/>
      <c r="G79" s="36"/>
      <c r="H79" s="37"/>
    </row>
    <row r="80" spans="1:8" ht="15" customHeight="1" x14ac:dyDescent="0.3">
      <c r="A80" s="172" t="s">
        <v>127</v>
      </c>
      <c r="B80" s="172"/>
      <c r="C80" s="172"/>
      <c r="D80" s="172"/>
      <c r="E80" s="172"/>
      <c r="F80" s="1"/>
    </row>
    <row r="83" spans="1:8" ht="15" customHeight="1" x14ac:dyDescent="0.3">
      <c r="A83" s="168" t="s">
        <v>113</v>
      </c>
      <c r="B83" s="168"/>
      <c r="C83" s="168"/>
      <c r="D83" s="168"/>
      <c r="E83" s="168"/>
      <c r="F83" s="168"/>
      <c r="G83" s="168"/>
      <c r="H83" s="168"/>
    </row>
    <row r="84" spans="1:8" ht="40.799999999999997" x14ac:dyDescent="0.3">
      <c r="A84" s="87" t="s">
        <v>121</v>
      </c>
      <c r="B84" s="88" t="s">
        <v>58</v>
      </c>
      <c r="C84" s="88" t="s">
        <v>59</v>
      </c>
      <c r="D84" s="88" t="s">
        <v>76</v>
      </c>
      <c r="E84" s="89" t="s">
        <v>83</v>
      </c>
      <c r="F84" s="88" t="s">
        <v>116</v>
      </c>
      <c r="G84" s="88" t="s">
        <v>117</v>
      </c>
      <c r="H84" s="88" t="s">
        <v>118</v>
      </c>
    </row>
    <row r="85" spans="1:8" ht="15" customHeight="1" x14ac:dyDescent="0.3">
      <c r="A85" s="169" t="s">
        <v>85</v>
      </c>
      <c r="B85" s="12" t="s">
        <v>63</v>
      </c>
      <c r="C85" s="13">
        <v>275.976</v>
      </c>
      <c r="D85" s="13">
        <v>155.33033370000001</v>
      </c>
      <c r="E85" s="14">
        <v>2274.09</v>
      </c>
      <c r="F85" s="15">
        <f>D85/C85*1000</f>
        <v>562.84000673971661</v>
      </c>
      <c r="G85" s="13">
        <f>D85/E85*1000</f>
        <v>68.304391514847694</v>
      </c>
      <c r="H85" s="14">
        <f>F85/G85</f>
        <v>8.24017305852683</v>
      </c>
    </row>
    <row r="86" spans="1:8" ht="15" customHeight="1" x14ac:dyDescent="0.3">
      <c r="A86" s="170"/>
      <c r="B86" s="16" t="s">
        <v>65</v>
      </c>
      <c r="C86" s="17">
        <v>141.648</v>
      </c>
      <c r="D86" s="17">
        <v>73.470811000000026</v>
      </c>
      <c r="E86" s="18">
        <v>1318.9549999999999</v>
      </c>
      <c r="F86" s="19">
        <f t="shared" ref="F86:F93" si="7">D86/C86*1000</f>
        <v>518.68583389811386</v>
      </c>
      <c r="G86" s="17">
        <f t="shared" ref="G86:G93" si="8">D86/E86*1000</f>
        <v>55.703804147980811</v>
      </c>
      <c r="H86" s="18">
        <f t="shared" ref="H86:H93" si="9">F86/G86</f>
        <v>9.3114975149666783</v>
      </c>
    </row>
    <row r="87" spans="1:8" ht="15" customHeight="1" x14ac:dyDescent="0.3">
      <c r="A87" s="170"/>
      <c r="B87" s="20" t="s">
        <v>64</v>
      </c>
      <c r="C87" s="21">
        <v>80.039000000000001</v>
      </c>
      <c r="D87" s="21">
        <v>42.369997400000017</v>
      </c>
      <c r="E87" s="22">
        <v>746.62099999999998</v>
      </c>
      <c r="F87" s="23">
        <f t="shared" si="7"/>
        <v>529.36690113569648</v>
      </c>
      <c r="G87" s="21">
        <f t="shared" si="8"/>
        <v>56.749003041703908</v>
      </c>
      <c r="H87" s="22">
        <f t="shared" si="9"/>
        <v>9.3282149951898443</v>
      </c>
    </row>
    <row r="88" spans="1:8" ht="15" customHeight="1" x14ac:dyDescent="0.3">
      <c r="A88" s="170"/>
      <c r="B88" s="16" t="s">
        <v>114</v>
      </c>
      <c r="C88" s="17">
        <v>48.57</v>
      </c>
      <c r="D88" s="17">
        <v>37.297368899999995</v>
      </c>
      <c r="E88" s="18">
        <v>488.048</v>
      </c>
      <c r="F88" s="19">
        <f t="shared" si="7"/>
        <v>767.90959234095112</v>
      </c>
      <c r="G88" s="17">
        <f t="shared" si="8"/>
        <v>76.421517760548127</v>
      </c>
      <c r="H88" s="18">
        <f t="shared" si="9"/>
        <v>10.048342598311717</v>
      </c>
    </row>
    <row r="89" spans="1:8" ht="15" customHeight="1" x14ac:dyDescent="0.3">
      <c r="A89" s="170"/>
      <c r="B89" s="20" t="s">
        <v>67</v>
      </c>
      <c r="C89" s="21">
        <v>33.207000000000001</v>
      </c>
      <c r="D89" s="21">
        <v>18.837915400000004</v>
      </c>
      <c r="E89" s="22">
        <v>292.64699999999999</v>
      </c>
      <c r="F89" s="23">
        <f t="shared" si="7"/>
        <v>567.2874815550939</v>
      </c>
      <c r="G89" s="21">
        <f t="shared" si="8"/>
        <v>64.370779129804859</v>
      </c>
      <c r="H89" s="22">
        <f t="shared" si="9"/>
        <v>8.812810551992051</v>
      </c>
    </row>
    <row r="90" spans="1:8" ht="15" customHeight="1" x14ac:dyDescent="0.3">
      <c r="A90" s="170"/>
      <c r="B90" s="16" t="s">
        <v>66</v>
      </c>
      <c r="C90" s="17">
        <v>58.54</v>
      </c>
      <c r="D90" s="17">
        <v>27.795631199999995</v>
      </c>
      <c r="E90" s="18">
        <v>415.96899999999999</v>
      </c>
      <c r="F90" s="19">
        <f t="shared" si="7"/>
        <v>474.81433549709595</v>
      </c>
      <c r="G90" s="17">
        <f t="shared" si="8"/>
        <v>66.82140063322025</v>
      </c>
      <c r="H90" s="18">
        <f t="shared" si="9"/>
        <v>7.1057225828493342</v>
      </c>
    </row>
    <row r="91" spans="1:8" ht="15" customHeight="1" x14ac:dyDescent="0.3">
      <c r="A91" s="170"/>
      <c r="B91" s="20" t="s">
        <v>70</v>
      </c>
      <c r="C91" s="21">
        <v>22.481000000000002</v>
      </c>
      <c r="D91" s="21">
        <v>15.8664383</v>
      </c>
      <c r="E91" s="22">
        <v>212.49700000000001</v>
      </c>
      <c r="F91" s="23">
        <f t="shared" si="7"/>
        <v>705.77101997242107</v>
      </c>
      <c r="G91" s="21">
        <f t="shared" si="8"/>
        <v>74.666646117356947</v>
      </c>
      <c r="H91" s="22">
        <f t="shared" si="9"/>
        <v>9.4522930474623017</v>
      </c>
    </row>
    <row r="92" spans="1:8" ht="15" customHeight="1" x14ac:dyDescent="0.3">
      <c r="A92" s="171"/>
      <c r="B92" s="24" t="s">
        <v>60</v>
      </c>
      <c r="C92" s="25">
        <f>C93-SUM(C85:C91)</f>
        <v>144.63699999999994</v>
      </c>
      <c r="D92" s="25">
        <f>D93-SUM(D85:D91)</f>
        <v>75.127480000000219</v>
      </c>
      <c r="E92" s="26">
        <f>E93-SUM(E85:E91)</f>
        <v>1164.8409999999994</v>
      </c>
      <c r="F92" s="27">
        <f t="shared" si="7"/>
        <v>519.4208950683452</v>
      </c>
      <c r="G92" s="25">
        <f t="shared" si="8"/>
        <v>64.495909742188203</v>
      </c>
      <c r="H92" s="26">
        <f t="shared" si="9"/>
        <v>8.0535478473696216</v>
      </c>
    </row>
    <row r="93" spans="1:8" ht="15" customHeight="1" x14ac:dyDescent="0.3">
      <c r="A93" s="28"/>
      <c r="B93" s="29" t="s">
        <v>1</v>
      </c>
      <c r="C93" s="30">
        <v>805.09799999999996</v>
      </c>
      <c r="D93" s="30">
        <v>446.09597590000027</v>
      </c>
      <c r="E93" s="31">
        <v>6913.6679999999997</v>
      </c>
      <c r="F93" s="28">
        <f t="shared" si="7"/>
        <v>554.08903748363593</v>
      </c>
      <c r="G93" s="30">
        <f t="shared" si="8"/>
        <v>64.523777523016776</v>
      </c>
      <c r="H93" s="31">
        <f t="shared" si="9"/>
        <v>8.5873620354292264</v>
      </c>
    </row>
    <row r="94" spans="1:8" ht="20.399999999999999" x14ac:dyDescent="0.3">
      <c r="A94" s="32"/>
      <c r="B94" s="33" t="s">
        <v>61</v>
      </c>
      <c r="C94" s="34">
        <v>9.7144914606137986E-2</v>
      </c>
      <c r="D94" s="34">
        <v>0.10810114107581373</v>
      </c>
      <c r="E94" s="35">
        <v>0.10793605900529787</v>
      </c>
      <c r="F94" s="32"/>
      <c r="G94" s="36"/>
      <c r="H94" s="37"/>
    </row>
    <row r="95" spans="1:8" ht="15" customHeight="1" x14ac:dyDescent="0.3">
      <c r="A95" s="172" t="s">
        <v>127</v>
      </c>
      <c r="B95" s="172"/>
      <c r="C95" s="172"/>
      <c r="D95" s="172"/>
      <c r="E95" s="172"/>
      <c r="F95" s="1"/>
    </row>
    <row r="98" spans="1:8" ht="15" customHeight="1" x14ac:dyDescent="0.3">
      <c r="A98" s="168" t="s">
        <v>111</v>
      </c>
      <c r="B98" s="168"/>
      <c r="C98" s="168"/>
      <c r="D98" s="168"/>
      <c r="E98" s="168"/>
      <c r="F98" s="168"/>
      <c r="G98" s="168"/>
      <c r="H98" s="168"/>
    </row>
    <row r="99" spans="1:8" ht="40.799999999999997" x14ac:dyDescent="0.3">
      <c r="A99" s="87" t="s">
        <v>121</v>
      </c>
      <c r="B99" s="88" t="s">
        <v>58</v>
      </c>
      <c r="C99" s="88" t="s">
        <v>59</v>
      </c>
      <c r="D99" s="88" t="s">
        <v>76</v>
      </c>
      <c r="E99" s="89" t="s">
        <v>83</v>
      </c>
      <c r="F99" s="88" t="s">
        <v>116</v>
      </c>
      <c r="G99" s="88" t="s">
        <v>117</v>
      </c>
      <c r="H99" s="88" t="s">
        <v>118</v>
      </c>
    </row>
    <row r="100" spans="1:8" ht="15" customHeight="1" x14ac:dyDescent="0.3">
      <c r="A100" s="169" t="s">
        <v>85</v>
      </c>
      <c r="B100" s="12" t="s">
        <v>63</v>
      </c>
      <c r="C100" s="13">
        <v>1075.375</v>
      </c>
      <c r="D100" s="13">
        <v>754.62513249999972</v>
      </c>
      <c r="E100" s="14">
        <v>8242.6579999999994</v>
      </c>
      <c r="F100" s="15">
        <f>D100/C100*1000</f>
        <v>701.73207718237791</v>
      </c>
      <c r="G100" s="13">
        <f>D100/E100*1000</f>
        <v>91.55118803910095</v>
      </c>
      <c r="H100" s="14">
        <f>F100/G100</f>
        <v>7.6649150296408219</v>
      </c>
    </row>
    <row r="101" spans="1:8" ht="15" customHeight="1" x14ac:dyDescent="0.3">
      <c r="A101" s="170"/>
      <c r="B101" s="16" t="s">
        <v>64</v>
      </c>
      <c r="C101" s="17">
        <v>314.55500000000001</v>
      </c>
      <c r="D101" s="17">
        <v>179.77303210000005</v>
      </c>
      <c r="E101" s="18">
        <v>2488.1770000000001</v>
      </c>
      <c r="F101" s="19">
        <f t="shared" ref="F101:F109" si="10">D101/C101*1000</f>
        <v>571.51541733560123</v>
      </c>
      <c r="G101" s="17">
        <f t="shared" ref="G101:G109" si="11">D101/E101*1000</f>
        <v>72.250901804815342</v>
      </c>
      <c r="H101" s="18">
        <f t="shared" ref="H101:H109" si="12">F101/G101</f>
        <v>7.9101492584762614</v>
      </c>
    </row>
    <row r="102" spans="1:8" ht="15" customHeight="1" x14ac:dyDescent="0.3">
      <c r="A102" s="170"/>
      <c r="B102" s="20" t="s">
        <v>65</v>
      </c>
      <c r="C102" s="21">
        <v>350.017</v>
      </c>
      <c r="D102" s="21">
        <v>202.94795340000005</v>
      </c>
      <c r="E102" s="22">
        <v>2554.5529999999999</v>
      </c>
      <c r="F102" s="23">
        <f t="shared" si="10"/>
        <v>579.82313259070281</v>
      </c>
      <c r="G102" s="21">
        <f t="shared" si="11"/>
        <v>79.445583395607784</v>
      </c>
      <c r="H102" s="22">
        <f t="shared" si="12"/>
        <v>7.2983683649651292</v>
      </c>
    </row>
    <row r="103" spans="1:8" ht="15" customHeight="1" x14ac:dyDescent="0.3">
      <c r="A103" s="170"/>
      <c r="B103" s="16" t="s">
        <v>66</v>
      </c>
      <c r="C103" s="17">
        <v>148.72300000000001</v>
      </c>
      <c r="D103" s="17">
        <v>78.437905700000002</v>
      </c>
      <c r="E103" s="18">
        <v>959.98599999999999</v>
      </c>
      <c r="F103" s="19">
        <f t="shared" si="10"/>
        <v>527.40938321577687</v>
      </c>
      <c r="G103" s="17">
        <f t="shared" si="11"/>
        <v>81.707343336256997</v>
      </c>
      <c r="H103" s="18">
        <f t="shared" si="12"/>
        <v>6.454859033236283</v>
      </c>
    </row>
    <row r="104" spans="1:8" ht="15" customHeight="1" x14ac:dyDescent="0.3">
      <c r="A104" s="170"/>
      <c r="B104" s="20" t="s">
        <v>68</v>
      </c>
      <c r="C104" s="21">
        <v>128.625</v>
      </c>
      <c r="D104" s="21">
        <v>81.01148400000001</v>
      </c>
      <c r="E104" s="22">
        <v>1141.973</v>
      </c>
      <c r="F104" s="23">
        <f t="shared" si="10"/>
        <v>629.82689212827995</v>
      </c>
      <c r="G104" s="21">
        <f t="shared" si="11"/>
        <v>70.939929402884317</v>
      </c>
      <c r="H104" s="22">
        <f t="shared" si="12"/>
        <v>8.8783129251700679</v>
      </c>
    </row>
    <row r="105" spans="1:8" ht="15" customHeight="1" x14ac:dyDescent="0.3">
      <c r="A105" s="170"/>
      <c r="B105" s="16" t="s">
        <v>67</v>
      </c>
      <c r="C105" s="17">
        <v>73.998999999999995</v>
      </c>
      <c r="D105" s="17">
        <v>45.741893200000007</v>
      </c>
      <c r="E105" s="18">
        <v>462.52</v>
      </c>
      <c r="F105" s="19">
        <f t="shared" si="10"/>
        <v>618.14204516277255</v>
      </c>
      <c r="G105" s="17">
        <f t="shared" si="11"/>
        <v>98.897114070742902</v>
      </c>
      <c r="H105" s="18">
        <f t="shared" si="12"/>
        <v>6.2503547345234391</v>
      </c>
    </row>
    <row r="106" spans="1:8" ht="15" customHeight="1" x14ac:dyDescent="0.3">
      <c r="A106" s="170"/>
      <c r="B106" s="20" t="s">
        <v>69</v>
      </c>
      <c r="C106" s="21">
        <v>46.154000000000003</v>
      </c>
      <c r="D106" s="21">
        <v>38.813966799999996</v>
      </c>
      <c r="E106" s="22">
        <v>579.76</v>
      </c>
      <c r="F106" s="23">
        <f t="shared" si="10"/>
        <v>840.96647744507504</v>
      </c>
      <c r="G106" s="21">
        <f t="shared" si="11"/>
        <v>66.948335173175096</v>
      </c>
      <c r="H106" s="22">
        <f t="shared" si="12"/>
        <v>12.561424795250682</v>
      </c>
    </row>
    <row r="107" spans="1:8" ht="15" customHeight="1" x14ac:dyDescent="0.3">
      <c r="A107" s="170"/>
      <c r="B107" s="16" t="s">
        <v>70</v>
      </c>
      <c r="C107" s="17">
        <v>72.879000000000005</v>
      </c>
      <c r="D107" s="17">
        <v>65.575548300000008</v>
      </c>
      <c r="E107" s="18">
        <v>684.18700000000001</v>
      </c>
      <c r="F107" s="19">
        <f t="shared" si="10"/>
        <v>899.78660931132424</v>
      </c>
      <c r="G107" s="17">
        <f t="shared" si="11"/>
        <v>95.844481552558008</v>
      </c>
      <c r="H107" s="18">
        <f t="shared" si="12"/>
        <v>9.3879855651147786</v>
      </c>
    </row>
    <row r="108" spans="1:8" ht="15" customHeight="1" x14ac:dyDescent="0.3">
      <c r="A108" s="171"/>
      <c r="B108" s="38" t="s">
        <v>60</v>
      </c>
      <c r="C108" s="39">
        <f>C109-SUM(C100:C107)</f>
        <v>837.48700000000008</v>
      </c>
      <c r="D108" s="39">
        <f>D109-SUM(D100:D107)</f>
        <v>464.29213909999976</v>
      </c>
      <c r="E108" s="40">
        <f>E109-SUM(E100:E107)</f>
        <v>6630.5919999999969</v>
      </c>
      <c r="F108" s="41">
        <f t="shared" si="10"/>
        <v>554.38727896671787</v>
      </c>
      <c r="G108" s="39">
        <f t="shared" si="11"/>
        <v>70.022727849941603</v>
      </c>
      <c r="H108" s="40">
        <f t="shared" si="12"/>
        <v>7.9172476707101067</v>
      </c>
    </row>
    <row r="109" spans="1:8" ht="15" customHeight="1" x14ac:dyDescent="0.3">
      <c r="A109" s="28"/>
      <c r="B109" s="29" t="s">
        <v>1</v>
      </c>
      <c r="C109" s="30">
        <v>3047.8139999999999</v>
      </c>
      <c r="D109" s="30">
        <v>1911.2190550999997</v>
      </c>
      <c r="E109" s="31">
        <v>23744.405999999999</v>
      </c>
      <c r="F109" s="28">
        <f t="shared" si="10"/>
        <v>627.07863901799772</v>
      </c>
      <c r="G109" s="30">
        <f t="shared" si="11"/>
        <v>80.491339943395502</v>
      </c>
      <c r="H109" s="31">
        <f t="shared" si="12"/>
        <v>7.7906348615761978</v>
      </c>
    </row>
    <row r="110" spans="1:8" ht="20.399999999999999" x14ac:dyDescent="0.3">
      <c r="A110" s="32"/>
      <c r="B110" s="33" t="s">
        <v>61</v>
      </c>
      <c r="C110" s="34">
        <v>8.3175740980612325E-2</v>
      </c>
      <c r="D110" s="34">
        <v>0.10810114107581373</v>
      </c>
      <c r="E110" s="35">
        <v>0.10214242613546665</v>
      </c>
      <c r="F110" s="32"/>
      <c r="G110" s="36"/>
      <c r="H110" s="37"/>
    </row>
    <row r="111" spans="1:8" ht="15" customHeight="1" x14ac:dyDescent="0.3">
      <c r="A111" s="172" t="s">
        <v>127</v>
      </c>
      <c r="B111" s="172"/>
      <c r="C111" s="172"/>
      <c r="D111" s="172"/>
      <c r="E111" s="172"/>
      <c r="F111" s="1"/>
    </row>
    <row r="114" spans="1:8" ht="15" customHeight="1" x14ac:dyDescent="0.3">
      <c r="A114" s="168" t="s">
        <v>105</v>
      </c>
      <c r="B114" s="168"/>
      <c r="C114" s="168"/>
      <c r="D114" s="168"/>
      <c r="E114" s="168"/>
      <c r="F114" s="168"/>
      <c r="G114" s="168"/>
      <c r="H114" s="168"/>
    </row>
    <row r="115" spans="1:8" ht="40.799999999999997" x14ac:dyDescent="0.3">
      <c r="A115" s="87" t="s">
        <v>121</v>
      </c>
      <c r="B115" s="88" t="s">
        <v>58</v>
      </c>
      <c r="C115" s="88" t="s">
        <v>59</v>
      </c>
      <c r="D115" s="88" t="s">
        <v>76</v>
      </c>
      <c r="E115" s="89" t="s">
        <v>83</v>
      </c>
      <c r="F115" s="88" t="s">
        <v>116</v>
      </c>
      <c r="G115" s="88" t="s">
        <v>117</v>
      </c>
      <c r="H115" s="88" t="s">
        <v>118</v>
      </c>
    </row>
    <row r="116" spans="1:8" ht="15" customHeight="1" x14ac:dyDescent="0.3">
      <c r="A116" s="169" t="s">
        <v>85</v>
      </c>
      <c r="B116" s="12" t="s">
        <v>63</v>
      </c>
      <c r="C116" s="13">
        <v>917.72699999999998</v>
      </c>
      <c r="D116" s="13">
        <v>538.39490120000005</v>
      </c>
      <c r="E116" s="14">
        <v>7269.5</v>
      </c>
      <c r="F116" s="15">
        <f>D116/C116*1000</f>
        <v>586.66128510984208</v>
      </c>
      <c r="G116" s="13">
        <f>D116/E116*1000</f>
        <v>74.062164000275132</v>
      </c>
      <c r="H116" s="14">
        <f>F116/G116</f>
        <v>7.9212009671721546</v>
      </c>
    </row>
    <row r="117" spans="1:8" ht="15" customHeight="1" x14ac:dyDescent="0.3">
      <c r="A117" s="170"/>
      <c r="B117" s="16" t="s">
        <v>64</v>
      </c>
      <c r="C117" s="17">
        <v>372.29399999999998</v>
      </c>
      <c r="D117" s="17">
        <v>188.1740107</v>
      </c>
      <c r="E117" s="18">
        <v>2944.817</v>
      </c>
      <c r="F117" s="19">
        <f t="shared" ref="F117:F125" si="13">D117/C117*1000</f>
        <v>505.44465046441786</v>
      </c>
      <c r="G117" s="17">
        <f t="shared" ref="G117:G125" si="14">D117/E117*1000</f>
        <v>63.900069410085578</v>
      </c>
      <c r="H117" s="18">
        <f t="shared" ref="H117:H125" si="15">F117/G117</f>
        <v>7.9099233401558982</v>
      </c>
    </row>
    <row r="118" spans="1:8" ht="15" customHeight="1" x14ac:dyDescent="0.3">
      <c r="A118" s="170"/>
      <c r="B118" s="20" t="s">
        <v>65</v>
      </c>
      <c r="C118" s="21">
        <v>410.41300000000001</v>
      </c>
      <c r="D118" s="21">
        <v>239.53277850000001</v>
      </c>
      <c r="E118" s="22">
        <v>3150.5650000000001</v>
      </c>
      <c r="F118" s="23">
        <f t="shared" si="13"/>
        <v>583.63838011953817</v>
      </c>
      <c r="G118" s="21">
        <f t="shared" si="14"/>
        <v>76.028515044127019</v>
      </c>
      <c r="H118" s="22">
        <f t="shared" si="15"/>
        <v>7.6765721358728882</v>
      </c>
    </row>
    <row r="119" spans="1:8" ht="15" customHeight="1" x14ac:dyDescent="0.3">
      <c r="A119" s="170"/>
      <c r="B119" s="16" t="s">
        <v>66</v>
      </c>
      <c r="C119" s="17">
        <v>189.34200000000001</v>
      </c>
      <c r="D119" s="17">
        <v>97.828456500000016</v>
      </c>
      <c r="E119" s="18">
        <v>1277.347</v>
      </c>
      <c r="F119" s="19">
        <f t="shared" si="13"/>
        <v>516.67594353075401</v>
      </c>
      <c r="G119" s="17">
        <f t="shared" si="14"/>
        <v>76.58722062211757</v>
      </c>
      <c r="H119" s="18">
        <f t="shared" si="15"/>
        <v>6.7462422494744967</v>
      </c>
    </row>
    <row r="120" spans="1:8" ht="15" customHeight="1" x14ac:dyDescent="0.3">
      <c r="A120" s="170"/>
      <c r="B120" s="20" t="s">
        <v>68</v>
      </c>
      <c r="C120" s="21">
        <v>151.559</v>
      </c>
      <c r="D120" s="21">
        <v>96.355255799999995</v>
      </c>
      <c r="E120" s="22">
        <v>1312.039</v>
      </c>
      <c r="F120" s="23">
        <f t="shared" si="13"/>
        <v>635.76069913367076</v>
      </c>
      <c r="G120" s="21">
        <f t="shared" si="14"/>
        <v>73.439322916468186</v>
      </c>
      <c r="H120" s="22">
        <f t="shared" si="15"/>
        <v>8.656952078068608</v>
      </c>
    </row>
    <row r="121" spans="1:8" ht="15" customHeight="1" x14ac:dyDescent="0.3">
      <c r="A121" s="170"/>
      <c r="B121" s="16" t="s">
        <v>67</v>
      </c>
      <c r="C121" s="17">
        <v>98.167000000000002</v>
      </c>
      <c r="D121" s="17">
        <v>53.124495799999998</v>
      </c>
      <c r="E121" s="18">
        <v>701.43299999999999</v>
      </c>
      <c r="F121" s="19">
        <f t="shared" si="13"/>
        <v>541.16450334633839</v>
      </c>
      <c r="G121" s="17">
        <f t="shared" si="14"/>
        <v>75.737092209804786</v>
      </c>
      <c r="H121" s="18">
        <f t="shared" si="15"/>
        <v>7.1453034115334075</v>
      </c>
    </row>
    <row r="122" spans="1:8" ht="15" customHeight="1" x14ac:dyDescent="0.3">
      <c r="A122" s="170"/>
      <c r="B122" s="20" t="s">
        <v>69</v>
      </c>
      <c r="C122" s="21">
        <v>44.308</v>
      </c>
      <c r="D122" s="21">
        <v>24.573157299999998</v>
      </c>
      <c r="E122" s="22">
        <v>432.59899999999999</v>
      </c>
      <c r="F122" s="23">
        <f t="shared" si="13"/>
        <v>554.59865712738099</v>
      </c>
      <c r="G122" s="21">
        <f t="shared" si="14"/>
        <v>56.803546240282571</v>
      </c>
      <c r="H122" s="22">
        <f t="shared" si="15"/>
        <v>9.7634512954771129</v>
      </c>
    </row>
    <row r="123" spans="1:8" ht="15" customHeight="1" x14ac:dyDescent="0.3">
      <c r="A123" s="170"/>
      <c r="B123" s="16" t="s">
        <v>70</v>
      </c>
      <c r="C123" s="17">
        <v>76.549000000000007</v>
      </c>
      <c r="D123" s="17">
        <v>50.199349900000009</v>
      </c>
      <c r="E123" s="18">
        <v>594.64800000000002</v>
      </c>
      <c r="F123" s="19">
        <f t="shared" si="13"/>
        <v>655.78060980548412</v>
      </c>
      <c r="G123" s="17">
        <f t="shared" si="14"/>
        <v>84.418597052373855</v>
      </c>
      <c r="H123" s="18">
        <f t="shared" si="15"/>
        <v>7.7682007602973249</v>
      </c>
    </row>
    <row r="124" spans="1:8" ht="15" customHeight="1" x14ac:dyDescent="0.3">
      <c r="A124" s="171"/>
      <c r="B124" s="38" t="s">
        <v>60</v>
      </c>
      <c r="C124" s="39">
        <f>C125-SUM(C116:C123)</f>
        <v>901.93499999999995</v>
      </c>
      <c r="D124" s="39">
        <f>D125-SUM(D116:D123)</f>
        <v>402.89863799999966</v>
      </c>
      <c r="E124" s="40">
        <f>E125-SUM(E116:E123)</f>
        <v>7078.844000000001</v>
      </c>
      <c r="F124" s="41">
        <f t="shared" si="13"/>
        <v>446.70473814631839</v>
      </c>
      <c r="G124" s="39">
        <f t="shared" si="14"/>
        <v>56.915880333003464</v>
      </c>
      <c r="H124" s="40">
        <f t="shared" si="15"/>
        <v>7.8485079301723539</v>
      </c>
    </row>
    <row r="125" spans="1:8" ht="15" customHeight="1" x14ac:dyDescent="0.3">
      <c r="A125" s="28"/>
      <c r="B125" s="29" t="s">
        <v>1</v>
      </c>
      <c r="C125" s="30">
        <v>3162.2939999999999</v>
      </c>
      <c r="D125" s="30">
        <v>1691.0810436999998</v>
      </c>
      <c r="E125" s="31">
        <v>24761.792000000001</v>
      </c>
      <c r="F125" s="28">
        <f t="shared" si="13"/>
        <v>534.76401741900031</v>
      </c>
      <c r="G125" s="30">
        <f t="shared" si="14"/>
        <v>68.293968534264394</v>
      </c>
      <c r="H125" s="31">
        <f t="shared" si="15"/>
        <v>7.8303257065914824</v>
      </c>
    </row>
    <row r="126" spans="1:8" ht="20.399999999999999" x14ac:dyDescent="0.3">
      <c r="A126" s="32"/>
      <c r="B126" s="33" t="s">
        <v>61</v>
      </c>
      <c r="C126" s="34">
        <v>9.078948241054155E-2</v>
      </c>
      <c r="D126" s="34">
        <v>0.10803430580272372</v>
      </c>
      <c r="E126" s="35">
        <v>0.10907701747450789</v>
      </c>
      <c r="F126" s="32"/>
      <c r="G126" s="36"/>
      <c r="H126" s="37"/>
    </row>
    <row r="127" spans="1:8" ht="15" customHeight="1" x14ac:dyDescent="0.3">
      <c r="A127" s="172" t="s">
        <v>127</v>
      </c>
      <c r="B127" s="172"/>
      <c r="C127" s="172"/>
      <c r="D127" s="172"/>
      <c r="E127" s="172"/>
      <c r="F127" s="1"/>
    </row>
    <row r="130" spans="1:8" ht="15" customHeight="1" x14ac:dyDescent="0.3">
      <c r="A130" s="168" t="s">
        <v>82</v>
      </c>
      <c r="B130" s="168"/>
      <c r="C130" s="168"/>
      <c r="D130" s="168"/>
      <c r="E130" s="168"/>
      <c r="F130" s="168"/>
      <c r="G130" s="168"/>
      <c r="H130" s="168"/>
    </row>
    <row r="131" spans="1:8" ht="40.799999999999997" x14ac:dyDescent="0.3">
      <c r="A131" s="87" t="s">
        <v>121</v>
      </c>
      <c r="B131" s="88" t="s">
        <v>58</v>
      </c>
      <c r="C131" s="88" t="s">
        <v>59</v>
      </c>
      <c r="D131" s="88" t="s">
        <v>76</v>
      </c>
      <c r="E131" s="89" t="s">
        <v>83</v>
      </c>
      <c r="F131" s="88" t="s">
        <v>116</v>
      </c>
      <c r="G131" s="88" t="s">
        <v>117</v>
      </c>
      <c r="H131" s="88" t="s">
        <v>118</v>
      </c>
    </row>
    <row r="132" spans="1:8" ht="15" customHeight="1" x14ac:dyDescent="0.3">
      <c r="A132" s="169" t="s">
        <v>85</v>
      </c>
      <c r="B132" s="12" t="s">
        <v>63</v>
      </c>
      <c r="C132" s="13">
        <v>896.33699999999999</v>
      </c>
      <c r="D132" s="13">
        <v>604.21397739999998</v>
      </c>
      <c r="E132" s="14">
        <v>7740.7039999999997</v>
      </c>
      <c r="F132" s="15">
        <f>D132/C132*1000</f>
        <v>674.09241992688021</v>
      </c>
      <c r="G132" s="13">
        <f>D132/E132*1000</f>
        <v>78.056721636688337</v>
      </c>
      <c r="H132" s="14">
        <f>F132/G132</f>
        <v>8.6359304591911314</v>
      </c>
    </row>
    <row r="133" spans="1:8" ht="15" customHeight="1" x14ac:dyDescent="0.3">
      <c r="A133" s="170"/>
      <c r="B133" s="16" t="s">
        <v>64</v>
      </c>
      <c r="C133" s="17">
        <v>326.27199999999999</v>
      </c>
      <c r="D133" s="17">
        <v>184.20642590000003</v>
      </c>
      <c r="E133" s="18">
        <v>2634.2660000000001</v>
      </c>
      <c r="F133" s="19">
        <f t="shared" ref="F133:F141" si="16">D133/C133*1000</f>
        <v>564.57932614505705</v>
      </c>
      <c r="G133" s="17">
        <f t="shared" ref="G133:G141" si="17">D133/E133*1000</f>
        <v>69.927040739241988</v>
      </c>
      <c r="H133" s="18">
        <f t="shared" ref="H133:H141" si="18">F133/G133</f>
        <v>8.0738341016084743</v>
      </c>
    </row>
    <row r="134" spans="1:8" ht="15" customHeight="1" x14ac:dyDescent="0.3">
      <c r="A134" s="170"/>
      <c r="B134" s="20" t="s">
        <v>65</v>
      </c>
      <c r="C134" s="21">
        <v>223.697</v>
      </c>
      <c r="D134" s="21">
        <v>159.11965059999997</v>
      </c>
      <c r="E134" s="22">
        <v>1973.2090000000001</v>
      </c>
      <c r="F134" s="23">
        <f t="shared" si="16"/>
        <v>711.31776733706738</v>
      </c>
      <c r="G134" s="21">
        <f t="shared" si="17"/>
        <v>80.640038941642757</v>
      </c>
      <c r="H134" s="22">
        <f t="shared" si="18"/>
        <v>8.8209005932131408</v>
      </c>
    </row>
    <row r="135" spans="1:8" ht="15" customHeight="1" x14ac:dyDescent="0.3">
      <c r="A135" s="170"/>
      <c r="B135" s="16" t="s">
        <v>66</v>
      </c>
      <c r="C135" s="17">
        <v>158.428</v>
      </c>
      <c r="D135" s="17">
        <v>56.4906662</v>
      </c>
      <c r="E135" s="18">
        <v>1141.645</v>
      </c>
      <c r="F135" s="19">
        <f t="shared" si="16"/>
        <v>356.56996364279041</v>
      </c>
      <c r="G135" s="17">
        <f t="shared" si="17"/>
        <v>49.481814574583161</v>
      </c>
      <c r="H135" s="18">
        <f t="shared" si="18"/>
        <v>7.2060809957835747</v>
      </c>
    </row>
    <row r="136" spans="1:8" ht="15" customHeight="1" x14ac:dyDescent="0.3">
      <c r="A136" s="170"/>
      <c r="B136" s="20" t="s">
        <v>68</v>
      </c>
      <c r="C136" s="21">
        <v>142.005</v>
      </c>
      <c r="D136" s="21">
        <v>95.294028400000002</v>
      </c>
      <c r="E136" s="22">
        <v>1265.6300000000001</v>
      </c>
      <c r="F136" s="23">
        <f t="shared" si="16"/>
        <v>671.06107813105177</v>
      </c>
      <c r="G136" s="21">
        <f t="shared" si="17"/>
        <v>75.293749674075357</v>
      </c>
      <c r="H136" s="22">
        <f t="shared" si="18"/>
        <v>8.9125735009330675</v>
      </c>
    </row>
    <row r="137" spans="1:8" ht="15" customHeight="1" x14ac:dyDescent="0.3">
      <c r="A137" s="170"/>
      <c r="B137" s="16" t="s">
        <v>67</v>
      </c>
      <c r="C137" s="17">
        <v>110.61499999999999</v>
      </c>
      <c r="D137" s="17">
        <v>93.753949200000008</v>
      </c>
      <c r="E137" s="18">
        <v>997.01300000000003</v>
      </c>
      <c r="F137" s="19">
        <f t="shared" si="16"/>
        <v>847.56994259368093</v>
      </c>
      <c r="G137" s="17">
        <f t="shared" si="17"/>
        <v>94.034831240916617</v>
      </c>
      <c r="H137" s="18">
        <f t="shared" si="18"/>
        <v>9.0133616598110589</v>
      </c>
    </row>
    <row r="138" spans="1:8" ht="15" customHeight="1" x14ac:dyDescent="0.3">
      <c r="A138" s="170"/>
      <c r="B138" s="20" t="s">
        <v>69</v>
      </c>
      <c r="C138" s="21">
        <v>81.067999999999998</v>
      </c>
      <c r="D138" s="21">
        <v>55.28304090000001</v>
      </c>
      <c r="E138" s="22">
        <v>771.20600000000002</v>
      </c>
      <c r="F138" s="23">
        <f t="shared" si="16"/>
        <v>681.9341898159571</v>
      </c>
      <c r="G138" s="21">
        <f t="shared" si="17"/>
        <v>71.683883294476459</v>
      </c>
      <c r="H138" s="22">
        <f t="shared" si="18"/>
        <v>9.5130754428381117</v>
      </c>
    </row>
    <row r="139" spans="1:8" ht="15" customHeight="1" x14ac:dyDescent="0.3">
      <c r="A139" s="170"/>
      <c r="B139" s="16" t="s">
        <v>70</v>
      </c>
      <c r="C139" s="17">
        <v>43.533999999999999</v>
      </c>
      <c r="D139" s="17">
        <v>27.733870300000003</v>
      </c>
      <c r="E139" s="18">
        <v>409.76</v>
      </c>
      <c r="F139" s="19">
        <f t="shared" si="16"/>
        <v>637.06230302751874</v>
      </c>
      <c r="G139" s="17">
        <f t="shared" si="17"/>
        <v>67.683205534947291</v>
      </c>
      <c r="H139" s="18">
        <f t="shared" si="18"/>
        <v>9.4124132861671335</v>
      </c>
    </row>
    <row r="140" spans="1:8" ht="15" customHeight="1" x14ac:dyDescent="0.3">
      <c r="A140" s="171"/>
      <c r="B140" s="38" t="s">
        <v>60</v>
      </c>
      <c r="C140" s="39">
        <v>984.32299999999964</v>
      </c>
      <c r="D140" s="39">
        <v>498.81333269999936</v>
      </c>
      <c r="E140" s="40">
        <v>8010.1470000000008</v>
      </c>
      <c r="F140" s="41">
        <f t="shared" si="16"/>
        <v>506.75777432814186</v>
      </c>
      <c r="G140" s="39">
        <f t="shared" si="17"/>
        <v>62.272681475133894</v>
      </c>
      <c r="H140" s="40">
        <f t="shared" si="18"/>
        <v>8.1377220688737371</v>
      </c>
    </row>
    <row r="141" spans="1:8" ht="15" customHeight="1" x14ac:dyDescent="0.3">
      <c r="A141" s="28"/>
      <c r="B141" s="29" t="s">
        <v>1</v>
      </c>
      <c r="C141" s="30">
        <f>SUM(C132:C140)</f>
        <v>2966.2789999999995</v>
      </c>
      <c r="D141" s="30">
        <f>SUM(D132:D140)</f>
        <v>1774.9089415999995</v>
      </c>
      <c r="E141" s="31">
        <f>SUM(E132:E140)</f>
        <v>24943.58</v>
      </c>
      <c r="F141" s="28">
        <f t="shared" si="16"/>
        <v>598.36210336249553</v>
      </c>
      <c r="G141" s="30">
        <f t="shared" si="17"/>
        <v>71.156944656701228</v>
      </c>
      <c r="H141" s="31">
        <f t="shared" si="18"/>
        <v>8.4090471597580692</v>
      </c>
    </row>
    <row r="142" spans="1:8" ht="20.399999999999999" x14ac:dyDescent="0.3">
      <c r="A142" s="32"/>
      <c r="B142" s="33" t="s">
        <v>61</v>
      </c>
      <c r="C142" s="34">
        <v>9.5620635442191113E-2</v>
      </c>
      <c r="D142" s="34">
        <v>0.12497191907746058</v>
      </c>
      <c r="E142" s="35">
        <v>0.11886100722828524</v>
      </c>
      <c r="F142" s="32"/>
      <c r="G142" s="36"/>
      <c r="H142" s="37"/>
    </row>
    <row r="143" spans="1:8" ht="15" customHeight="1" x14ac:dyDescent="0.3">
      <c r="A143" s="172" t="s">
        <v>127</v>
      </c>
      <c r="B143" s="172"/>
      <c r="C143" s="172"/>
      <c r="D143" s="172"/>
      <c r="E143" s="172"/>
      <c r="F143" s="1"/>
    </row>
    <row r="146" spans="1:8" ht="15" customHeight="1" x14ac:dyDescent="0.3">
      <c r="A146" s="168" t="s">
        <v>62</v>
      </c>
      <c r="B146" s="168"/>
      <c r="C146" s="168"/>
      <c r="D146" s="168"/>
      <c r="E146" s="168"/>
      <c r="F146" s="168"/>
      <c r="G146" s="168"/>
      <c r="H146" s="168"/>
    </row>
    <row r="147" spans="1:8" ht="40.799999999999997" x14ac:dyDescent="0.3">
      <c r="A147" s="87" t="s">
        <v>121</v>
      </c>
      <c r="B147" s="88" t="s">
        <v>58</v>
      </c>
      <c r="C147" s="88" t="s">
        <v>59</v>
      </c>
      <c r="D147" s="88" t="s">
        <v>76</v>
      </c>
      <c r="E147" s="89" t="s">
        <v>83</v>
      </c>
      <c r="F147" s="88" t="s">
        <v>116</v>
      </c>
      <c r="G147" s="88" t="s">
        <v>117</v>
      </c>
      <c r="H147" s="88" t="s">
        <v>118</v>
      </c>
    </row>
    <row r="148" spans="1:8" ht="15" customHeight="1" x14ac:dyDescent="0.3">
      <c r="A148" s="169" t="s">
        <v>85</v>
      </c>
      <c r="B148" s="12" t="s">
        <v>63</v>
      </c>
      <c r="C148" s="13">
        <v>833.95399999999995</v>
      </c>
      <c r="D148" s="13">
        <v>604.73646059999976</v>
      </c>
      <c r="E148" s="14">
        <v>7968.2560000000003</v>
      </c>
      <c r="F148" s="15">
        <f>D148/C148*1000</f>
        <v>725.14366571777316</v>
      </c>
      <c r="G148" s="13">
        <f>D148/E148*1000</f>
        <v>75.893201799741334</v>
      </c>
      <c r="H148" s="14">
        <f>F148/G148</f>
        <v>9.554790791818256</v>
      </c>
    </row>
    <row r="149" spans="1:8" ht="15" customHeight="1" x14ac:dyDescent="0.3">
      <c r="A149" s="170"/>
      <c r="B149" s="16" t="s">
        <v>64</v>
      </c>
      <c r="C149" s="17">
        <v>234.685</v>
      </c>
      <c r="D149" s="17">
        <v>120.05063599999997</v>
      </c>
      <c r="E149" s="18">
        <v>1979.5350000000001</v>
      </c>
      <c r="F149" s="19">
        <f t="shared" ref="F149:F157" si="19">D149/C149*1000</f>
        <v>511.53945075313698</v>
      </c>
      <c r="G149" s="17">
        <f t="shared" ref="G149:G157" si="20">D149/E149*1000</f>
        <v>60.645876935744987</v>
      </c>
      <c r="H149" s="18">
        <f t="shared" ref="H149:H157" si="21">F149/G149</f>
        <v>8.4348594925112383</v>
      </c>
    </row>
    <row r="150" spans="1:8" ht="15" customHeight="1" x14ac:dyDescent="0.3">
      <c r="A150" s="170"/>
      <c r="B150" s="20" t="s">
        <v>65</v>
      </c>
      <c r="C150" s="21">
        <v>233.00700000000001</v>
      </c>
      <c r="D150" s="21">
        <v>154.97654240000006</v>
      </c>
      <c r="E150" s="22">
        <v>2268.3649999999998</v>
      </c>
      <c r="F150" s="23">
        <f t="shared" si="19"/>
        <v>665.11539309977832</v>
      </c>
      <c r="G150" s="21">
        <f t="shared" si="20"/>
        <v>68.320813625673139</v>
      </c>
      <c r="H150" s="22">
        <f t="shared" si="21"/>
        <v>9.7351796297965301</v>
      </c>
    </row>
    <row r="151" spans="1:8" ht="15" customHeight="1" x14ac:dyDescent="0.3">
      <c r="A151" s="170"/>
      <c r="B151" s="16" t="s">
        <v>66</v>
      </c>
      <c r="C151" s="17">
        <v>158.15600000000001</v>
      </c>
      <c r="D151" s="17">
        <v>74.929528099999999</v>
      </c>
      <c r="E151" s="18">
        <v>1332.1420000000001</v>
      </c>
      <c r="F151" s="19">
        <f t="shared" si="19"/>
        <v>473.76974695869899</v>
      </c>
      <c r="G151" s="17">
        <f t="shared" si="20"/>
        <v>56.24740312969638</v>
      </c>
      <c r="H151" s="18">
        <f t="shared" si="21"/>
        <v>8.4229621386479181</v>
      </c>
    </row>
    <row r="152" spans="1:8" ht="15" customHeight="1" x14ac:dyDescent="0.3">
      <c r="A152" s="170"/>
      <c r="B152" s="20" t="s">
        <v>67</v>
      </c>
      <c r="C152" s="21">
        <v>130.828</v>
      </c>
      <c r="D152" s="21">
        <v>83.41300190000004</v>
      </c>
      <c r="E152" s="22">
        <v>1084.952</v>
      </c>
      <c r="F152" s="23">
        <f t="shared" si="19"/>
        <v>637.57759730332987</v>
      </c>
      <c r="G152" s="21">
        <f t="shared" si="20"/>
        <v>76.881743984987381</v>
      </c>
      <c r="H152" s="22">
        <f t="shared" si="21"/>
        <v>8.2929648087565369</v>
      </c>
    </row>
    <row r="153" spans="1:8" ht="15" customHeight="1" x14ac:dyDescent="0.3">
      <c r="A153" s="170"/>
      <c r="B153" s="16" t="s">
        <v>68</v>
      </c>
      <c r="C153" s="17">
        <v>122.93</v>
      </c>
      <c r="D153" s="17">
        <v>83.6492717</v>
      </c>
      <c r="E153" s="18">
        <v>1242.123</v>
      </c>
      <c r="F153" s="19">
        <f t="shared" si="19"/>
        <v>680.46263483283167</v>
      </c>
      <c r="G153" s="17">
        <f t="shared" si="20"/>
        <v>67.343790993323523</v>
      </c>
      <c r="H153" s="18">
        <f t="shared" si="21"/>
        <v>10.104311396729846</v>
      </c>
    </row>
    <row r="154" spans="1:8" ht="15" customHeight="1" x14ac:dyDescent="0.3">
      <c r="A154" s="170"/>
      <c r="B154" s="20" t="s">
        <v>69</v>
      </c>
      <c r="C154" s="21">
        <v>55.155999999999999</v>
      </c>
      <c r="D154" s="21">
        <v>39.484983999999997</v>
      </c>
      <c r="E154" s="22">
        <v>585.44799999999998</v>
      </c>
      <c r="F154" s="23">
        <f t="shared" si="19"/>
        <v>715.87830879686703</v>
      </c>
      <c r="G154" s="21">
        <f t="shared" si="20"/>
        <v>67.444049685027522</v>
      </c>
      <c r="H154" s="22">
        <f t="shared" si="21"/>
        <v>10.614402784828489</v>
      </c>
    </row>
    <row r="155" spans="1:8" ht="15" customHeight="1" x14ac:dyDescent="0.3">
      <c r="A155" s="170"/>
      <c r="B155" s="16" t="s">
        <v>70</v>
      </c>
      <c r="C155" s="17">
        <v>48.83</v>
      </c>
      <c r="D155" s="17">
        <v>37.027426499999983</v>
      </c>
      <c r="E155" s="18">
        <v>424.19200000000001</v>
      </c>
      <c r="F155" s="19">
        <f t="shared" si="19"/>
        <v>758.29257628507025</v>
      </c>
      <c r="G155" s="17">
        <f t="shared" si="20"/>
        <v>87.289308850709062</v>
      </c>
      <c r="H155" s="18">
        <f t="shared" si="21"/>
        <v>8.6871185746467336</v>
      </c>
    </row>
    <row r="156" spans="1:8" ht="15" customHeight="1" x14ac:dyDescent="0.3">
      <c r="A156" s="171"/>
      <c r="B156" s="38" t="s">
        <v>60</v>
      </c>
      <c r="C156" s="39">
        <v>639.60000000000036</v>
      </c>
      <c r="D156" s="39">
        <v>305.37479730000064</v>
      </c>
      <c r="E156" s="40">
        <v>4608.1430000000037</v>
      </c>
      <c r="F156" s="41">
        <f t="shared" si="19"/>
        <v>477.44652485928776</v>
      </c>
      <c r="G156" s="39">
        <f t="shared" si="20"/>
        <v>66.268515820798186</v>
      </c>
      <c r="H156" s="40">
        <f t="shared" si="21"/>
        <v>7.2047263914946855</v>
      </c>
    </row>
    <row r="157" spans="1:8" ht="15" customHeight="1" x14ac:dyDescent="0.3">
      <c r="A157" s="28"/>
      <c r="B157" s="29" t="s">
        <v>1</v>
      </c>
      <c r="C157" s="30">
        <f>SUM(C148:C156)</f>
        <v>2457.1460000000002</v>
      </c>
      <c r="D157" s="30">
        <f>SUM(D148:D156)</f>
        <v>1503.6426485000004</v>
      </c>
      <c r="E157" s="31">
        <f>SUM(E148:E156)</f>
        <v>21493.156000000003</v>
      </c>
      <c r="F157" s="28">
        <f t="shared" si="19"/>
        <v>611.94680678315433</v>
      </c>
      <c r="G157" s="30">
        <f t="shared" si="20"/>
        <v>69.959137155101857</v>
      </c>
      <c r="H157" s="31">
        <f t="shared" si="21"/>
        <v>8.747203462879293</v>
      </c>
    </row>
    <row r="158" spans="1:8" ht="20.399999999999999" x14ac:dyDescent="0.3">
      <c r="A158" s="32"/>
      <c r="B158" s="33" t="s">
        <v>61</v>
      </c>
      <c r="C158" s="34">
        <v>8.6592856721724384E-2</v>
      </c>
      <c r="D158" s="34">
        <v>0.11793945454984732</v>
      </c>
      <c r="E158" s="35">
        <v>0.11288314128755403</v>
      </c>
      <c r="F158" s="32"/>
      <c r="G158" s="36"/>
      <c r="H158" s="37"/>
    </row>
    <row r="159" spans="1:8" ht="15" customHeight="1" x14ac:dyDescent="0.3">
      <c r="A159" s="172" t="s">
        <v>127</v>
      </c>
      <c r="B159" s="172"/>
      <c r="C159" s="172"/>
      <c r="D159" s="172"/>
      <c r="E159" s="172"/>
      <c r="F159" s="1"/>
    </row>
  </sheetData>
  <mergeCells count="30">
    <mergeCell ref="A3:H3"/>
    <mergeCell ref="A5:A13"/>
    <mergeCell ref="A16:E16"/>
    <mergeCell ref="A19:H19"/>
    <mergeCell ref="A21:A29"/>
    <mergeCell ref="A32:E32"/>
    <mergeCell ref="A159:E159"/>
    <mergeCell ref="A146:H146"/>
    <mergeCell ref="A148:A156"/>
    <mergeCell ref="A130:H130"/>
    <mergeCell ref="A132:A140"/>
    <mergeCell ref="A143:E143"/>
    <mergeCell ref="A85:A92"/>
    <mergeCell ref="A95:E95"/>
    <mergeCell ref="A127:E127"/>
    <mergeCell ref="A98:H98"/>
    <mergeCell ref="A100:A108"/>
    <mergeCell ref="A111:E111"/>
    <mergeCell ref="A114:H114"/>
    <mergeCell ref="A116:A124"/>
    <mergeCell ref="A64:E64"/>
    <mergeCell ref="A67:H67"/>
    <mergeCell ref="A69:A77"/>
    <mergeCell ref="A80:E80"/>
    <mergeCell ref="A83:H83"/>
    <mergeCell ref="A35:H35"/>
    <mergeCell ref="A37:A45"/>
    <mergeCell ref="A48:E48"/>
    <mergeCell ref="A51:H51"/>
    <mergeCell ref="A53:A61"/>
  </mergeCells>
  <pageMargins left="0.70866141732283472" right="0.70866141732283472" top="0.74803149606299213" bottom="0.74803149606299213" header="0.31496062992125984" footer="0.31496062992125984"/>
  <pageSetup paperSize="9" scale="60" orientation="landscape" r:id="rId1"/>
  <headerFooter>
    <oddFooter>&amp;L&amp;F&amp;C&amp;P / &amp;N&amp;R&amp;A</oddFooter>
  </headerFooter>
  <rowBreaks count="2" manualBreakCount="2">
    <brk id="111" max="16383" man="1"/>
    <brk id="1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24"/>
  <sheetViews>
    <sheetView showGridLines="0" zoomScaleNormal="100" workbookViewId="0">
      <pane xSplit="1" topLeftCell="B1" activePane="topRight" state="frozen"/>
      <selection pane="topRight" activeCell="N12" sqref="N12"/>
    </sheetView>
  </sheetViews>
  <sheetFormatPr defaultRowHeight="15" customHeight="1" x14ac:dyDescent="0.3"/>
  <cols>
    <col min="1" max="1" width="45.109375" style="11" bestFit="1" customWidth="1"/>
    <col min="2" max="16384" width="8.88671875" style="11"/>
  </cols>
  <sheetData>
    <row r="3" spans="1:17" ht="15" customHeight="1" x14ac:dyDescent="0.3">
      <c r="A3" s="168" t="s">
        <v>171</v>
      </c>
      <c r="B3" s="168"/>
      <c r="C3" s="168"/>
      <c r="D3" s="168"/>
      <c r="E3" s="168"/>
      <c r="F3" s="168"/>
      <c r="G3" s="168"/>
      <c r="H3" s="168"/>
      <c r="I3" s="168"/>
      <c r="J3" s="168"/>
      <c r="K3" s="168"/>
      <c r="L3" s="168"/>
      <c r="M3" s="168"/>
      <c r="N3" s="168"/>
      <c r="O3" s="168"/>
      <c r="P3" s="168"/>
      <c r="Q3" s="87"/>
    </row>
    <row r="4" spans="1:17" ht="15" customHeight="1" x14ac:dyDescent="0.3">
      <c r="A4" s="90"/>
      <c r="B4" s="87">
        <v>2010</v>
      </c>
      <c r="C4" s="87">
        <v>2011</v>
      </c>
      <c r="D4" s="87">
        <v>2012</v>
      </c>
      <c r="E4" s="87">
        <v>2013</v>
      </c>
      <c r="F4" s="87">
        <v>2014</v>
      </c>
      <c r="G4" s="87">
        <v>2015</v>
      </c>
      <c r="H4" s="87">
        <v>2016</v>
      </c>
      <c r="I4" s="87">
        <v>2017</v>
      </c>
      <c r="J4" s="87">
        <v>2018</v>
      </c>
      <c r="K4" s="87">
        <v>2019</v>
      </c>
      <c r="L4" s="87">
        <v>2020</v>
      </c>
      <c r="M4" s="87">
        <v>2021</v>
      </c>
      <c r="N4" s="87">
        <v>2022</v>
      </c>
      <c r="O4" s="87">
        <v>2023</v>
      </c>
      <c r="P4" s="87">
        <v>2024</v>
      </c>
      <c r="Q4" s="87">
        <v>2025</v>
      </c>
    </row>
    <row r="5" spans="1:17" ht="15" customHeight="1" x14ac:dyDescent="0.3">
      <c r="A5" s="78" t="s">
        <v>109</v>
      </c>
      <c r="B5" s="79">
        <v>12.463582500000001</v>
      </c>
      <c r="C5" s="79">
        <v>11.409262499999993</v>
      </c>
      <c r="D5" s="79">
        <v>12.783542500000005</v>
      </c>
      <c r="E5" s="79">
        <v>10.759730000000005</v>
      </c>
      <c r="F5" s="79">
        <v>12.054100000000014</v>
      </c>
      <c r="G5" s="79">
        <v>14.697079999999994</v>
      </c>
      <c r="H5" s="80">
        <v>17.4349825</v>
      </c>
      <c r="I5" s="80">
        <v>19.379830000000009</v>
      </c>
      <c r="J5" s="80">
        <f>22373.0875/1000</f>
        <v>22.3730875</v>
      </c>
      <c r="K5" s="80">
        <v>19.3776625</v>
      </c>
      <c r="L5" s="80">
        <v>14.6331325</v>
      </c>
      <c r="M5" s="80">
        <v>19.17721149676288</v>
      </c>
      <c r="N5" s="80">
        <v>21.546145423560258</v>
      </c>
      <c r="O5" s="80">
        <v>21.294179169659955</v>
      </c>
      <c r="P5" s="80">
        <v>23.983344704293696</v>
      </c>
      <c r="Q5" s="80">
        <v>20.122280924295627</v>
      </c>
    </row>
    <row r="6" spans="1:17" ht="15" customHeight="1" x14ac:dyDescent="0.3">
      <c r="A6" s="81" t="s">
        <v>86</v>
      </c>
      <c r="B6" s="17">
        <f>B7-B5</f>
        <v>69.706307500000563</v>
      </c>
      <c r="C6" s="17">
        <f t="shared" ref="C6:J6" si="0">C7-C5</f>
        <v>69.910812500001612</v>
      </c>
      <c r="D6" s="17">
        <f t="shared" si="0"/>
        <v>67.790547499999604</v>
      </c>
      <c r="E6" s="17">
        <f t="shared" si="0"/>
        <v>64.471060000000406</v>
      </c>
      <c r="F6" s="17">
        <f t="shared" si="0"/>
        <v>59.058737499999829</v>
      </c>
      <c r="G6" s="17">
        <f t="shared" si="0"/>
        <v>58.286465000000128</v>
      </c>
      <c r="H6" s="17">
        <f t="shared" si="0"/>
        <v>58.335937499999716</v>
      </c>
      <c r="I6" s="17">
        <f t="shared" si="0"/>
        <v>53.80656500000029</v>
      </c>
      <c r="J6" s="17">
        <f t="shared" si="0"/>
        <v>55.87895250000004</v>
      </c>
      <c r="K6" s="17">
        <v>57.809987499999849</v>
      </c>
      <c r="L6" s="17">
        <v>57.441032500000077</v>
      </c>
      <c r="M6" s="17">
        <v>53.171977485039591</v>
      </c>
      <c r="N6" s="17">
        <f>N7-N5</f>
        <v>53.14291364534418</v>
      </c>
      <c r="O6" s="17">
        <f>O7-O5</f>
        <v>54.45406524845977</v>
      </c>
      <c r="P6" s="17">
        <v>54.167316265828461</v>
      </c>
      <c r="Q6" s="17">
        <v>62.054355433137431</v>
      </c>
    </row>
    <row r="7" spans="1:17" ht="15" customHeight="1" x14ac:dyDescent="0.3">
      <c r="A7" s="78" t="s">
        <v>87</v>
      </c>
      <c r="B7" s="79">
        <v>82.169890000000564</v>
      </c>
      <c r="C7" s="79">
        <v>81.320075000001609</v>
      </c>
      <c r="D7" s="79">
        <v>80.574089999999615</v>
      </c>
      <c r="E7" s="79">
        <v>75.230790000000411</v>
      </c>
      <c r="F7" s="79">
        <v>71.112837499999841</v>
      </c>
      <c r="G7" s="79">
        <v>72.98354500000012</v>
      </c>
      <c r="H7" s="80">
        <v>75.77091999999972</v>
      </c>
      <c r="I7" s="80">
        <v>73.186395000000303</v>
      </c>
      <c r="J7" s="80">
        <v>78.252040000000036</v>
      </c>
      <c r="K7" s="80">
        <v>77.187649999999849</v>
      </c>
      <c r="L7" s="80">
        <v>72.074165000000079</v>
      </c>
      <c r="M7" s="80">
        <v>72.34918898180247</v>
      </c>
      <c r="N7" s="80">
        <v>74.689059068904442</v>
      </c>
      <c r="O7" s="80">
        <v>75.748244418119725</v>
      </c>
      <c r="P7" s="80">
        <v>78.150660970122161</v>
      </c>
      <c r="Q7" s="80">
        <v>82.176636357433054</v>
      </c>
    </row>
    <row r="8" spans="1:17" ht="15" customHeight="1" x14ac:dyDescent="0.3">
      <c r="A8" s="91" t="s">
        <v>88</v>
      </c>
      <c r="B8" s="92">
        <v>4389.7539024999469</v>
      </c>
      <c r="C8" s="92">
        <v>4054.3311224999634</v>
      </c>
      <c r="D8" s="92">
        <v>3694.9760949999863</v>
      </c>
      <c r="E8" s="92">
        <v>3513.1972749999732</v>
      </c>
      <c r="F8" s="92">
        <v>3536.2398724999625</v>
      </c>
      <c r="G8" s="92">
        <v>3610.6925649999803</v>
      </c>
      <c r="H8" s="92">
        <v>3673.5592624999863</v>
      </c>
      <c r="I8" s="92">
        <v>3752.6738349998004</v>
      </c>
      <c r="J8" s="92">
        <v>3828.0211174997803</v>
      </c>
      <c r="K8" s="92">
        <v>3911.0299925000186</v>
      </c>
      <c r="L8" s="92">
        <v>3875.4790050002653</v>
      </c>
      <c r="M8" s="151">
        <v>3927.9804227906716</v>
      </c>
      <c r="N8" s="151">
        <v>4140.6331686931735</v>
      </c>
      <c r="O8" s="151">
        <v>4193.4603782170425</v>
      </c>
      <c r="P8" s="151">
        <v>4275.9529162760173</v>
      </c>
      <c r="Q8" s="151">
        <v>4339.7172146297426</v>
      </c>
    </row>
    <row r="9" spans="1:17" ht="20.399999999999999" x14ac:dyDescent="0.3">
      <c r="A9" s="82" t="s">
        <v>110</v>
      </c>
      <c r="B9" s="83">
        <f t="shared" ref="B9:J9" si="1">B5/B7</f>
        <v>0.15168065212208409</v>
      </c>
      <c r="C9" s="83">
        <f t="shared" si="1"/>
        <v>0.14030068836015913</v>
      </c>
      <c r="D9" s="83">
        <f t="shared" si="1"/>
        <v>0.15865574777202032</v>
      </c>
      <c r="E9" s="83">
        <f t="shared" si="1"/>
        <v>0.14302295642515445</v>
      </c>
      <c r="F9" s="83">
        <f t="shared" si="1"/>
        <v>0.16950666607840029</v>
      </c>
      <c r="G9" s="83">
        <f t="shared" si="1"/>
        <v>0.20137525520307312</v>
      </c>
      <c r="H9" s="84">
        <f t="shared" si="1"/>
        <v>0.23010123804752622</v>
      </c>
      <c r="I9" s="84">
        <f t="shared" si="1"/>
        <v>0.26480099204230417</v>
      </c>
      <c r="J9" s="84">
        <f t="shared" si="1"/>
        <v>0.28591059734672719</v>
      </c>
      <c r="K9" s="84">
        <f t="shared" ref="K9" si="2">K5/K7</f>
        <v>0.25104615181314677</v>
      </c>
      <c r="L9" s="84">
        <v>0.20302881760752947</v>
      </c>
      <c r="M9" s="84">
        <v>0.26506463675199454</v>
      </c>
      <c r="N9" s="84">
        <f>N5/N7</f>
        <v>0.28847793361117119</v>
      </c>
      <c r="O9" s="84">
        <f>O5/O7</f>
        <v>0.28111779135261622</v>
      </c>
      <c r="P9" s="84">
        <v>0.30688601230721246</v>
      </c>
      <c r="Q9" s="84">
        <v>0.24486620305037007</v>
      </c>
    </row>
    <row r="10" spans="1:17" ht="20.399999999999999" x14ac:dyDescent="0.3">
      <c r="A10" s="85" t="s">
        <v>89</v>
      </c>
      <c r="B10" s="86">
        <f>B6/B7</f>
        <v>0.84831934787791596</v>
      </c>
      <c r="C10" s="86">
        <f t="shared" ref="C10:J10" si="3">C6/C7</f>
        <v>0.85969931163984081</v>
      </c>
      <c r="D10" s="86">
        <f t="shared" si="3"/>
        <v>0.84134425222797959</v>
      </c>
      <c r="E10" s="86">
        <f t="shared" si="3"/>
        <v>0.8569770435748455</v>
      </c>
      <c r="F10" s="86">
        <f t="shared" si="3"/>
        <v>0.83049333392159974</v>
      </c>
      <c r="G10" s="86">
        <f t="shared" si="3"/>
        <v>0.79862474479692691</v>
      </c>
      <c r="H10" s="86">
        <f t="shared" si="3"/>
        <v>0.76989876195247375</v>
      </c>
      <c r="I10" s="86">
        <f t="shared" si="3"/>
        <v>0.73519900795769577</v>
      </c>
      <c r="J10" s="86">
        <f t="shared" si="3"/>
        <v>0.71408940265327281</v>
      </c>
      <c r="K10" s="86">
        <f t="shared" ref="K10" si="4">K6/K7</f>
        <v>0.74895384818685329</v>
      </c>
      <c r="L10" s="86">
        <v>0.79697118239247056</v>
      </c>
      <c r="M10" s="86">
        <v>0.73493536324800546</v>
      </c>
      <c r="N10" s="86">
        <f>N6/N7</f>
        <v>0.71152206638882876</v>
      </c>
      <c r="O10" s="86">
        <f>O6/O7</f>
        <v>0.71888220864738384</v>
      </c>
      <c r="P10" s="86">
        <v>0.69311398769278754</v>
      </c>
      <c r="Q10" s="86">
        <v>0.75513379694963001</v>
      </c>
    </row>
    <row r="11" spans="1:17" ht="15" customHeight="1" x14ac:dyDescent="0.3">
      <c r="A11" s="175" t="s">
        <v>128</v>
      </c>
      <c r="B11" s="175"/>
      <c r="C11" s="175"/>
      <c r="D11" s="175"/>
      <c r="E11" s="175"/>
      <c r="F11" s="175"/>
      <c r="G11" s="175"/>
      <c r="H11" s="175"/>
    </row>
    <row r="12" spans="1:17" ht="22.8" customHeight="1" x14ac:dyDescent="0.3">
      <c r="A12" s="173" t="s">
        <v>125</v>
      </c>
      <c r="B12" s="174"/>
      <c r="C12" s="174"/>
      <c r="D12" s="174"/>
    </row>
    <row r="13" spans="1:17" ht="15" customHeight="1" x14ac:dyDescent="0.3">
      <c r="A13" s="173" t="s">
        <v>126</v>
      </c>
      <c r="B13" s="173"/>
      <c r="C13" s="173"/>
      <c r="D13" s="173"/>
      <c r="E13" s="173"/>
      <c r="F13" s="173"/>
      <c r="G13" s="173"/>
      <c r="H13" s="173"/>
    </row>
    <row r="14" spans="1:17" ht="15" customHeight="1" x14ac:dyDescent="0.3">
      <c r="A14" s="173"/>
      <c r="B14" s="173"/>
      <c r="C14" s="173"/>
      <c r="D14" s="173"/>
      <c r="E14" s="173"/>
      <c r="F14" s="173"/>
      <c r="G14" s="173"/>
      <c r="H14" s="173"/>
    </row>
    <row r="15" spans="1:17" ht="15" customHeight="1" x14ac:dyDescent="0.3">
      <c r="A15" s="173"/>
      <c r="B15" s="173"/>
      <c r="C15" s="173"/>
      <c r="D15" s="173"/>
      <c r="E15" s="173"/>
      <c r="F15" s="173"/>
      <c r="G15" s="173"/>
      <c r="H15" s="173"/>
    </row>
    <row r="16" spans="1:17" ht="15" customHeight="1" x14ac:dyDescent="0.3">
      <c r="A16" s="173"/>
      <c r="B16" s="173"/>
      <c r="C16" s="173"/>
      <c r="D16" s="173"/>
      <c r="E16" s="173"/>
      <c r="F16" s="173"/>
      <c r="G16" s="173"/>
      <c r="H16" s="173"/>
    </row>
    <row r="17" spans="1:8" ht="15" customHeight="1" x14ac:dyDescent="0.3">
      <c r="A17" s="173"/>
      <c r="B17" s="173"/>
      <c r="C17" s="173"/>
      <c r="D17" s="173"/>
      <c r="E17" s="173"/>
      <c r="F17" s="173"/>
      <c r="G17" s="173"/>
      <c r="H17" s="173"/>
    </row>
    <row r="18" spans="1:8" ht="15" customHeight="1" x14ac:dyDescent="0.3">
      <c r="A18" s="10"/>
      <c r="B18" s="10"/>
      <c r="C18" s="10"/>
      <c r="D18" s="10"/>
      <c r="E18" s="10"/>
      <c r="F18" s="10"/>
      <c r="G18" s="10"/>
      <c r="H18" s="10"/>
    </row>
    <row r="19" spans="1:8" ht="15" customHeight="1" x14ac:dyDescent="0.3">
      <c r="A19" s="173"/>
      <c r="B19" s="174"/>
      <c r="C19" s="174"/>
      <c r="D19" s="174"/>
    </row>
    <row r="20" spans="1:8" ht="15" customHeight="1" x14ac:dyDescent="0.3">
      <c r="A20" s="173"/>
      <c r="B20" s="173"/>
      <c r="C20" s="173"/>
      <c r="D20" s="173"/>
      <c r="E20" s="173"/>
      <c r="F20" s="173"/>
      <c r="G20" s="173"/>
      <c r="H20" s="173"/>
    </row>
    <row r="21" spans="1:8" ht="15" customHeight="1" x14ac:dyDescent="0.3">
      <c r="A21" s="173"/>
      <c r="B21" s="173"/>
      <c r="C21" s="173"/>
      <c r="D21" s="173"/>
      <c r="E21" s="173"/>
      <c r="F21" s="173"/>
      <c r="G21" s="173"/>
      <c r="H21" s="173"/>
    </row>
    <row r="22" spans="1:8" ht="15" customHeight="1" x14ac:dyDescent="0.3">
      <c r="A22" s="173"/>
      <c r="B22" s="173"/>
      <c r="C22" s="173"/>
      <c r="D22" s="173"/>
      <c r="E22" s="173"/>
      <c r="F22" s="173"/>
      <c r="G22" s="173"/>
      <c r="H22" s="173"/>
    </row>
    <row r="23" spans="1:8" ht="15" customHeight="1" x14ac:dyDescent="0.3">
      <c r="A23" s="173"/>
      <c r="B23" s="173"/>
      <c r="C23" s="173"/>
      <c r="D23" s="173"/>
      <c r="E23" s="173"/>
      <c r="F23" s="173"/>
      <c r="G23" s="173"/>
      <c r="H23" s="173"/>
    </row>
    <row r="24" spans="1:8" ht="15" customHeight="1" x14ac:dyDescent="0.3">
      <c r="A24" s="173"/>
      <c r="B24" s="173"/>
      <c r="C24" s="173"/>
      <c r="D24" s="173"/>
      <c r="E24" s="173"/>
      <c r="F24" s="173"/>
      <c r="G24" s="173"/>
      <c r="H24" s="173"/>
    </row>
  </sheetData>
  <mergeCells count="8">
    <mergeCell ref="A3:P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scale="91" orientation="landscape" r:id="rId1"/>
  <headerFooter>
    <oddFooter>&amp;L&amp;F&amp;C&amp;P /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84"/>
  <sheetViews>
    <sheetView showGridLines="0" zoomScaleNormal="100" workbookViewId="0">
      <selection activeCell="I10" sqref="I10"/>
    </sheetView>
  </sheetViews>
  <sheetFormatPr defaultRowHeight="15" customHeight="1" x14ac:dyDescent="0.3"/>
  <cols>
    <col min="1" max="1" width="15" style="11" customWidth="1"/>
    <col min="2" max="2" width="10.6640625" style="11" bestFit="1" customWidth="1"/>
    <col min="3" max="6" width="8.33203125" style="11" bestFit="1" customWidth="1"/>
    <col min="7" max="7" width="7" style="11" bestFit="1" customWidth="1"/>
    <col min="8" max="8" width="9.6640625" style="11" bestFit="1" customWidth="1"/>
    <col min="9" max="9" width="12.33203125" style="11" bestFit="1" customWidth="1"/>
    <col min="10" max="10" width="9" style="11" bestFit="1" customWidth="1"/>
    <col min="11" max="11" width="8.6640625" style="11" bestFit="1" customWidth="1"/>
    <col min="12" max="12" width="10.6640625" style="11" bestFit="1" customWidth="1"/>
    <col min="13" max="13" width="6.109375" style="11" bestFit="1" customWidth="1"/>
    <col min="14" max="16" width="7.33203125" style="11" bestFit="1" customWidth="1"/>
    <col min="17" max="17" width="6.109375" style="11" bestFit="1" customWidth="1"/>
    <col min="18" max="18" width="7.44140625" style="11" bestFit="1" customWidth="1"/>
    <col min="19" max="16384" width="8.88671875" style="11"/>
  </cols>
  <sheetData>
    <row r="3" spans="1:8" ht="15" customHeight="1" x14ac:dyDescent="0.3">
      <c r="A3" s="176" t="s">
        <v>90</v>
      </c>
      <c r="B3" s="176"/>
      <c r="C3" s="176"/>
      <c r="D3" s="176"/>
      <c r="E3" s="176"/>
      <c r="F3" s="176"/>
      <c r="G3" s="176"/>
      <c r="H3" s="176"/>
    </row>
    <row r="4" spans="1:8" ht="15" customHeight="1" x14ac:dyDescent="0.3">
      <c r="A4" s="176" t="s">
        <v>173</v>
      </c>
      <c r="B4" s="176"/>
      <c r="C4" s="176"/>
      <c r="D4" s="176"/>
      <c r="E4" s="176"/>
      <c r="F4" s="176"/>
      <c r="G4" s="176"/>
      <c r="H4" s="176"/>
    </row>
    <row r="5" spans="1:8" ht="15" customHeight="1" x14ac:dyDescent="0.3">
      <c r="A5" s="93" t="s">
        <v>119</v>
      </c>
      <c r="B5" s="94"/>
      <c r="C5" s="94" t="s">
        <v>49</v>
      </c>
      <c r="D5" s="94" t="s">
        <v>50</v>
      </c>
      <c r="E5" s="94" t="s">
        <v>51</v>
      </c>
      <c r="F5" s="94" t="s">
        <v>52</v>
      </c>
      <c r="G5" s="94" t="s">
        <v>0</v>
      </c>
      <c r="H5" s="94" t="s">
        <v>1</v>
      </c>
    </row>
    <row r="6" spans="1:8" ht="15" customHeight="1" x14ac:dyDescent="0.3">
      <c r="A6" s="177" t="s">
        <v>2</v>
      </c>
      <c r="B6" s="16" t="s">
        <v>7</v>
      </c>
      <c r="C6" s="74">
        <v>37</v>
      </c>
      <c r="D6" s="74">
        <v>84</v>
      </c>
      <c r="E6" s="74">
        <v>101</v>
      </c>
      <c r="F6" s="74">
        <v>110</v>
      </c>
      <c r="G6" s="74">
        <v>7</v>
      </c>
      <c r="H6" s="75">
        <f>SUM(C6:G6)</f>
        <v>339</v>
      </c>
    </row>
    <row r="7" spans="1:8" ht="15" customHeight="1" x14ac:dyDescent="0.3">
      <c r="A7" s="177"/>
      <c r="B7" s="16" t="s">
        <v>8</v>
      </c>
      <c r="C7" s="74">
        <v>3966</v>
      </c>
      <c r="D7" s="74">
        <v>5943</v>
      </c>
      <c r="E7" s="74">
        <v>5686</v>
      </c>
      <c r="F7" s="74">
        <v>3714</v>
      </c>
      <c r="G7" s="74">
        <v>201</v>
      </c>
      <c r="H7" s="75">
        <f t="shared" ref="H7:H20" si="0">SUM(C7:G7)</f>
        <v>19510</v>
      </c>
    </row>
    <row r="8" spans="1:8" ht="15" customHeight="1" x14ac:dyDescent="0.3">
      <c r="A8" s="177"/>
      <c r="B8" s="16" t="s">
        <v>9</v>
      </c>
      <c r="C8" s="74">
        <v>8348</v>
      </c>
      <c r="D8" s="74">
        <v>11941</v>
      </c>
      <c r="E8" s="74">
        <v>11591</v>
      </c>
      <c r="F8" s="74">
        <v>7344</v>
      </c>
      <c r="G8" s="74">
        <v>401</v>
      </c>
      <c r="H8" s="75">
        <f t="shared" si="0"/>
        <v>39625</v>
      </c>
    </row>
    <row r="9" spans="1:8" ht="15" customHeight="1" x14ac:dyDescent="0.3">
      <c r="A9" s="178" t="s">
        <v>3</v>
      </c>
      <c r="B9" s="11" t="s">
        <v>7</v>
      </c>
      <c r="C9" s="76">
        <v>0</v>
      </c>
      <c r="D9" s="76">
        <v>1</v>
      </c>
      <c r="E9" s="76">
        <v>3</v>
      </c>
      <c r="F9" s="76">
        <v>3</v>
      </c>
      <c r="G9" s="76">
        <v>1</v>
      </c>
      <c r="H9" s="77">
        <f t="shared" si="0"/>
        <v>8</v>
      </c>
    </row>
    <row r="10" spans="1:8" ht="15" customHeight="1" x14ac:dyDescent="0.3">
      <c r="A10" s="178"/>
      <c r="B10" s="11" t="s">
        <v>8</v>
      </c>
      <c r="C10" s="76">
        <v>0</v>
      </c>
      <c r="D10" s="76">
        <v>19</v>
      </c>
      <c r="E10" s="76">
        <v>56</v>
      </c>
      <c r="F10" s="76">
        <v>54</v>
      </c>
      <c r="G10" s="76">
        <v>8</v>
      </c>
      <c r="H10" s="77">
        <f t="shared" si="0"/>
        <v>137</v>
      </c>
    </row>
    <row r="11" spans="1:8" ht="15" customHeight="1" x14ac:dyDescent="0.3">
      <c r="A11" s="178"/>
      <c r="B11" s="11" t="s">
        <v>9</v>
      </c>
      <c r="C11" s="76">
        <v>0</v>
      </c>
      <c r="D11" s="76">
        <v>40</v>
      </c>
      <c r="E11" s="76">
        <v>105</v>
      </c>
      <c r="F11" s="76">
        <v>99</v>
      </c>
      <c r="G11" s="76">
        <v>21</v>
      </c>
      <c r="H11" s="77">
        <f t="shared" si="0"/>
        <v>265</v>
      </c>
    </row>
    <row r="12" spans="1:8" ht="15" customHeight="1" x14ac:dyDescent="0.3">
      <c r="A12" s="177" t="s">
        <v>4</v>
      </c>
      <c r="B12" s="16" t="s">
        <v>7</v>
      </c>
      <c r="C12" s="74">
        <v>41</v>
      </c>
      <c r="D12" s="74">
        <v>63</v>
      </c>
      <c r="E12" s="74">
        <v>105</v>
      </c>
      <c r="F12" s="74">
        <v>155</v>
      </c>
      <c r="G12" s="74">
        <v>50</v>
      </c>
      <c r="H12" s="75">
        <f t="shared" si="0"/>
        <v>414</v>
      </c>
    </row>
    <row r="13" spans="1:8" ht="15" customHeight="1" x14ac:dyDescent="0.3">
      <c r="A13" s="177"/>
      <c r="B13" s="16" t="s">
        <v>8</v>
      </c>
      <c r="C13" s="74">
        <v>7988</v>
      </c>
      <c r="D13" s="74">
        <v>7083</v>
      </c>
      <c r="E13" s="74">
        <v>4863</v>
      </c>
      <c r="F13" s="74">
        <v>4786</v>
      </c>
      <c r="G13" s="74">
        <v>1048</v>
      </c>
      <c r="H13" s="75">
        <f t="shared" si="0"/>
        <v>25768</v>
      </c>
    </row>
    <row r="14" spans="1:8" ht="15" customHeight="1" x14ac:dyDescent="0.3">
      <c r="A14" s="177"/>
      <c r="B14" s="16" t="s">
        <v>9</v>
      </c>
      <c r="C14" s="74">
        <v>16533</v>
      </c>
      <c r="D14" s="74">
        <v>14173</v>
      </c>
      <c r="E14" s="74">
        <v>9571</v>
      </c>
      <c r="F14" s="74">
        <v>9128</v>
      </c>
      <c r="G14" s="74">
        <v>2008</v>
      </c>
      <c r="H14" s="75">
        <f t="shared" si="0"/>
        <v>51413</v>
      </c>
    </row>
    <row r="15" spans="1:8" ht="15" customHeight="1" x14ac:dyDescent="0.3">
      <c r="A15" s="178" t="s">
        <v>5</v>
      </c>
      <c r="B15" s="11" t="s">
        <v>7</v>
      </c>
      <c r="C15" s="76">
        <v>10</v>
      </c>
      <c r="D15" s="76">
        <v>31</v>
      </c>
      <c r="E15" s="76">
        <v>46</v>
      </c>
      <c r="F15" s="76">
        <v>64</v>
      </c>
      <c r="G15" s="76">
        <v>8</v>
      </c>
      <c r="H15" s="77">
        <f t="shared" si="0"/>
        <v>159</v>
      </c>
    </row>
    <row r="16" spans="1:8" ht="15" customHeight="1" x14ac:dyDescent="0.3">
      <c r="A16" s="178"/>
      <c r="B16" s="11" t="s">
        <v>8</v>
      </c>
      <c r="C16" s="76">
        <v>672</v>
      </c>
      <c r="D16" s="76">
        <v>1906</v>
      </c>
      <c r="E16" s="76">
        <v>1697</v>
      </c>
      <c r="F16" s="76">
        <v>1563</v>
      </c>
      <c r="G16" s="76">
        <v>125</v>
      </c>
      <c r="H16" s="77">
        <f t="shared" si="0"/>
        <v>5963</v>
      </c>
    </row>
    <row r="17" spans="1:8" ht="15" customHeight="1" x14ac:dyDescent="0.3">
      <c r="A17" s="178"/>
      <c r="B17" s="11" t="s">
        <v>9</v>
      </c>
      <c r="C17" s="76">
        <v>1425</v>
      </c>
      <c r="D17" s="76">
        <v>3862</v>
      </c>
      <c r="E17" s="76">
        <v>3400</v>
      </c>
      <c r="F17" s="76">
        <v>3117</v>
      </c>
      <c r="G17" s="76">
        <v>237</v>
      </c>
      <c r="H17" s="77">
        <f t="shared" si="0"/>
        <v>12041</v>
      </c>
    </row>
    <row r="18" spans="1:8" ht="15" customHeight="1" x14ac:dyDescent="0.3">
      <c r="A18" s="177" t="s">
        <v>6</v>
      </c>
      <c r="B18" s="16" t="s">
        <v>7</v>
      </c>
      <c r="C18" s="74">
        <v>2</v>
      </c>
      <c r="D18" s="74">
        <v>13</v>
      </c>
      <c r="E18" s="74">
        <v>33</v>
      </c>
      <c r="F18" s="74">
        <v>55</v>
      </c>
      <c r="G18" s="74">
        <v>4</v>
      </c>
      <c r="H18" s="75">
        <f t="shared" si="0"/>
        <v>107</v>
      </c>
    </row>
    <row r="19" spans="1:8" ht="15" customHeight="1" x14ac:dyDescent="0.3">
      <c r="A19" s="177"/>
      <c r="B19" s="16" t="s">
        <v>8</v>
      </c>
      <c r="C19" s="74">
        <v>247</v>
      </c>
      <c r="D19" s="74">
        <v>456</v>
      </c>
      <c r="E19" s="74">
        <v>1010</v>
      </c>
      <c r="F19" s="74">
        <v>1334</v>
      </c>
      <c r="G19" s="74">
        <v>87</v>
      </c>
      <c r="H19" s="75">
        <f t="shared" si="0"/>
        <v>3134</v>
      </c>
    </row>
    <row r="20" spans="1:8" ht="15" customHeight="1" x14ac:dyDescent="0.3">
      <c r="A20" s="177"/>
      <c r="B20" s="16" t="s">
        <v>9</v>
      </c>
      <c r="C20" s="74">
        <v>504</v>
      </c>
      <c r="D20" s="74">
        <v>919</v>
      </c>
      <c r="E20" s="74">
        <v>2046</v>
      </c>
      <c r="F20" s="74">
        <v>2590</v>
      </c>
      <c r="G20" s="74">
        <v>162</v>
      </c>
      <c r="H20" s="75">
        <f t="shared" si="0"/>
        <v>6221</v>
      </c>
    </row>
    <row r="21" spans="1:8" ht="15" customHeight="1" x14ac:dyDescent="0.3">
      <c r="A21" s="179" t="s">
        <v>1</v>
      </c>
      <c r="B21" s="95" t="s">
        <v>7</v>
      </c>
      <c r="C21" s="96">
        <f t="shared" ref="C21:H21" si="1">C6+C9+C12+C15+C18</f>
        <v>90</v>
      </c>
      <c r="D21" s="96">
        <f t="shared" si="1"/>
        <v>192</v>
      </c>
      <c r="E21" s="96">
        <f t="shared" si="1"/>
        <v>288</v>
      </c>
      <c r="F21" s="96">
        <f t="shared" si="1"/>
        <v>387</v>
      </c>
      <c r="G21" s="96">
        <f t="shared" si="1"/>
        <v>70</v>
      </c>
      <c r="H21" s="96">
        <f t="shared" si="1"/>
        <v>1027</v>
      </c>
    </row>
    <row r="22" spans="1:8" ht="15" customHeight="1" x14ac:dyDescent="0.3">
      <c r="A22" s="179"/>
      <c r="B22" s="95" t="s">
        <v>8</v>
      </c>
      <c r="C22" s="96">
        <f t="shared" ref="C22:H22" si="2">C7+C10+C13+C16+C19</f>
        <v>12873</v>
      </c>
      <c r="D22" s="96">
        <f t="shared" si="2"/>
        <v>15407</v>
      </c>
      <c r="E22" s="96">
        <f t="shared" si="2"/>
        <v>13312</v>
      </c>
      <c r="F22" s="96">
        <f t="shared" si="2"/>
        <v>11451</v>
      </c>
      <c r="G22" s="96">
        <f t="shared" si="2"/>
        <v>1469</v>
      </c>
      <c r="H22" s="96">
        <f t="shared" si="2"/>
        <v>54512</v>
      </c>
    </row>
    <row r="23" spans="1:8" ht="15" customHeight="1" x14ac:dyDescent="0.3">
      <c r="A23" s="179"/>
      <c r="B23" s="95" t="s">
        <v>9</v>
      </c>
      <c r="C23" s="96">
        <f t="shared" ref="C23:H23" si="3">C8+C11+C14+C17+C20</f>
        <v>26810</v>
      </c>
      <c r="D23" s="96">
        <f t="shared" si="3"/>
        <v>30935</v>
      </c>
      <c r="E23" s="96">
        <f t="shared" si="3"/>
        <v>26713</v>
      </c>
      <c r="F23" s="96">
        <f t="shared" si="3"/>
        <v>22278</v>
      </c>
      <c r="G23" s="96">
        <f t="shared" si="3"/>
        <v>2829</v>
      </c>
      <c r="H23" s="96">
        <f t="shared" si="3"/>
        <v>109565</v>
      </c>
    </row>
    <row r="24" spans="1:8" ht="15" customHeight="1" x14ac:dyDescent="0.3">
      <c r="A24" s="97" t="s">
        <v>129</v>
      </c>
      <c r="B24" s="8"/>
      <c r="C24" s="8"/>
      <c r="D24" s="8"/>
      <c r="E24" s="8"/>
      <c r="F24" s="8"/>
      <c r="G24" s="8"/>
      <c r="H24" s="8"/>
    </row>
    <row r="27" spans="1:8" ht="15" customHeight="1" x14ac:dyDescent="0.3">
      <c r="A27" s="176" t="s">
        <v>90</v>
      </c>
      <c r="B27" s="176"/>
      <c r="C27" s="176"/>
      <c r="D27" s="176"/>
      <c r="E27" s="176"/>
      <c r="F27" s="176"/>
      <c r="G27" s="176"/>
      <c r="H27" s="176"/>
    </row>
    <row r="28" spans="1:8" ht="15" customHeight="1" x14ac:dyDescent="0.3">
      <c r="A28" s="176" t="s">
        <v>159</v>
      </c>
      <c r="B28" s="176"/>
      <c r="C28" s="176"/>
      <c r="D28" s="176"/>
      <c r="E28" s="176"/>
      <c r="F28" s="176"/>
      <c r="G28" s="176"/>
      <c r="H28" s="176"/>
    </row>
    <row r="29" spans="1:8" ht="15" customHeight="1" x14ac:dyDescent="0.3">
      <c r="A29" s="93" t="s">
        <v>119</v>
      </c>
      <c r="B29" s="94"/>
      <c r="C29" s="94" t="s">
        <v>49</v>
      </c>
      <c r="D29" s="94" t="s">
        <v>50</v>
      </c>
      <c r="E29" s="94" t="s">
        <v>51</v>
      </c>
      <c r="F29" s="94" t="s">
        <v>52</v>
      </c>
      <c r="G29" s="94" t="s">
        <v>0</v>
      </c>
      <c r="H29" s="94" t="s">
        <v>1</v>
      </c>
    </row>
    <row r="30" spans="1:8" ht="15" customHeight="1" x14ac:dyDescent="0.3">
      <c r="A30" s="177" t="s">
        <v>2</v>
      </c>
      <c r="B30" s="16" t="s">
        <v>7</v>
      </c>
      <c r="C30" s="74">
        <v>35</v>
      </c>
      <c r="D30" s="74">
        <v>79</v>
      </c>
      <c r="E30" s="74">
        <v>103</v>
      </c>
      <c r="F30" s="74">
        <v>113</v>
      </c>
      <c r="G30" s="74">
        <v>7</v>
      </c>
      <c r="H30" s="75">
        <f>SUM(C30:G30)</f>
        <v>337</v>
      </c>
    </row>
    <row r="31" spans="1:8" ht="15" customHeight="1" x14ac:dyDescent="0.3">
      <c r="A31" s="177"/>
      <c r="B31" s="16" t="s">
        <v>8</v>
      </c>
      <c r="C31" s="74">
        <v>3817</v>
      </c>
      <c r="D31" s="74">
        <v>5610</v>
      </c>
      <c r="E31" s="74">
        <v>5911</v>
      </c>
      <c r="F31" s="74">
        <v>3862</v>
      </c>
      <c r="G31" s="74">
        <v>201</v>
      </c>
      <c r="H31" s="75">
        <f t="shared" ref="H31:H44" si="4">SUM(C31:G31)</f>
        <v>19401</v>
      </c>
    </row>
    <row r="32" spans="1:8" ht="15" customHeight="1" x14ac:dyDescent="0.3">
      <c r="A32" s="177"/>
      <c r="B32" s="16" t="s">
        <v>9</v>
      </c>
      <c r="C32" s="74">
        <v>8036</v>
      </c>
      <c r="D32" s="74">
        <v>11113</v>
      </c>
      <c r="E32" s="74">
        <v>11936</v>
      </c>
      <c r="F32" s="74">
        <v>7652</v>
      </c>
      <c r="G32" s="74">
        <v>401</v>
      </c>
      <c r="H32" s="75">
        <f t="shared" si="4"/>
        <v>39138</v>
      </c>
    </row>
    <row r="33" spans="1:8" ht="15" customHeight="1" x14ac:dyDescent="0.3">
      <c r="A33" s="178" t="s">
        <v>3</v>
      </c>
      <c r="B33" s="11" t="s">
        <v>7</v>
      </c>
      <c r="C33" s="76">
        <v>0</v>
      </c>
      <c r="D33" s="76">
        <v>2</v>
      </c>
      <c r="E33" s="76">
        <v>3</v>
      </c>
      <c r="F33" s="76">
        <v>3</v>
      </c>
      <c r="G33" s="76">
        <v>0</v>
      </c>
      <c r="H33" s="77">
        <f t="shared" si="4"/>
        <v>8</v>
      </c>
    </row>
    <row r="34" spans="1:8" ht="15" customHeight="1" x14ac:dyDescent="0.3">
      <c r="A34" s="178"/>
      <c r="B34" s="11" t="s">
        <v>8</v>
      </c>
      <c r="C34" s="76">
        <v>0</v>
      </c>
      <c r="D34" s="76">
        <v>27</v>
      </c>
      <c r="E34" s="76">
        <v>56</v>
      </c>
      <c r="F34" s="76">
        <v>54</v>
      </c>
      <c r="G34" s="76">
        <v>0</v>
      </c>
      <c r="H34" s="77">
        <f t="shared" si="4"/>
        <v>137</v>
      </c>
    </row>
    <row r="35" spans="1:8" ht="15" customHeight="1" x14ac:dyDescent="0.3">
      <c r="A35" s="178"/>
      <c r="B35" s="11" t="s">
        <v>9</v>
      </c>
      <c r="C35" s="76">
        <v>0</v>
      </c>
      <c r="D35" s="76">
        <v>61</v>
      </c>
      <c r="E35" s="76">
        <v>105</v>
      </c>
      <c r="F35" s="76">
        <v>99</v>
      </c>
      <c r="G35" s="76">
        <v>0</v>
      </c>
      <c r="H35" s="77">
        <f t="shared" si="4"/>
        <v>265</v>
      </c>
    </row>
    <row r="36" spans="1:8" ht="15" customHeight="1" x14ac:dyDescent="0.3">
      <c r="A36" s="177" t="s">
        <v>4</v>
      </c>
      <c r="B36" s="16" t="s">
        <v>7</v>
      </c>
      <c r="C36" s="74">
        <v>38</v>
      </c>
      <c r="D36" s="74">
        <v>62</v>
      </c>
      <c r="E36" s="74">
        <v>108</v>
      </c>
      <c r="F36" s="74">
        <v>157</v>
      </c>
      <c r="G36" s="74">
        <v>48</v>
      </c>
      <c r="H36" s="75">
        <f t="shared" si="4"/>
        <v>413</v>
      </c>
    </row>
    <row r="37" spans="1:8" ht="15" customHeight="1" x14ac:dyDescent="0.3">
      <c r="A37" s="177"/>
      <c r="B37" s="16" t="s">
        <v>8</v>
      </c>
      <c r="C37" s="74">
        <v>7593</v>
      </c>
      <c r="D37" s="74">
        <v>6948</v>
      </c>
      <c r="E37" s="74">
        <v>5091</v>
      </c>
      <c r="F37" s="74">
        <v>4861</v>
      </c>
      <c r="G37" s="74">
        <v>1004</v>
      </c>
      <c r="H37" s="75">
        <f t="shared" si="4"/>
        <v>25497</v>
      </c>
    </row>
    <row r="38" spans="1:8" ht="15" customHeight="1" x14ac:dyDescent="0.3">
      <c r="A38" s="177"/>
      <c r="B38" s="16" t="s">
        <v>9</v>
      </c>
      <c r="C38" s="74">
        <v>15639</v>
      </c>
      <c r="D38" s="74">
        <v>13921</v>
      </c>
      <c r="E38" s="74">
        <v>9941</v>
      </c>
      <c r="F38" s="74">
        <v>9273</v>
      </c>
      <c r="G38" s="74">
        <v>1939</v>
      </c>
      <c r="H38" s="75">
        <f t="shared" si="4"/>
        <v>50713</v>
      </c>
    </row>
    <row r="39" spans="1:8" ht="15" customHeight="1" x14ac:dyDescent="0.3">
      <c r="A39" s="178" t="s">
        <v>5</v>
      </c>
      <c r="B39" s="11" t="s">
        <v>7</v>
      </c>
      <c r="C39" s="76">
        <v>10</v>
      </c>
      <c r="D39" s="76">
        <v>30</v>
      </c>
      <c r="E39" s="76">
        <v>44</v>
      </c>
      <c r="F39" s="76">
        <v>67</v>
      </c>
      <c r="G39" s="76">
        <v>8</v>
      </c>
      <c r="H39" s="77">
        <f t="shared" si="4"/>
        <v>159</v>
      </c>
    </row>
    <row r="40" spans="1:8" ht="15" customHeight="1" x14ac:dyDescent="0.3">
      <c r="A40" s="178"/>
      <c r="B40" s="11" t="s">
        <v>8</v>
      </c>
      <c r="C40" s="76">
        <v>672</v>
      </c>
      <c r="D40" s="76">
        <v>1888</v>
      </c>
      <c r="E40" s="76">
        <v>1619</v>
      </c>
      <c r="F40" s="76">
        <v>1638</v>
      </c>
      <c r="G40" s="76">
        <v>125</v>
      </c>
      <c r="H40" s="77">
        <f t="shared" si="4"/>
        <v>5942</v>
      </c>
    </row>
    <row r="41" spans="1:8" ht="15" customHeight="1" x14ac:dyDescent="0.3">
      <c r="A41" s="178"/>
      <c r="B41" s="11" t="s">
        <v>9</v>
      </c>
      <c r="C41" s="76">
        <v>1425</v>
      </c>
      <c r="D41" s="76">
        <v>3832</v>
      </c>
      <c r="E41" s="76">
        <v>3231</v>
      </c>
      <c r="F41" s="76">
        <v>3256</v>
      </c>
      <c r="G41" s="76">
        <v>237</v>
      </c>
      <c r="H41" s="77">
        <f t="shared" si="4"/>
        <v>11981</v>
      </c>
    </row>
    <row r="42" spans="1:8" ht="15" customHeight="1" x14ac:dyDescent="0.3">
      <c r="A42" s="177" t="s">
        <v>6</v>
      </c>
      <c r="B42" s="16" t="s">
        <v>7</v>
      </c>
      <c r="C42" s="74">
        <v>2</v>
      </c>
      <c r="D42" s="74">
        <v>13</v>
      </c>
      <c r="E42" s="74">
        <v>33</v>
      </c>
      <c r="F42" s="74">
        <v>55</v>
      </c>
      <c r="G42" s="74">
        <v>4</v>
      </c>
      <c r="H42" s="75">
        <f t="shared" si="4"/>
        <v>107</v>
      </c>
    </row>
    <row r="43" spans="1:8" ht="15" customHeight="1" x14ac:dyDescent="0.3">
      <c r="A43" s="177"/>
      <c r="B43" s="16" t="s">
        <v>8</v>
      </c>
      <c r="C43" s="74">
        <v>247</v>
      </c>
      <c r="D43" s="74">
        <v>456</v>
      </c>
      <c r="E43" s="74">
        <v>1006</v>
      </c>
      <c r="F43" s="74">
        <v>1337</v>
      </c>
      <c r="G43" s="74">
        <v>87</v>
      </c>
      <c r="H43" s="75">
        <f t="shared" si="4"/>
        <v>3133</v>
      </c>
    </row>
    <row r="44" spans="1:8" ht="15" customHeight="1" x14ac:dyDescent="0.3">
      <c r="A44" s="177"/>
      <c r="B44" s="16" t="s">
        <v>9</v>
      </c>
      <c r="C44" s="74">
        <v>504</v>
      </c>
      <c r="D44" s="74">
        <v>919</v>
      </c>
      <c r="E44" s="74">
        <v>2036</v>
      </c>
      <c r="F44" s="74">
        <v>2588</v>
      </c>
      <c r="G44" s="74">
        <v>162</v>
      </c>
      <c r="H44" s="75">
        <f t="shared" si="4"/>
        <v>6209</v>
      </c>
    </row>
    <row r="45" spans="1:8" ht="15" customHeight="1" x14ac:dyDescent="0.3">
      <c r="A45" s="179" t="s">
        <v>1</v>
      </c>
      <c r="B45" s="95" t="s">
        <v>7</v>
      </c>
      <c r="C45" s="96">
        <f t="shared" ref="C45:H45" si="5">C30+C33+C36+C39+C42</f>
        <v>85</v>
      </c>
      <c r="D45" s="96">
        <f t="shared" si="5"/>
        <v>186</v>
      </c>
      <c r="E45" s="96">
        <f t="shared" si="5"/>
        <v>291</v>
      </c>
      <c r="F45" s="96">
        <f t="shared" si="5"/>
        <v>395</v>
      </c>
      <c r="G45" s="96">
        <f t="shared" si="5"/>
        <v>67</v>
      </c>
      <c r="H45" s="96">
        <f t="shared" si="5"/>
        <v>1024</v>
      </c>
    </row>
    <row r="46" spans="1:8" ht="15" customHeight="1" x14ac:dyDescent="0.3">
      <c r="A46" s="179"/>
      <c r="B46" s="95" t="s">
        <v>8</v>
      </c>
      <c r="C46" s="96">
        <f t="shared" ref="C46:H46" si="6">C31+C34+C37+C40+C43</f>
        <v>12329</v>
      </c>
      <c r="D46" s="96">
        <f t="shared" si="6"/>
        <v>14929</v>
      </c>
      <c r="E46" s="96">
        <f t="shared" si="6"/>
        <v>13683</v>
      </c>
      <c r="F46" s="96">
        <f t="shared" si="6"/>
        <v>11752</v>
      </c>
      <c r="G46" s="96">
        <f t="shared" si="6"/>
        <v>1417</v>
      </c>
      <c r="H46" s="96">
        <f t="shared" si="6"/>
        <v>54110</v>
      </c>
    </row>
    <row r="47" spans="1:8" ht="15" customHeight="1" x14ac:dyDescent="0.3">
      <c r="A47" s="179"/>
      <c r="B47" s="95" t="s">
        <v>9</v>
      </c>
      <c r="C47" s="96">
        <f t="shared" ref="C47:H47" si="7">C32+C35+C38+C41+C44</f>
        <v>25604</v>
      </c>
      <c r="D47" s="96">
        <f t="shared" si="7"/>
        <v>29846</v>
      </c>
      <c r="E47" s="96">
        <f t="shared" si="7"/>
        <v>27249</v>
      </c>
      <c r="F47" s="96">
        <f t="shared" si="7"/>
        <v>22868</v>
      </c>
      <c r="G47" s="96">
        <f t="shared" si="7"/>
        <v>2739</v>
      </c>
      <c r="H47" s="96">
        <f t="shared" si="7"/>
        <v>108306</v>
      </c>
    </row>
    <row r="48" spans="1:8" ht="15" customHeight="1" x14ac:dyDescent="0.3">
      <c r="A48" s="97" t="s">
        <v>129</v>
      </c>
      <c r="B48" s="8"/>
      <c r="C48" s="8"/>
      <c r="D48" s="8"/>
      <c r="E48" s="8"/>
      <c r="F48" s="8"/>
      <c r="G48" s="8"/>
      <c r="H48" s="8"/>
    </row>
    <row r="51" spans="1:8" ht="15" customHeight="1" x14ac:dyDescent="0.3">
      <c r="A51" s="176" t="s">
        <v>90</v>
      </c>
      <c r="B51" s="176"/>
      <c r="C51" s="176"/>
      <c r="D51" s="176"/>
      <c r="E51" s="176"/>
      <c r="F51" s="176"/>
      <c r="G51" s="176"/>
      <c r="H51" s="176"/>
    </row>
    <row r="52" spans="1:8" ht="15" customHeight="1" x14ac:dyDescent="0.3">
      <c r="A52" s="176" t="s">
        <v>143</v>
      </c>
      <c r="B52" s="176"/>
      <c r="C52" s="176"/>
      <c r="D52" s="176"/>
      <c r="E52" s="176"/>
      <c r="F52" s="176"/>
      <c r="G52" s="176"/>
      <c r="H52" s="176"/>
    </row>
    <row r="53" spans="1:8" ht="15" customHeight="1" x14ac:dyDescent="0.3">
      <c r="A53" s="93" t="s">
        <v>119</v>
      </c>
      <c r="B53" s="94"/>
      <c r="C53" s="94" t="s">
        <v>49</v>
      </c>
      <c r="D53" s="94" t="s">
        <v>50</v>
      </c>
      <c r="E53" s="94" t="s">
        <v>51</v>
      </c>
      <c r="F53" s="94" t="s">
        <v>52</v>
      </c>
      <c r="G53" s="94" t="s">
        <v>0</v>
      </c>
      <c r="H53" s="94" t="s">
        <v>1</v>
      </c>
    </row>
    <row r="54" spans="1:8" ht="15" customHeight="1" x14ac:dyDescent="0.3">
      <c r="A54" s="177" t="s">
        <v>2</v>
      </c>
      <c r="B54" s="16" t="s">
        <v>7</v>
      </c>
      <c r="C54" s="74">
        <v>33</v>
      </c>
      <c r="D54" s="74">
        <v>76</v>
      </c>
      <c r="E54" s="74">
        <v>98</v>
      </c>
      <c r="F54" s="74">
        <v>116</v>
      </c>
      <c r="G54" s="74">
        <v>8</v>
      </c>
      <c r="H54" s="75">
        <f>SUM(C54:G54)</f>
        <v>331</v>
      </c>
    </row>
    <row r="55" spans="1:8" ht="15" customHeight="1" x14ac:dyDescent="0.3">
      <c r="A55" s="177"/>
      <c r="B55" s="16" t="s">
        <v>8</v>
      </c>
      <c r="C55" s="74">
        <v>3537</v>
      </c>
      <c r="D55" s="74">
        <v>5233</v>
      </c>
      <c r="E55" s="74">
        <v>5773</v>
      </c>
      <c r="F55" s="74">
        <v>4012</v>
      </c>
      <c r="G55" s="74">
        <v>206</v>
      </c>
      <c r="H55" s="75">
        <f t="shared" ref="H55:H68" si="8">SUM(C55:G55)</f>
        <v>18761</v>
      </c>
    </row>
    <row r="56" spans="1:8" ht="15" customHeight="1" x14ac:dyDescent="0.3">
      <c r="A56" s="177"/>
      <c r="B56" s="16" t="s">
        <v>9</v>
      </c>
      <c r="C56" s="74">
        <v>7390</v>
      </c>
      <c r="D56" s="74">
        <v>10427</v>
      </c>
      <c r="E56" s="74">
        <v>11743</v>
      </c>
      <c r="F56" s="74">
        <v>7939</v>
      </c>
      <c r="G56" s="74">
        <v>406</v>
      </c>
      <c r="H56" s="75">
        <f t="shared" si="8"/>
        <v>37905</v>
      </c>
    </row>
    <row r="57" spans="1:8" ht="15" customHeight="1" x14ac:dyDescent="0.3">
      <c r="A57" s="178" t="s">
        <v>3</v>
      </c>
      <c r="B57" s="11" t="s">
        <v>7</v>
      </c>
      <c r="C57" s="76">
        <v>0</v>
      </c>
      <c r="D57" s="76">
        <v>2</v>
      </c>
      <c r="E57" s="76">
        <v>3</v>
      </c>
      <c r="F57" s="76">
        <v>3</v>
      </c>
      <c r="G57" s="76">
        <v>0</v>
      </c>
      <c r="H57" s="77">
        <f t="shared" si="8"/>
        <v>8</v>
      </c>
    </row>
    <row r="58" spans="1:8" ht="15" customHeight="1" x14ac:dyDescent="0.3">
      <c r="A58" s="178"/>
      <c r="B58" s="11" t="s">
        <v>8</v>
      </c>
      <c r="C58" s="76">
        <v>0</v>
      </c>
      <c r="D58" s="76">
        <v>27</v>
      </c>
      <c r="E58" s="76">
        <v>56</v>
      </c>
      <c r="F58" s="76">
        <v>54</v>
      </c>
      <c r="G58" s="76">
        <v>0</v>
      </c>
      <c r="H58" s="77">
        <f t="shared" si="8"/>
        <v>137</v>
      </c>
    </row>
    <row r="59" spans="1:8" ht="15" customHeight="1" x14ac:dyDescent="0.3">
      <c r="A59" s="178"/>
      <c r="B59" s="11" t="s">
        <v>9</v>
      </c>
      <c r="C59" s="76">
        <v>0</v>
      </c>
      <c r="D59" s="76">
        <v>61</v>
      </c>
      <c r="E59" s="76">
        <v>105</v>
      </c>
      <c r="F59" s="76">
        <v>99</v>
      </c>
      <c r="G59" s="76">
        <v>0</v>
      </c>
      <c r="H59" s="77">
        <f t="shared" si="8"/>
        <v>265</v>
      </c>
    </row>
    <row r="60" spans="1:8" ht="15" customHeight="1" x14ac:dyDescent="0.3">
      <c r="A60" s="177" t="s">
        <v>4</v>
      </c>
      <c r="B60" s="16" t="s">
        <v>7</v>
      </c>
      <c r="C60" s="74">
        <v>37</v>
      </c>
      <c r="D60" s="74">
        <v>59</v>
      </c>
      <c r="E60" s="74">
        <v>109</v>
      </c>
      <c r="F60" s="74">
        <v>160</v>
      </c>
      <c r="G60" s="74">
        <v>49</v>
      </c>
      <c r="H60" s="75">
        <f t="shared" si="8"/>
        <v>414</v>
      </c>
    </row>
    <row r="61" spans="1:8" ht="15" customHeight="1" x14ac:dyDescent="0.3">
      <c r="A61" s="177"/>
      <c r="B61" s="16" t="s">
        <v>8</v>
      </c>
      <c r="C61" s="74">
        <v>7511</v>
      </c>
      <c r="D61" s="74">
        <v>6661</v>
      </c>
      <c r="E61" s="74">
        <v>5377</v>
      </c>
      <c r="F61" s="74">
        <v>4972</v>
      </c>
      <c r="G61" s="74">
        <v>1055</v>
      </c>
      <c r="H61" s="75">
        <f t="shared" si="8"/>
        <v>25576</v>
      </c>
    </row>
    <row r="62" spans="1:8" ht="15" customHeight="1" x14ac:dyDescent="0.3">
      <c r="A62" s="177"/>
      <c r="B62" s="16" t="s">
        <v>9</v>
      </c>
      <c r="C62" s="74">
        <v>15458</v>
      </c>
      <c r="D62" s="74">
        <v>13411</v>
      </c>
      <c r="E62" s="74">
        <v>10449</v>
      </c>
      <c r="F62" s="74">
        <v>9487</v>
      </c>
      <c r="G62" s="74">
        <v>2039</v>
      </c>
      <c r="H62" s="75">
        <f t="shared" si="8"/>
        <v>50844</v>
      </c>
    </row>
    <row r="63" spans="1:8" ht="15" customHeight="1" x14ac:dyDescent="0.3">
      <c r="A63" s="178" t="s">
        <v>5</v>
      </c>
      <c r="B63" s="11" t="s">
        <v>7</v>
      </c>
      <c r="C63" s="76">
        <v>9</v>
      </c>
      <c r="D63" s="76">
        <v>29</v>
      </c>
      <c r="E63" s="76">
        <v>42</v>
      </c>
      <c r="F63" s="76">
        <v>67</v>
      </c>
      <c r="G63" s="76">
        <v>9</v>
      </c>
      <c r="H63" s="77">
        <f t="shared" si="8"/>
        <v>156</v>
      </c>
    </row>
    <row r="64" spans="1:8" ht="15" customHeight="1" x14ac:dyDescent="0.3">
      <c r="A64" s="178"/>
      <c r="B64" s="11" t="s">
        <v>8</v>
      </c>
      <c r="C64" s="76">
        <v>650</v>
      </c>
      <c r="D64" s="76">
        <v>1819</v>
      </c>
      <c r="E64" s="76">
        <v>1623</v>
      </c>
      <c r="F64" s="76">
        <v>1634</v>
      </c>
      <c r="G64" s="76">
        <v>112</v>
      </c>
      <c r="H64" s="77">
        <f t="shared" si="8"/>
        <v>5838</v>
      </c>
    </row>
    <row r="65" spans="1:8" ht="15" customHeight="1" x14ac:dyDescent="0.3">
      <c r="A65" s="178"/>
      <c r="B65" s="11" t="s">
        <v>9</v>
      </c>
      <c r="C65" s="76">
        <v>1395</v>
      </c>
      <c r="D65" s="76">
        <v>3703</v>
      </c>
      <c r="E65" s="76">
        <v>3216</v>
      </c>
      <c r="F65" s="76">
        <v>3244</v>
      </c>
      <c r="G65" s="76">
        <v>244</v>
      </c>
      <c r="H65" s="77">
        <f t="shared" si="8"/>
        <v>11802</v>
      </c>
    </row>
    <row r="66" spans="1:8" ht="15" customHeight="1" x14ac:dyDescent="0.3">
      <c r="A66" s="177" t="s">
        <v>6</v>
      </c>
      <c r="B66" s="16" t="s">
        <v>7</v>
      </c>
      <c r="C66" s="74">
        <v>2</v>
      </c>
      <c r="D66" s="74">
        <v>12</v>
      </c>
      <c r="E66" s="74">
        <v>32</v>
      </c>
      <c r="F66" s="74">
        <v>55</v>
      </c>
      <c r="G66" s="74">
        <v>5</v>
      </c>
      <c r="H66" s="75">
        <f t="shared" si="8"/>
        <v>106</v>
      </c>
    </row>
    <row r="67" spans="1:8" ht="15" customHeight="1" x14ac:dyDescent="0.3">
      <c r="A67" s="177"/>
      <c r="B67" s="16" t="s">
        <v>8</v>
      </c>
      <c r="C67" s="74">
        <v>247</v>
      </c>
      <c r="D67" s="74">
        <v>451</v>
      </c>
      <c r="E67" s="74">
        <v>977</v>
      </c>
      <c r="F67" s="74">
        <v>1338</v>
      </c>
      <c r="G67" s="74">
        <v>109</v>
      </c>
      <c r="H67" s="75">
        <f t="shared" si="8"/>
        <v>3122</v>
      </c>
    </row>
    <row r="68" spans="1:8" ht="15" customHeight="1" x14ac:dyDescent="0.3">
      <c r="A68" s="177"/>
      <c r="B68" s="16" t="s">
        <v>9</v>
      </c>
      <c r="C68" s="74">
        <v>504</v>
      </c>
      <c r="D68" s="74">
        <v>909</v>
      </c>
      <c r="E68" s="74">
        <v>1984</v>
      </c>
      <c r="F68" s="74">
        <v>2576</v>
      </c>
      <c r="G68" s="74">
        <v>209</v>
      </c>
      <c r="H68" s="75">
        <f t="shared" si="8"/>
        <v>6182</v>
      </c>
    </row>
    <row r="69" spans="1:8" ht="15" customHeight="1" x14ac:dyDescent="0.3">
      <c r="A69" s="179" t="s">
        <v>1</v>
      </c>
      <c r="B69" s="95" t="s">
        <v>7</v>
      </c>
      <c r="C69" s="96">
        <f t="shared" ref="C69:H69" si="9">C54+C57+C60+C63+C66</f>
        <v>81</v>
      </c>
      <c r="D69" s="96">
        <f t="shared" si="9"/>
        <v>178</v>
      </c>
      <c r="E69" s="96">
        <f t="shared" si="9"/>
        <v>284</v>
      </c>
      <c r="F69" s="96">
        <f t="shared" si="9"/>
        <v>401</v>
      </c>
      <c r="G69" s="96">
        <f t="shared" si="9"/>
        <v>71</v>
      </c>
      <c r="H69" s="96">
        <f t="shared" si="9"/>
        <v>1015</v>
      </c>
    </row>
    <row r="70" spans="1:8" ht="15" customHeight="1" x14ac:dyDescent="0.3">
      <c r="A70" s="179"/>
      <c r="B70" s="95" t="s">
        <v>8</v>
      </c>
      <c r="C70" s="96">
        <f t="shared" ref="C70:H70" si="10">C55+C58+C61+C64+C67</f>
        <v>11945</v>
      </c>
      <c r="D70" s="96">
        <f t="shared" si="10"/>
        <v>14191</v>
      </c>
      <c r="E70" s="96">
        <f t="shared" si="10"/>
        <v>13806</v>
      </c>
      <c r="F70" s="96">
        <f t="shared" si="10"/>
        <v>12010</v>
      </c>
      <c r="G70" s="96">
        <f t="shared" si="10"/>
        <v>1482</v>
      </c>
      <c r="H70" s="96">
        <f t="shared" si="10"/>
        <v>53434</v>
      </c>
    </row>
    <row r="71" spans="1:8" ht="15" customHeight="1" x14ac:dyDescent="0.3">
      <c r="A71" s="179"/>
      <c r="B71" s="95" t="s">
        <v>9</v>
      </c>
      <c r="C71" s="96">
        <f t="shared" ref="C71:H71" si="11">C56+C59+C62+C65+C68</f>
        <v>24747</v>
      </c>
      <c r="D71" s="96">
        <f t="shared" si="11"/>
        <v>28511</v>
      </c>
      <c r="E71" s="96">
        <f t="shared" si="11"/>
        <v>27497</v>
      </c>
      <c r="F71" s="96">
        <f t="shared" si="11"/>
        <v>23345</v>
      </c>
      <c r="G71" s="96">
        <f t="shared" si="11"/>
        <v>2898</v>
      </c>
      <c r="H71" s="96">
        <f t="shared" si="11"/>
        <v>106998</v>
      </c>
    </row>
    <row r="72" spans="1:8" ht="15" customHeight="1" x14ac:dyDescent="0.3">
      <c r="A72" s="97" t="s">
        <v>129</v>
      </c>
      <c r="B72" s="8"/>
      <c r="C72" s="8"/>
      <c r="D72" s="8"/>
      <c r="E72" s="8"/>
      <c r="F72" s="8"/>
      <c r="G72" s="8"/>
      <c r="H72" s="8"/>
    </row>
    <row r="75" spans="1:8" ht="15" customHeight="1" x14ac:dyDescent="0.3">
      <c r="A75" s="176" t="s">
        <v>90</v>
      </c>
      <c r="B75" s="176"/>
      <c r="C75" s="176"/>
      <c r="D75" s="176"/>
      <c r="E75" s="176"/>
      <c r="F75" s="176"/>
      <c r="G75" s="176"/>
      <c r="H75" s="176"/>
    </row>
    <row r="76" spans="1:8" ht="15" customHeight="1" x14ac:dyDescent="0.3">
      <c r="A76" s="176" t="s">
        <v>138</v>
      </c>
      <c r="B76" s="176"/>
      <c r="C76" s="176"/>
      <c r="D76" s="176"/>
      <c r="E76" s="176"/>
      <c r="F76" s="176"/>
      <c r="G76" s="176"/>
      <c r="H76" s="176"/>
    </row>
    <row r="77" spans="1:8" ht="15" customHeight="1" x14ac:dyDescent="0.3">
      <c r="A77" s="93" t="s">
        <v>119</v>
      </c>
      <c r="B77" s="94"/>
      <c r="C77" s="94" t="s">
        <v>49</v>
      </c>
      <c r="D77" s="94" t="s">
        <v>50</v>
      </c>
      <c r="E77" s="94" t="s">
        <v>51</v>
      </c>
      <c r="F77" s="94" t="s">
        <v>52</v>
      </c>
      <c r="G77" s="94" t="s">
        <v>0</v>
      </c>
      <c r="H77" s="94" t="s">
        <v>1</v>
      </c>
    </row>
    <row r="78" spans="1:8" ht="15" customHeight="1" x14ac:dyDescent="0.3">
      <c r="A78" s="177" t="s">
        <v>2</v>
      </c>
      <c r="B78" s="16" t="s">
        <v>7</v>
      </c>
      <c r="C78" s="74">
        <v>30</v>
      </c>
      <c r="D78" s="74">
        <v>74</v>
      </c>
      <c r="E78" s="74">
        <v>95</v>
      </c>
      <c r="F78" s="74">
        <v>122</v>
      </c>
      <c r="G78" s="74">
        <v>9</v>
      </c>
      <c r="H78" s="75">
        <f>SUM(C78:G78)</f>
        <v>330</v>
      </c>
    </row>
    <row r="79" spans="1:8" ht="15" customHeight="1" x14ac:dyDescent="0.3">
      <c r="A79" s="177"/>
      <c r="B79" s="16" t="s">
        <v>8</v>
      </c>
      <c r="C79" s="74">
        <v>3184</v>
      </c>
      <c r="D79" s="74">
        <v>5160</v>
      </c>
      <c r="E79" s="74">
        <v>5738</v>
      </c>
      <c r="F79" s="74">
        <v>4348</v>
      </c>
      <c r="G79" s="74">
        <v>224</v>
      </c>
      <c r="H79" s="75">
        <f t="shared" ref="H79:H92" si="12">SUM(C79:G79)</f>
        <v>18654</v>
      </c>
    </row>
    <row r="80" spans="1:8" ht="15" customHeight="1" x14ac:dyDescent="0.3">
      <c r="A80" s="177"/>
      <c r="B80" s="16" t="s">
        <v>9</v>
      </c>
      <c r="C80" s="74">
        <v>6567</v>
      </c>
      <c r="D80" s="74">
        <v>10359</v>
      </c>
      <c r="E80" s="74">
        <v>11631</v>
      </c>
      <c r="F80" s="74">
        <v>8667</v>
      </c>
      <c r="G80" s="74">
        <v>440</v>
      </c>
      <c r="H80" s="75">
        <f t="shared" si="12"/>
        <v>37664</v>
      </c>
    </row>
    <row r="81" spans="1:8" ht="15" customHeight="1" x14ac:dyDescent="0.3">
      <c r="A81" s="178" t="s">
        <v>3</v>
      </c>
      <c r="B81" s="11" t="s">
        <v>7</v>
      </c>
      <c r="C81" s="76">
        <v>0</v>
      </c>
      <c r="D81" s="76">
        <v>2</v>
      </c>
      <c r="E81" s="76">
        <v>3</v>
      </c>
      <c r="F81" s="76">
        <v>3</v>
      </c>
      <c r="G81" s="76">
        <v>0</v>
      </c>
      <c r="H81" s="77">
        <f t="shared" si="12"/>
        <v>8</v>
      </c>
    </row>
    <row r="82" spans="1:8" ht="15" customHeight="1" x14ac:dyDescent="0.3">
      <c r="A82" s="178"/>
      <c r="B82" s="11" t="s">
        <v>8</v>
      </c>
      <c r="C82" s="76">
        <v>0</v>
      </c>
      <c r="D82" s="76">
        <v>27</v>
      </c>
      <c r="E82" s="76">
        <v>56</v>
      </c>
      <c r="F82" s="76">
        <v>54</v>
      </c>
      <c r="G82" s="76">
        <v>0</v>
      </c>
      <c r="H82" s="77">
        <f t="shared" si="12"/>
        <v>137</v>
      </c>
    </row>
    <row r="83" spans="1:8" ht="15" customHeight="1" x14ac:dyDescent="0.3">
      <c r="A83" s="178"/>
      <c r="B83" s="11" t="s">
        <v>9</v>
      </c>
      <c r="C83" s="76">
        <v>0</v>
      </c>
      <c r="D83" s="76">
        <v>61</v>
      </c>
      <c r="E83" s="76">
        <v>105</v>
      </c>
      <c r="F83" s="76">
        <v>99</v>
      </c>
      <c r="G83" s="76">
        <v>0</v>
      </c>
      <c r="H83" s="77">
        <f t="shared" si="12"/>
        <v>265</v>
      </c>
    </row>
    <row r="84" spans="1:8" ht="15" customHeight="1" x14ac:dyDescent="0.3">
      <c r="A84" s="177" t="s">
        <v>4</v>
      </c>
      <c r="B84" s="16" t="s">
        <v>7</v>
      </c>
      <c r="C84" s="74">
        <v>31</v>
      </c>
      <c r="D84" s="74">
        <v>62</v>
      </c>
      <c r="E84" s="74">
        <v>105</v>
      </c>
      <c r="F84" s="74">
        <v>168</v>
      </c>
      <c r="G84" s="74">
        <v>49</v>
      </c>
      <c r="H84" s="75">
        <f t="shared" si="12"/>
        <v>415</v>
      </c>
    </row>
    <row r="85" spans="1:8" ht="15" customHeight="1" x14ac:dyDescent="0.3">
      <c r="A85" s="177"/>
      <c r="B85" s="16" t="s">
        <v>8</v>
      </c>
      <c r="C85" s="74">
        <v>6215</v>
      </c>
      <c r="D85" s="74">
        <v>6642</v>
      </c>
      <c r="E85" s="74">
        <v>6124</v>
      </c>
      <c r="F85" s="74">
        <v>5241</v>
      </c>
      <c r="G85" s="74">
        <v>1055</v>
      </c>
      <c r="H85" s="75">
        <f t="shared" si="12"/>
        <v>25277</v>
      </c>
    </row>
    <row r="86" spans="1:8" ht="15" customHeight="1" x14ac:dyDescent="0.3">
      <c r="A86" s="177"/>
      <c r="B86" s="16" t="s">
        <v>9</v>
      </c>
      <c r="C86" s="74">
        <v>12835</v>
      </c>
      <c r="D86" s="74">
        <v>13135</v>
      </c>
      <c r="E86" s="74">
        <v>11896</v>
      </c>
      <c r="F86" s="74">
        <v>9971</v>
      </c>
      <c r="G86" s="74">
        <v>2039</v>
      </c>
      <c r="H86" s="75">
        <f t="shared" si="12"/>
        <v>49876</v>
      </c>
    </row>
    <row r="87" spans="1:8" ht="15" customHeight="1" x14ac:dyDescent="0.3">
      <c r="A87" s="178" t="s">
        <v>5</v>
      </c>
      <c r="B87" s="11" t="s">
        <v>7</v>
      </c>
      <c r="C87" s="76">
        <v>8</v>
      </c>
      <c r="D87" s="76">
        <v>28</v>
      </c>
      <c r="E87" s="76">
        <v>42</v>
      </c>
      <c r="F87" s="76">
        <v>66</v>
      </c>
      <c r="G87" s="76">
        <v>9</v>
      </c>
      <c r="H87" s="77">
        <f t="shared" si="12"/>
        <v>153</v>
      </c>
    </row>
    <row r="88" spans="1:8" ht="15" customHeight="1" x14ac:dyDescent="0.3">
      <c r="A88" s="178"/>
      <c r="B88" s="11" t="s">
        <v>8</v>
      </c>
      <c r="C88" s="76">
        <v>629</v>
      </c>
      <c r="D88" s="76">
        <v>1779</v>
      </c>
      <c r="E88" s="76">
        <v>1629</v>
      </c>
      <c r="F88" s="76">
        <v>1579</v>
      </c>
      <c r="G88" s="76">
        <v>112</v>
      </c>
      <c r="H88" s="77">
        <f t="shared" si="12"/>
        <v>5728</v>
      </c>
    </row>
    <row r="89" spans="1:8" ht="15" customHeight="1" x14ac:dyDescent="0.3">
      <c r="A89" s="178"/>
      <c r="B89" s="11" t="s">
        <v>9</v>
      </c>
      <c r="C89" s="76">
        <v>1357</v>
      </c>
      <c r="D89" s="76">
        <v>3613</v>
      </c>
      <c r="E89" s="76">
        <v>3242</v>
      </c>
      <c r="F89" s="76">
        <v>3144</v>
      </c>
      <c r="G89" s="76">
        <v>244</v>
      </c>
      <c r="H89" s="77">
        <f t="shared" si="12"/>
        <v>11600</v>
      </c>
    </row>
    <row r="90" spans="1:8" ht="15" customHeight="1" x14ac:dyDescent="0.3">
      <c r="A90" s="177" t="s">
        <v>6</v>
      </c>
      <c r="B90" s="16" t="s">
        <v>7</v>
      </c>
      <c r="C90" s="74">
        <v>2</v>
      </c>
      <c r="D90" s="74">
        <v>11</v>
      </c>
      <c r="E90" s="74">
        <v>31</v>
      </c>
      <c r="F90" s="74">
        <v>56</v>
      </c>
      <c r="G90" s="74">
        <v>5</v>
      </c>
      <c r="H90" s="75">
        <f t="shared" si="12"/>
        <v>105</v>
      </c>
    </row>
    <row r="91" spans="1:8" ht="15" customHeight="1" x14ac:dyDescent="0.3">
      <c r="A91" s="177"/>
      <c r="B91" s="16" t="s">
        <v>8</v>
      </c>
      <c r="C91" s="74">
        <v>247</v>
      </c>
      <c r="D91" s="74">
        <v>352</v>
      </c>
      <c r="E91" s="74">
        <v>1008</v>
      </c>
      <c r="F91" s="74">
        <v>1350</v>
      </c>
      <c r="G91" s="74">
        <v>109</v>
      </c>
      <c r="H91" s="75">
        <f t="shared" si="12"/>
        <v>3066</v>
      </c>
    </row>
    <row r="92" spans="1:8" ht="15" customHeight="1" x14ac:dyDescent="0.3">
      <c r="A92" s="177"/>
      <c r="B92" s="16" t="s">
        <v>9</v>
      </c>
      <c r="C92" s="74">
        <v>504</v>
      </c>
      <c r="D92" s="74">
        <v>705</v>
      </c>
      <c r="E92" s="74">
        <v>2072</v>
      </c>
      <c r="F92" s="74">
        <v>2601</v>
      </c>
      <c r="G92" s="74">
        <v>209</v>
      </c>
      <c r="H92" s="75">
        <f t="shared" si="12"/>
        <v>6091</v>
      </c>
    </row>
    <row r="93" spans="1:8" ht="15" customHeight="1" x14ac:dyDescent="0.3">
      <c r="A93" s="179" t="s">
        <v>1</v>
      </c>
      <c r="B93" s="95" t="s">
        <v>7</v>
      </c>
      <c r="C93" s="96">
        <f t="shared" ref="C93:H93" si="13">C78+C81+C84+C87+C90</f>
        <v>71</v>
      </c>
      <c r="D93" s="96">
        <f t="shared" si="13"/>
        <v>177</v>
      </c>
      <c r="E93" s="96">
        <f t="shared" si="13"/>
        <v>276</v>
      </c>
      <c r="F93" s="96">
        <f t="shared" si="13"/>
        <v>415</v>
      </c>
      <c r="G93" s="96">
        <f t="shared" si="13"/>
        <v>72</v>
      </c>
      <c r="H93" s="96">
        <f t="shared" si="13"/>
        <v>1011</v>
      </c>
    </row>
    <row r="94" spans="1:8" ht="15" customHeight="1" x14ac:dyDescent="0.3">
      <c r="A94" s="179"/>
      <c r="B94" s="95" t="s">
        <v>8</v>
      </c>
      <c r="C94" s="96">
        <f t="shared" ref="C94:H94" si="14">C79+C82+C85+C88+C91</f>
        <v>10275</v>
      </c>
      <c r="D94" s="96">
        <f t="shared" si="14"/>
        <v>13960</v>
      </c>
      <c r="E94" s="96">
        <f t="shared" si="14"/>
        <v>14555</v>
      </c>
      <c r="F94" s="96">
        <f t="shared" si="14"/>
        <v>12572</v>
      </c>
      <c r="G94" s="96">
        <f t="shared" si="14"/>
        <v>1500</v>
      </c>
      <c r="H94" s="96">
        <f t="shared" si="14"/>
        <v>52862</v>
      </c>
    </row>
    <row r="95" spans="1:8" ht="15" customHeight="1" x14ac:dyDescent="0.3">
      <c r="A95" s="179"/>
      <c r="B95" s="95" t="s">
        <v>9</v>
      </c>
      <c r="C95" s="96">
        <f t="shared" ref="C95:H95" si="15">C80+C83+C86+C89+C92</f>
        <v>21263</v>
      </c>
      <c r="D95" s="96">
        <f t="shared" si="15"/>
        <v>27873</v>
      </c>
      <c r="E95" s="96">
        <f t="shared" si="15"/>
        <v>28946</v>
      </c>
      <c r="F95" s="96">
        <f t="shared" si="15"/>
        <v>24482</v>
      </c>
      <c r="G95" s="96">
        <f t="shared" si="15"/>
        <v>2932</v>
      </c>
      <c r="H95" s="96">
        <f t="shared" si="15"/>
        <v>105496</v>
      </c>
    </row>
    <row r="96" spans="1:8" ht="15" customHeight="1" x14ac:dyDescent="0.3">
      <c r="A96" s="97" t="s">
        <v>129</v>
      </c>
      <c r="B96" s="8"/>
      <c r="C96" s="8"/>
      <c r="D96" s="8"/>
      <c r="E96" s="8"/>
      <c r="F96" s="8"/>
      <c r="G96" s="8"/>
      <c r="H96" s="8"/>
    </row>
    <row r="99" spans="1:8" ht="15" customHeight="1" x14ac:dyDescent="0.3">
      <c r="A99" s="176" t="s">
        <v>90</v>
      </c>
      <c r="B99" s="176"/>
      <c r="C99" s="176"/>
      <c r="D99" s="176"/>
      <c r="E99" s="176"/>
      <c r="F99" s="176"/>
      <c r="G99" s="176"/>
      <c r="H99" s="176"/>
    </row>
    <row r="100" spans="1:8" ht="15" customHeight="1" x14ac:dyDescent="0.3">
      <c r="A100" s="176" t="s">
        <v>135</v>
      </c>
      <c r="B100" s="176"/>
      <c r="C100" s="176"/>
      <c r="D100" s="176"/>
      <c r="E100" s="176"/>
      <c r="F100" s="176"/>
      <c r="G100" s="176"/>
      <c r="H100" s="176"/>
    </row>
    <row r="101" spans="1:8" ht="15" customHeight="1" x14ac:dyDescent="0.3">
      <c r="A101" s="93" t="s">
        <v>119</v>
      </c>
      <c r="B101" s="94"/>
      <c r="C101" s="94" t="s">
        <v>49</v>
      </c>
      <c r="D101" s="94" t="s">
        <v>50</v>
      </c>
      <c r="E101" s="94" t="s">
        <v>51</v>
      </c>
      <c r="F101" s="94" t="s">
        <v>52</v>
      </c>
      <c r="G101" s="94" t="s">
        <v>0</v>
      </c>
      <c r="H101" s="94" t="s">
        <v>1</v>
      </c>
    </row>
    <row r="102" spans="1:8" ht="15" customHeight="1" x14ac:dyDescent="0.3">
      <c r="A102" s="177" t="s">
        <v>2</v>
      </c>
      <c r="B102" s="16" t="s">
        <v>7</v>
      </c>
      <c r="C102" s="74">
        <v>29</v>
      </c>
      <c r="D102" s="74">
        <v>72</v>
      </c>
      <c r="E102" s="74">
        <v>85</v>
      </c>
      <c r="F102" s="74">
        <v>125</v>
      </c>
      <c r="G102" s="74">
        <v>9</v>
      </c>
      <c r="H102" s="75">
        <f>SUM(C102:G102)</f>
        <v>320</v>
      </c>
    </row>
    <row r="103" spans="1:8" ht="15" customHeight="1" x14ac:dyDescent="0.3">
      <c r="A103" s="177"/>
      <c r="B103" s="16" t="s">
        <v>8</v>
      </c>
      <c r="C103" s="74">
        <v>2995</v>
      </c>
      <c r="D103" s="74">
        <v>5105</v>
      </c>
      <c r="E103" s="74">
        <v>5473</v>
      </c>
      <c r="F103" s="74">
        <v>4496</v>
      </c>
      <c r="G103" s="74">
        <v>224</v>
      </c>
      <c r="H103" s="75">
        <f t="shared" ref="H103:H116" si="16">SUM(C103:G103)</f>
        <v>18293</v>
      </c>
    </row>
    <row r="104" spans="1:8" ht="15" customHeight="1" x14ac:dyDescent="0.3">
      <c r="A104" s="177"/>
      <c r="B104" s="16" t="s">
        <v>9</v>
      </c>
      <c r="C104" s="74">
        <v>6260</v>
      </c>
      <c r="D104" s="74">
        <v>10229</v>
      </c>
      <c r="E104" s="74">
        <v>10967</v>
      </c>
      <c r="F104" s="74">
        <v>8770</v>
      </c>
      <c r="G104" s="74">
        <v>440</v>
      </c>
      <c r="H104" s="75">
        <f t="shared" si="16"/>
        <v>36666</v>
      </c>
    </row>
    <row r="105" spans="1:8" ht="15" customHeight="1" x14ac:dyDescent="0.3">
      <c r="A105" s="178" t="s">
        <v>3</v>
      </c>
      <c r="B105" s="11" t="s">
        <v>7</v>
      </c>
      <c r="C105" s="76">
        <v>0</v>
      </c>
      <c r="D105" s="76">
        <v>2</v>
      </c>
      <c r="E105" s="76">
        <v>3</v>
      </c>
      <c r="F105" s="76">
        <v>3</v>
      </c>
      <c r="G105" s="76">
        <v>0</v>
      </c>
      <c r="H105" s="77">
        <f t="shared" si="16"/>
        <v>8</v>
      </c>
    </row>
    <row r="106" spans="1:8" ht="15" customHeight="1" x14ac:dyDescent="0.3">
      <c r="A106" s="178"/>
      <c r="B106" s="11" t="s">
        <v>8</v>
      </c>
      <c r="C106" s="76">
        <v>0</v>
      </c>
      <c r="D106" s="76">
        <v>27</v>
      </c>
      <c r="E106" s="76">
        <v>56</v>
      </c>
      <c r="F106" s="76">
        <v>54</v>
      </c>
      <c r="G106" s="76">
        <v>0</v>
      </c>
      <c r="H106" s="77">
        <f t="shared" si="16"/>
        <v>137</v>
      </c>
    </row>
    <row r="107" spans="1:8" ht="15" customHeight="1" x14ac:dyDescent="0.3">
      <c r="A107" s="178"/>
      <c r="B107" s="11" t="s">
        <v>9</v>
      </c>
      <c r="C107" s="76">
        <v>0</v>
      </c>
      <c r="D107" s="76">
        <v>61</v>
      </c>
      <c r="E107" s="76">
        <v>105</v>
      </c>
      <c r="F107" s="76">
        <v>99</v>
      </c>
      <c r="G107" s="76">
        <v>0</v>
      </c>
      <c r="H107" s="77">
        <f t="shared" si="16"/>
        <v>265</v>
      </c>
    </row>
    <row r="108" spans="1:8" ht="15" customHeight="1" x14ac:dyDescent="0.3">
      <c r="A108" s="177" t="s">
        <v>4</v>
      </c>
      <c r="B108" s="16" t="s">
        <v>7</v>
      </c>
      <c r="C108" s="74">
        <v>30</v>
      </c>
      <c r="D108" s="74">
        <v>60</v>
      </c>
      <c r="E108" s="74">
        <v>105</v>
      </c>
      <c r="F108" s="74">
        <v>169</v>
      </c>
      <c r="G108" s="74">
        <v>50</v>
      </c>
      <c r="H108" s="75">
        <f t="shared" si="16"/>
        <v>414</v>
      </c>
    </row>
    <row r="109" spans="1:8" ht="15" customHeight="1" x14ac:dyDescent="0.3">
      <c r="A109" s="177"/>
      <c r="B109" s="16" t="s">
        <v>8</v>
      </c>
      <c r="C109" s="74">
        <v>6340</v>
      </c>
      <c r="D109" s="74">
        <v>6125</v>
      </c>
      <c r="E109" s="74">
        <v>6207</v>
      </c>
      <c r="F109" s="74">
        <v>5396</v>
      </c>
      <c r="G109" s="74">
        <v>1078</v>
      </c>
      <c r="H109" s="75">
        <f t="shared" si="16"/>
        <v>25146</v>
      </c>
    </row>
    <row r="110" spans="1:8" ht="15" customHeight="1" x14ac:dyDescent="0.3">
      <c r="A110" s="177"/>
      <c r="B110" s="16" t="s">
        <v>9</v>
      </c>
      <c r="C110" s="74">
        <v>13116</v>
      </c>
      <c r="D110" s="74">
        <v>11944</v>
      </c>
      <c r="E110" s="74">
        <v>12042</v>
      </c>
      <c r="F110" s="74">
        <v>10239</v>
      </c>
      <c r="G110" s="74">
        <v>2078</v>
      </c>
      <c r="H110" s="75">
        <f t="shared" si="16"/>
        <v>49419</v>
      </c>
    </row>
    <row r="111" spans="1:8" ht="15" customHeight="1" x14ac:dyDescent="0.3">
      <c r="A111" s="178" t="s">
        <v>5</v>
      </c>
      <c r="B111" s="11" t="s">
        <v>7</v>
      </c>
      <c r="C111" s="76">
        <v>8</v>
      </c>
      <c r="D111" s="76">
        <v>28</v>
      </c>
      <c r="E111" s="76">
        <v>42</v>
      </c>
      <c r="F111" s="76">
        <v>66</v>
      </c>
      <c r="G111" s="76">
        <v>9</v>
      </c>
      <c r="H111" s="77">
        <f t="shared" si="16"/>
        <v>153</v>
      </c>
    </row>
    <row r="112" spans="1:8" ht="15" customHeight="1" x14ac:dyDescent="0.3">
      <c r="A112" s="178"/>
      <c r="B112" s="11" t="s">
        <v>8</v>
      </c>
      <c r="C112" s="76">
        <v>629</v>
      </c>
      <c r="D112" s="76">
        <v>1744</v>
      </c>
      <c r="E112" s="76">
        <v>1609</v>
      </c>
      <c r="F112" s="76">
        <v>1566</v>
      </c>
      <c r="G112" s="76">
        <v>112</v>
      </c>
      <c r="H112" s="77">
        <f t="shared" si="16"/>
        <v>5660</v>
      </c>
    </row>
    <row r="113" spans="1:8" ht="15" customHeight="1" x14ac:dyDescent="0.3">
      <c r="A113" s="178"/>
      <c r="B113" s="11" t="s">
        <v>9</v>
      </c>
      <c r="C113" s="76">
        <v>1357</v>
      </c>
      <c r="D113" s="76">
        <v>3531</v>
      </c>
      <c r="E113" s="76">
        <v>3205</v>
      </c>
      <c r="F113" s="76">
        <v>3112</v>
      </c>
      <c r="G113" s="76">
        <v>244</v>
      </c>
      <c r="H113" s="77">
        <f t="shared" si="16"/>
        <v>11449</v>
      </c>
    </row>
    <row r="114" spans="1:8" ht="15" customHeight="1" x14ac:dyDescent="0.3">
      <c r="A114" s="177" t="s">
        <v>6</v>
      </c>
      <c r="B114" s="16" t="s">
        <v>7</v>
      </c>
      <c r="C114" s="74">
        <v>2</v>
      </c>
      <c r="D114" s="74">
        <v>10</v>
      </c>
      <c r="E114" s="74">
        <v>30</v>
      </c>
      <c r="F114" s="74">
        <v>57</v>
      </c>
      <c r="G114" s="74">
        <v>4</v>
      </c>
      <c r="H114" s="75">
        <f t="shared" si="16"/>
        <v>103</v>
      </c>
    </row>
    <row r="115" spans="1:8" ht="15" customHeight="1" x14ac:dyDescent="0.3">
      <c r="A115" s="177"/>
      <c r="B115" s="16" t="s">
        <v>8</v>
      </c>
      <c r="C115" s="74">
        <v>247</v>
      </c>
      <c r="D115" s="74">
        <v>288</v>
      </c>
      <c r="E115" s="74">
        <v>1019</v>
      </c>
      <c r="F115" s="74">
        <v>1357</v>
      </c>
      <c r="G115" s="74">
        <v>83</v>
      </c>
      <c r="H115" s="75">
        <f t="shared" si="16"/>
        <v>2994</v>
      </c>
    </row>
    <row r="116" spans="1:8" ht="15" customHeight="1" x14ac:dyDescent="0.3">
      <c r="A116" s="177"/>
      <c r="B116" s="16" t="s">
        <v>9</v>
      </c>
      <c r="C116" s="74">
        <v>504</v>
      </c>
      <c r="D116" s="74">
        <v>591</v>
      </c>
      <c r="E116" s="74">
        <v>2057</v>
      </c>
      <c r="F116" s="74">
        <v>2627</v>
      </c>
      <c r="G116" s="74">
        <v>158</v>
      </c>
      <c r="H116" s="75">
        <f t="shared" si="16"/>
        <v>5937</v>
      </c>
    </row>
    <row r="117" spans="1:8" ht="15" customHeight="1" x14ac:dyDescent="0.3">
      <c r="A117" s="179" t="s">
        <v>1</v>
      </c>
      <c r="B117" s="95" t="s">
        <v>7</v>
      </c>
      <c r="C117" s="96">
        <f t="shared" ref="C117:H117" si="17">C102+C105+C108+C111+C114</f>
        <v>69</v>
      </c>
      <c r="D117" s="96">
        <f t="shared" si="17"/>
        <v>172</v>
      </c>
      <c r="E117" s="96">
        <f t="shared" si="17"/>
        <v>265</v>
      </c>
      <c r="F117" s="96">
        <f t="shared" si="17"/>
        <v>420</v>
      </c>
      <c r="G117" s="96">
        <f t="shared" si="17"/>
        <v>72</v>
      </c>
      <c r="H117" s="96">
        <f t="shared" si="17"/>
        <v>998</v>
      </c>
    </row>
    <row r="118" spans="1:8" ht="15" customHeight="1" x14ac:dyDescent="0.3">
      <c r="A118" s="179"/>
      <c r="B118" s="95" t="s">
        <v>8</v>
      </c>
      <c r="C118" s="96">
        <f t="shared" ref="C118:H118" si="18">C103+C106+C109+C112+C115</f>
        <v>10211</v>
      </c>
      <c r="D118" s="96">
        <f t="shared" si="18"/>
        <v>13289</v>
      </c>
      <c r="E118" s="96">
        <f t="shared" si="18"/>
        <v>14364</v>
      </c>
      <c r="F118" s="96">
        <f t="shared" si="18"/>
        <v>12869</v>
      </c>
      <c r="G118" s="96">
        <f t="shared" si="18"/>
        <v>1497</v>
      </c>
      <c r="H118" s="96">
        <f t="shared" si="18"/>
        <v>52230</v>
      </c>
    </row>
    <row r="119" spans="1:8" ht="15" customHeight="1" x14ac:dyDescent="0.3">
      <c r="A119" s="179"/>
      <c r="B119" s="95" t="s">
        <v>9</v>
      </c>
      <c r="C119" s="96">
        <f t="shared" ref="C119:H119" si="19">C104+C107+C110+C113+C116</f>
        <v>21237</v>
      </c>
      <c r="D119" s="96">
        <f t="shared" si="19"/>
        <v>26356</v>
      </c>
      <c r="E119" s="96">
        <f t="shared" si="19"/>
        <v>28376</v>
      </c>
      <c r="F119" s="96">
        <f t="shared" si="19"/>
        <v>24847</v>
      </c>
      <c r="G119" s="96">
        <f t="shared" si="19"/>
        <v>2920</v>
      </c>
      <c r="H119" s="96">
        <f t="shared" si="19"/>
        <v>103736</v>
      </c>
    </row>
    <row r="120" spans="1:8" ht="15" customHeight="1" x14ac:dyDescent="0.3">
      <c r="A120" s="97" t="s">
        <v>129</v>
      </c>
      <c r="B120" s="8"/>
      <c r="C120" s="8"/>
      <c r="D120" s="8"/>
      <c r="E120" s="8"/>
      <c r="F120" s="8"/>
      <c r="G120" s="8"/>
      <c r="H120" s="8"/>
    </row>
    <row r="123" spans="1:8" ht="15" customHeight="1" x14ac:dyDescent="0.3">
      <c r="A123" s="176" t="s">
        <v>90</v>
      </c>
      <c r="B123" s="176"/>
      <c r="C123" s="176"/>
      <c r="D123" s="176"/>
      <c r="E123" s="176"/>
      <c r="F123" s="176"/>
      <c r="G123" s="176"/>
      <c r="H123" s="176"/>
    </row>
    <row r="124" spans="1:8" ht="15" customHeight="1" x14ac:dyDescent="0.3">
      <c r="A124" s="176" t="s">
        <v>112</v>
      </c>
      <c r="B124" s="176"/>
      <c r="C124" s="176"/>
      <c r="D124" s="176"/>
      <c r="E124" s="176"/>
      <c r="F124" s="176"/>
      <c r="G124" s="176"/>
      <c r="H124" s="176"/>
    </row>
    <row r="125" spans="1:8" ht="15" customHeight="1" x14ac:dyDescent="0.3">
      <c r="A125" s="93" t="s">
        <v>119</v>
      </c>
      <c r="B125" s="94"/>
      <c r="C125" s="94" t="s">
        <v>49</v>
      </c>
      <c r="D125" s="94" t="s">
        <v>50</v>
      </c>
      <c r="E125" s="94" t="s">
        <v>51</v>
      </c>
      <c r="F125" s="94" t="s">
        <v>52</v>
      </c>
      <c r="G125" s="94" t="s">
        <v>0</v>
      </c>
      <c r="H125" s="94" t="s">
        <v>1</v>
      </c>
    </row>
    <row r="126" spans="1:8" ht="15" customHeight="1" x14ac:dyDescent="0.3">
      <c r="A126" s="177" t="s">
        <v>2</v>
      </c>
      <c r="B126" s="16" t="s">
        <v>7</v>
      </c>
      <c r="C126" s="74">
        <v>29</v>
      </c>
      <c r="D126" s="74">
        <v>67</v>
      </c>
      <c r="E126" s="74">
        <v>85</v>
      </c>
      <c r="F126" s="74">
        <v>127</v>
      </c>
      <c r="G126" s="74">
        <v>9</v>
      </c>
      <c r="H126" s="75">
        <f>SUM(C126:G126)</f>
        <v>317</v>
      </c>
    </row>
    <row r="127" spans="1:8" ht="15" customHeight="1" x14ac:dyDescent="0.3">
      <c r="A127" s="177"/>
      <c r="B127" s="16" t="s">
        <v>8</v>
      </c>
      <c r="C127" s="74">
        <v>2995</v>
      </c>
      <c r="D127" s="74">
        <v>4815</v>
      </c>
      <c r="E127" s="74">
        <v>5613</v>
      </c>
      <c r="F127" s="74">
        <v>4577</v>
      </c>
      <c r="G127" s="74">
        <v>224</v>
      </c>
      <c r="H127" s="75">
        <f t="shared" ref="H127:H140" si="20">SUM(C127:G127)</f>
        <v>18224</v>
      </c>
    </row>
    <row r="128" spans="1:8" ht="15" customHeight="1" x14ac:dyDescent="0.3">
      <c r="A128" s="177"/>
      <c r="B128" s="16" t="s">
        <v>9</v>
      </c>
      <c r="C128" s="74">
        <v>6260</v>
      </c>
      <c r="D128" s="74">
        <v>9621</v>
      </c>
      <c r="E128" s="74">
        <v>11242</v>
      </c>
      <c r="F128" s="74">
        <v>8853</v>
      </c>
      <c r="G128" s="74">
        <v>440</v>
      </c>
      <c r="H128" s="75">
        <f t="shared" si="20"/>
        <v>36416</v>
      </c>
    </row>
    <row r="129" spans="1:8" ht="15" customHeight="1" x14ac:dyDescent="0.3">
      <c r="A129" s="178" t="s">
        <v>3</v>
      </c>
      <c r="B129" s="11" t="s">
        <v>7</v>
      </c>
      <c r="C129" s="76">
        <v>0</v>
      </c>
      <c r="D129" s="76">
        <v>2</v>
      </c>
      <c r="E129" s="76">
        <v>3</v>
      </c>
      <c r="F129" s="76">
        <v>3</v>
      </c>
      <c r="G129" s="76">
        <v>0</v>
      </c>
      <c r="H129" s="77">
        <f t="shared" si="20"/>
        <v>8</v>
      </c>
    </row>
    <row r="130" spans="1:8" ht="15" customHeight="1" x14ac:dyDescent="0.3">
      <c r="A130" s="178"/>
      <c r="B130" s="11" t="s">
        <v>8</v>
      </c>
      <c r="C130" s="76">
        <v>0</v>
      </c>
      <c r="D130" s="76">
        <v>27</v>
      </c>
      <c r="E130" s="76">
        <v>56</v>
      </c>
      <c r="F130" s="76">
        <v>54</v>
      </c>
      <c r="G130" s="76">
        <v>0</v>
      </c>
      <c r="H130" s="77">
        <f t="shared" si="20"/>
        <v>137</v>
      </c>
    </row>
    <row r="131" spans="1:8" ht="15" customHeight="1" x14ac:dyDescent="0.3">
      <c r="A131" s="178"/>
      <c r="B131" s="11" t="s">
        <v>9</v>
      </c>
      <c r="C131" s="76">
        <v>0</v>
      </c>
      <c r="D131" s="76">
        <v>61</v>
      </c>
      <c r="E131" s="76">
        <v>105</v>
      </c>
      <c r="F131" s="76">
        <v>99</v>
      </c>
      <c r="G131" s="76">
        <v>0</v>
      </c>
      <c r="H131" s="77">
        <f t="shared" si="20"/>
        <v>265</v>
      </c>
    </row>
    <row r="132" spans="1:8" ht="15" customHeight="1" x14ac:dyDescent="0.3">
      <c r="A132" s="177" t="s">
        <v>4</v>
      </c>
      <c r="B132" s="16" t="s">
        <v>7</v>
      </c>
      <c r="C132" s="74">
        <v>27</v>
      </c>
      <c r="D132" s="74">
        <v>58</v>
      </c>
      <c r="E132" s="74">
        <v>104</v>
      </c>
      <c r="F132" s="74">
        <v>172</v>
      </c>
      <c r="G132" s="74">
        <v>52</v>
      </c>
      <c r="H132" s="75">
        <f t="shared" si="20"/>
        <v>413</v>
      </c>
    </row>
    <row r="133" spans="1:8" ht="15" customHeight="1" x14ac:dyDescent="0.3">
      <c r="A133" s="177"/>
      <c r="B133" s="16" t="s">
        <v>8</v>
      </c>
      <c r="C133" s="74">
        <v>5668</v>
      </c>
      <c r="D133" s="74">
        <v>6428</v>
      </c>
      <c r="E133" s="74">
        <v>6286</v>
      </c>
      <c r="F133" s="74">
        <v>5495</v>
      </c>
      <c r="G133" s="74">
        <v>1103</v>
      </c>
      <c r="H133" s="75">
        <f t="shared" si="20"/>
        <v>24980</v>
      </c>
    </row>
    <row r="134" spans="1:8" ht="15" customHeight="1" x14ac:dyDescent="0.3">
      <c r="A134" s="177"/>
      <c r="B134" s="16" t="s">
        <v>9</v>
      </c>
      <c r="C134" s="74">
        <v>11587</v>
      </c>
      <c r="D134" s="74">
        <v>12516</v>
      </c>
      <c r="E134" s="74">
        <v>12186</v>
      </c>
      <c r="F134" s="74">
        <v>10419</v>
      </c>
      <c r="G134" s="74">
        <v>2112</v>
      </c>
      <c r="H134" s="75">
        <f t="shared" si="20"/>
        <v>48820</v>
      </c>
    </row>
    <row r="135" spans="1:8" ht="15" customHeight="1" x14ac:dyDescent="0.3">
      <c r="A135" s="178" t="s">
        <v>5</v>
      </c>
      <c r="B135" s="11" t="s">
        <v>7</v>
      </c>
      <c r="C135" s="76">
        <v>8</v>
      </c>
      <c r="D135" s="76">
        <v>24</v>
      </c>
      <c r="E135" s="76">
        <v>40</v>
      </c>
      <c r="F135" s="76">
        <v>68</v>
      </c>
      <c r="G135" s="76">
        <v>9</v>
      </c>
      <c r="H135" s="77">
        <f t="shared" si="20"/>
        <v>149</v>
      </c>
    </row>
    <row r="136" spans="1:8" ht="15" customHeight="1" x14ac:dyDescent="0.3">
      <c r="A136" s="178"/>
      <c r="B136" s="11" t="s">
        <v>8</v>
      </c>
      <c r="C136" s="76">
        <v>629</v>
      </c>
      <c r="D136" s="76">
        <v>1551</v>
      </c>
      <c r="E136" s="76">
        <v>1597</v>
      </c>
      <c r="F136" s="76">
        <v>1648</v>
      </c>
      <c r="G136" s="76">
        <v>112</v>
      </c>
      <c r="H136" s="77">
        <f t="shared" si="20"/>
        <v>5537</v>
      </c>
    </row>
    <row r="137" spans="1:8" ht="15" customHeight="1" x14ac:dyDescent="0.3">
      <c r="A137" s="178"/>
      <c r="B137" s="11" t="s">
        <v>9</v>
      </c>
      <c r="C137" s="76">
        <v>1357</v>
      </c>
      <c r="D137" s="76">
        <v>3163</v>
      </c>
      <c r="E137" s="76">
        <v>3181</v>
      </c>
      <c r="F137" s="76">
        <v>3240</v>
      </c>
      <c r="G137" s="76">
        <v>244</v>
      </c>
      <c r="H137" s="77">
        <f t="shared" si="20"/>
        <v>11185</v>
      </c>
    </row>
    <row r="138" spans="1:8" ht="15" customHeight="1" x14ac:dyDescent="0.3">
      <c r="A138" s="177" t="s">
        <v>6</v>
      </c>
      <c r="B138" s="16" t="s">
        <v>7</v>
      </c>
      <c r="C138" s="74">
        <v>2</v>
      </c>
      <c r="D138" s="74">
        <v>10</v>
      </c>
      <c r="E138" s="74">
        <v>30</v>
      </c>
      <c r="F138" s="74">
        <v>56</v>
      </c>
      <c r="G138" s="74">
        <v>4</v>
      </c>
      <c r="H138" s="75">
        <f t="shared" si="20"/>
        <v>102</v>
      </c>
    </row>
    <row r="139" spans="1:8" ht="15" customHeight="1" x14ac:dyDescent="0.3">
      <c r="A139" s="177"/>
      <c r="B139" s="16" t="s">
        <v>8</v>
      </c>
      <c r="C139" s="74">
        <v>247</v>
      </c>
      <c r="D139" s="74">
        <v>288</v>
      </c>
      <c r="E139" s="74">
        <v>964</v>
      </c>
      <c r="F139" s="74">
        <v>1370</v>
      </c>
      <c r="G139" s="74">
        <v>83</v>
      </c>
      <c r="H139" s="75">
        <f t="shared" si="20"/>
        <v>2952</v>
      </c>
    </row>
    <row r="140" spans="1:8" ht="15" customHeight="1" x14ac:dyDescent="0.3">
      <c r="A140" s="177"/>
      <c r="B140" s="16" t="s">
        <v>9</v>
      </c>
      <c r="C140" s="74">
        <v>504</v>
      </c>
      <c r="D140" s="74">
        <v>591</v>
      </c>
      <c r="E140" s="74">
        <v>1900</v>
      </c>
      <c r="F140" s="74">
        <v>2653</v>
      </c>
      <c r="G140" s="74">
        <v>158</v>
      </c>
      <c r="H140" s="75">
        <f t="shared" si="20"/>
        <v>5806</v>
      </c>
    </row>
    <row r="141" spans="1:8" ht="15" customHeight="1" x14ac:dyDescent="0.3">
      <c r="A141" s="179" t="s">
        <v>1</v>
      </c>
      <c r="B141" s="95" t="s">
        <v>7</v>
      </c>
      <c r="C141" s="96">
        <f t="shared" ref="C141:H141" si="21">C126+C129+C132+C135+C138</f>
        <v>66</v>
      </c>
      <c r="D141" s="96">
        <f t="shared" si="21"/>
        <v>161</v>
      </c>
      <c r="E141" s="96">
        <f t="shared" si="21"/>
        <v>262</v>
      </c>
      <c r="F141" s="96">
        <f t="shared" si="21"/>
        <v>426</v>
      </c>
      <c r="G141" s="96">
        <f t="shared" si="21"/>
        <v>74</v>
      </c>
      <c r="H141" s="96">
        <f t="shared" si="21"/>
        <v>989</v>
      </c>
    </row>
    <row r="142" spans="1:8" ht="15" customHeight="1" x14ac:dyDescent="0.3">
      <c r="A142" s="179"/>
      <c r="B142" s="95" t="s">
        <v>8</v>
      </c>
      <c r="C142" s="96">
        <f t="shared" ref="C142:H142" si="22">C127+C130+C133+C136+C139</f>
        <v>9539</v>
      </c>
      <c r="D142" s="96">
        <f t="shared" si="22"/>
        <v>13109</v>
      </c>
      <c r="E142" s="96">
        <f t="shared" si="22"/>
        <v>14516</v>
      </c>
      <c r="F142" s="96">
        <f t="shared" si="22"/>
        <v>13144</v>
      </c>
      <c r="G142" s="96">
        <f t="shared" si="22"/>
        <v>1522</v>
      </c>
      <c r="H142" s="96">
        <f t="shared" si="22"/>
        <v>51830</v>
      </c>
    </row>
    <row r="143" spans="1:8" ht="15" customHeight="1" x14ac:dyDescent="0.3">
      <c r="A143" s="179"/>
      <c r="B143" s="95" t="s">
        <v>9</v>
      </c>
      <c r="C143" s="96">
        <f t="shared" ref="C143:H143" si="23">C128+C131+C134+C137+C140</f>
        <v>19708</v>
      </c>
      <c r="D143" s="96">
        <f t="shared" si="23"/>
        <v>25952</v>
      </c>
      <c r="E143" s="96">
        <f t="shared" si="23"/>
        <v>28614</v>
      </c>
      <c r="F143" s="96">
        <f t="shared" si="23"/>
        <v>25264</v>
      </c>
      <c r="G143" s="96">
        <f t="shared" si="23"/>
        <v>2954</v>
      </c>
      <c r="H143" s="96">
        <f t="shared" si="23"/>
        <v>102492</v>
      </c>
    </row>
    <row r="144" spans="1:8" ht="15" customHeight="1" x14ac:dyDescent="0.3">
      <c r="A144" s="97" t="s">
        <v>129</v>
      </c>
      <c r="B144" s="8"/>
      <c r="C144" s="8"/>
      <c r="D144" s="8"/>
      <c r="E144" s="8"/>
      <c r="F144" s="8"/>
      <c r="G144" s="8"/>
      <c r="H144" s="8"/>
    </row>
    <row r="147" spans="1:8" ht="15" customHeight="1" x14ac:dyDescent="0.3">
      <c r="A147" s="176" t="s">
        <v>90</v>
      </c>
      <c r="B147" s="176"/>
      <c r="C147" s="176"/>
      <c r="D147" s="176"/>
      <c r="E147" s="176"/>
      <c r="F147" s="176"/>
      <c r="G147" s="176"/>
      <c r="H147" s="176"/>
    </row>
    <row r="148" spans="1:8" ht="15" customHeight="1" x14ac:dyDescent="0.3">
      <c r="A148" s="176" t="s">
        <v>107</v>
      </c>
      <c r="B148" s="176"/>
      <c r="C148" s="176"/>
      <c r="D148" s="176"/>
      <c r="E148" s="176"/>
      <c r="F148" s="176"/>
      <c r="G148" s="176"/>
      <c r="H148" s="176"/>
    </row>
    <row r="149" spans="1:8" ht="15" customHeight="1" x14ac:dyDescent="0.3">
      <c r="A149" s="93" t="s">
        <v>119</v>
      </c>
      <c r="B149" s="94"/>
      <c r="C149" s="94" t="s">
        <v>49</v>
      </c>
      <c r="D149" s="94" t="s">
        <v>50</v>
      </c>
      <c r="E149" s="94" t="s">
        <v>51</v>
      </c>
      <c r="F149" s="94" t="s">
        <v>52</v>
      </c>
      <c r="G149" s="94" t="s">
        <v>0</v>
      </c>
      <c r="H149" s="94" t="s">
        <v>1</v>
      </c>
    </row>
    <row r="150" spans="1:8" ht="15" customHeight="1" x14ac:dyDescent="0.3">
      <c r="A150" s="177" t="s">
        <v>2</v>
      </c>
      <c r="B150" s="16" t="s">
        <v>7</v>
      </c>
      <c r="C150" s="74">
        <v>29</v>
      </c>
      <c r="D150" s="74">
        <v>65</v>
      </c>
      <c r="E150" s="74">
        <v>80</v>
      </c>
      <c r="F150" s="74">
        <v>130</v>
      </c>
      <c r="G150" s="74">
        <v>9</v>
      </c>
      <c r="H150" s="75">
        <f>SUM(C150:G150)</f>
        <v>313</v>
      </c>
    </row>
    <row r="151" spans="1:8" ht="15" customHeight="1" x14ac:dyDescent="0.3">
      <c r="A151" s="177"/>
      <c r="B151" s="16" t="s">
        <v>8</v>
      </c>
      <c r="C151" s="74">
        <v>2995</v>
      </c>
      <c r="D151" s="74">
        <v>4677</v>
      </c>
      <c r="E151" s="74">
        <v>5471</v>
      </c>
      <c r="F151" s="74">
        <v>4684</v>
      </c>
      <c r="G151" s="74">
        <v>224</v>
      </c>
      <c r="H151" s="75">
        <f t="shared" ref="H151:H164" si="24">SUM(C151:G151)</f>
        <v>18051</v>
      </c>
    </row>
    <row r="152" spans="1:8" ht="15" customHeight="1" x14ac:dyDescent="0.3">
      <c r="A152" s="177"/>
      <c r="B152" s="16" t="s">
        <v>9</v>
      </c>
      <c r="C152" s="74">
        <v>6260</v>
      </c>
      <c r="D152" s="74">
        <v>9296</v>
      </c>
      <c r="E152" s="74">
        <v>10859</v>
      </c>
      <c r="F152" s="74">
        <v>9018</v>
      </c>
      <c r="G152" s="74">
        <v>440</v>
      </c>
      <c r="H152" s="75">
        <f t="shared" si="24"/>
        <v>35873</v>
      </c>
    </row>
    <row r="153" spans="1:8" ht="15" customHeight="1" x14ac:dyDescent="0.3">
      <c r="A153" s="178" t="s">
        <v>3</v>
      </c>
      <c r="B153" s="11" t="s">
        <v>7</v>
      </c>
      <c r="C153" s="76"/>
      <c r="D153" s="76">
        <v>2</v>
      </c>
      <c r="E153" s="76">
        <v>3</v>
      </c>
      <c r="F153" s="76">
        <v>3</v>
      </c>
      <c r="G153" s="76"/>
      <c r="H153" s="77">
        <f t="shared" si="24"/>
        <v>8</v>
      </c>
    </row>
    <row r="154" spans="1:8" ht="15" customHeight="1" x14ac:dyDescent="0.3">
      <c r="A154" s="178"/>
      <c r="B154" s="11" t="s">
        <v>8</v>
      </c>
      <c r="C154" s="76"/>
      <c r="D154" s="76">
        <v>27</v>
      </c>
      <c r="E154" s="76">
        <v>56</v>
      </c>
      <c r="F154" s="76">
        <v>54</v>
      </c>
      <c r="G154" s="76"/>
      <c r="H154" s="77">
        <f t="shared" si="24"/>
        <v>137</v>
      </c>
    </row>
    <row r="155" spans="1:8" ht="15" customHeight="1" x14ac:dyDescent="0.3">
      <c r="A155" s="178"/>
      <c r="B155" s="11" t="s">
        <v>9</v>
      </c>
      <c r="C155" s="76"/>
      <c r="D155" s="76">
        <v>61</v>
      </c>
      <c r="E155" s="76">
        <v>105</v>
      </c>
      <c r="F155" s="76">
        <v>99</v>
      </c>
      <c r="G155" s="76"/>
      <c r="H155" s="77">
        <f t="shared" si="24"/>
        <v>265</v>
      </c>
    </row>
    <row r="156" spans="1:8" ht="15" customHeight="1" x14ac:dyDescent="0.3">
      <c r="A156" s="177" t="s">
        <v>4</v>
      </c>
      <c r="B156" s="16" t="s">
        <v>7</v>
      </c>
      <c r="C156" s="74">
        <v>25</v>
      </c>
      <c r="D156" s="74">
        <v>56</v>
      </c>
      <c r="E156" s="74">
        <v>102</v>
      </c>
      <c r="F156" s="74">
        <v>177</v>
      </c>
      <c r="G156" s="74">
        <v>51</v>
      </c>
      <c r="H156" s="75">
        <f t="shared" si="24"/>
        <v>411</v>
      </c>
    </row>
    <row r="157" spans="1:8" ht="15" customHeight="1" x14ac:dyDescent="0.3">
      <c r="A157" s="177"/>
      <c r="B157" s="16" t="s">
        <v>8</v>
      </c>
      <c r="C157" s="74">
        <v>5459</v>
      </c>
      <c r="D157" s="74">
        <v>6460</v>
      </c>
      <c r="E157" s="74">
        <v>6107</v>
      </c>
      <c r="F157" s="74">
        <v>5800</v>
      </c>
      <c r="G157" s="74">
        <v>1037</v>
      </c>
      <c r="H157" s="75">
        <f t="shared" si="24"/>
        <v>24863</v>
      </c>
    </row>
    <row r="158" spans="1:8" ht="15" customHeight="1" x14ac:dyDescent="0.3">
      <c r="A158" s="177"/>
      <c r="B158" s="16" t="s">
        <v>9</v>
      </c>
      <c r="C158" s="74">
        <v>11181</v>
      </c>
      <c r="D158" s="74">
        <v>12513</v>
      </c>
      <c r="E158" s="74">
        <v>11852</v>
      </c>
      <c r="F158" s="74">
        <v>10954</v>
      </c>
      <c r="G158" s="74">
        <v>2001</v>
      </c>
      <c r="H158" s="75">
        <f t="shared" si="24"/>
        <v>48501</v>
      </c>
    </row>
    <row r="159" spans="1:8" ht="15" customHeight="1" x14ac:dyDescent="0.3">
      <c r="A159" s="178" t="s">
        <v>5</v>
      </c>
      <c r="B159" s="11" t="s">
        <v>7</v>
      </c>
      <c r="C159" s="76">
        <v>7</v>
      </c>
      <c r="D159" s="76">
        <v>23</v>
      </c>
      <c r="E159" s="76">
        <v>38</v>
      </c>
      <c r="F159" s="76">
        <v>71</v>
      </c>
      <c r="G159" s="76">
        <v>9</v>
      </c>
      <c r="H159" s="77">
        <f t="shared" si="24"/>
        <v>148</v>
      </c>
    </row>
    <row r="160" spans="1:8" ht="15" customHeight="1" x14ac:dyDescent="0.3">
      <c r="A160" s="178"/>
      <c r="B160" s="11" t="s">
        <v>8</v>
      </c>
      <c r="C160" s="76">
        <v>600</v>
      </c>
      <c r="D160" s="76">
        <v>1543</v>
      </c>
      <c r="E160" s="76">
        <v>1541</v>
      </c>
      <c r="F160" s="76">
        <v>1723</v>
      </c>
      <c r="G160" s="76">
        <v>112</v>
      </c>
      <c r="H160" s="77">
        <f t="shared" si="24"/>
        <v>5519</v>
      </c>
    </row>
    <row r="161" spans="1:8" ht="15" customHeight="1" x14ac:dyDescent="0.3">
      <c r="A161" s="178"/>
      <c r="B161" s="11" t="s">
        <v>9</v>
      </c>
      <c r="C161" s="76">
        <v>1279</v>
      </c>
      <c r="D161" s="76">
        <v>3129</v>
      </c>
      <c r="E161" s="76">
        <v>3063</v>
      </c>
      <c r="F161" s="76">
        <v>3383</v>
      </c>
      <c r="G161" s="76">
        <v>244</v>
      </c>
      <c r="H161" s="77">
        <f t="shared" si="24"/>
        <v>11098</v>
      </c>
    </row>
    <row r="162" spans="1:8" ht="15" customHeight="1" x14ac:dyDescent="0.3">
      <c r="A162" s="177" t="s">
        <v>6</v>
      </c>
      <c r="B162" s="16" t="s">
        <v>7</v>
      </c>
      <c r="C162" s="74">
        <v>1</v>
      </c>
      <c r="D162" s="74">
        <v>11</v>
      </c>
      <c r="E162" s="74">
        <v>28</v>
      </c>
      <c r="F162" s="74">
        <v>56</v>
      </c>
      <c r="G162" s="74">
        <v>4</v>
      </c>
      <c r="H162" s="75">
        <f t="shared" si="24"/>
        <v>100</v>
      </c>
    </row>
    <row r="163" spans="1:8" ht="15" customHeight="1" x14ac:dyDescent="0.3">
      <c r="A163" s="177"/>
      <c r="B163" s="16" t="s">
        <v>8</v>
      </c>
      <c r="C163" s="74">
        <v>102</v>
      </c>
      <c r="D163" s="74">
        <v>426</v>
      </c>
      <c r="E163" s="74">
        <v>901</v>
      </c>
      <c r="F163" s="74">
        <v>1363</v>
      </c>
      <c r="G163" s="74">
        <v>83</v>
      </c>
      <c r="H163" s="75">
        <f t="shared" si="24"/>
        <v>2875</v>
      </c>
    </row>
    <row r="164" spans="1:8" ht="15" customHeight="1" x14ac:dyDescent="0.3">
      <c r="A164" s="177"/>
      <c r="B164" s="16" t="s">
        <v>9</v>
      </c>
      <c r="C164" s="74">
        <v>204</v>
      </c>
      <c r="D164" s="74">
        <v>891</v>
      </c>
      <c r="E164" s="74">
        <v>1779</v>
      </c>
      <c r="F164" s="74">
        <v>2636</v>
      </c>
      <c r="G164" s="74">
        <v>158</v>
      </c>
      <c r="H164" s="75">
        <f t="shared" si="24"/>
        <v>5668</v>
      </c>
    </row>
    <row r="165" spans="1:8" ht="15" customHeight="1" x14ac:dyDescent="0.3">
      <c r="A165" s="179" t="s">
        <v>1</v>
      </c>
      <c r="B165" s="95" t="s">
        <v>7</v>
      </c>
      <c r="C165" s="96">
        <f t="shared" ref="C165:H165" si="25">C150+C153+C156+C159+C162</f>
        <v>62</v>
      </c>
      <c r="D165" s="96">
        <f t="shared" si="25"/>
        <v>157</v>
      </c>
      <c r="E165" s="96">
        <f t="shared" si="25"/>
        <v>251</v>
      </c>
      <c r="F165" s="96">
        <f t="shared" si="25"/>
        <v>437</v>
      </c>
      <c r="G165" s="96">
        <f t="shared" si="25"/>
        <v>73</v>
      </c>
      <c r="H165" s="96">
        <f t="shared" si="25"/>
        <v>980</v>
      </c>
    </row>
    <row r="166" spans="1:8" ht="15" customHeight="1" x14ac:dyDescent="0.3">
      <c r="A166" s="179"/>
      <c r="B166" s="95" t="s">
        <v>8</v>
      </c>
      <c r="C166" s="96">
        <f t="shared" ref="C166:H166" si="26">C151+C154+C157+C160+C163</f>
        <v>9156</v>
      </c>
      <c r="D166" s="96">
        <f t="shared" si="26"/>
        <v>13133</v>
      </c>
      <c r="E166" s="96">
        <f t="shared" si="26"/>
        <v>14076</v>
      </c>
      <c r="F166" s="96">
        <f t="shared" si="26"/>
        <v>13624</v>
      </c>
      <c r="G166" s="96">
        <f t="shared" si="26"/>
        <v>1456</v>
      </c>
      <c r="H166" s="96">
        <f t="shared" si="26"/>
        <v>51445</v>
      </c>
    </row>
    <row r="167" spans="1:8" ht="15" customHeight="1" x14ac:dyDescent="0.3">
      <c r="A167" s="179"/>
      <c r="B167" s="95" t="s">
        <v>9</v>
      </c>
      <c r="C167" s="96">
        <f t="shared" ref="C167:H167" si="27">C152+C155+C158+C161+C164</f>
        <v>18924</v>
      </c>
      <c r="D167" s="96">
        <f t="shared" si="27"/>
        <v>25890</v>
      </c>
      <c r="E167" s="96">
        <f t="shared" si="27"/>
        <v>27658</v>
      </c>
      <c r="F167" s="96">
        <f t="shared" si="27"/>
        <v>26090</v>
      </c>
      <c r="G167" s="96">
        <f t="shared" si="27"/>
        <v>2843</v>
      </c>
      <c r="H167" s="96">
        <f t="shared" si="27"/>
        <v>101405</v>
      </c>
    </row>
    <row r="168" spans="1:8" ht="15" customHeight="1" x14ac:dyDescent="0.3">
      <c r="A168" s="97" t="s">
        <v>129</v>
      </c>
      <c r="B168" s="8"/>
      <c r="C168" s="8"/>
      <c r="D168" s="8"/>
      <c r="E168" s="8"/>
      <c r="F168" s="8"/>
      <c r="G168" s="8"/>
      <c r="H168" s="8"/>
    </row>
    <row r="171" spans="1:8" ht="15" customHeight="1" x14ac:dyDescent="0.3">
      <c r="A171" s="176" t="s">
        <v>90</v>
      </c>
      <c r="B171" s="176"/>
      <c r="C171" s="176"/>
      <c r="D171" s="176"/>
      <c r="E171" s="176"/>
      <c r="F171" s="176"/>
      <c r="G171" s="176"/>
      <c r="H171" s="176"/>
    </row>
    <row r="172" spans="1:8" ht="15" customHeight="1" x14ac:dyDescent="0.3">
      <c r="A172" s="176" t="s">
        <v>104</v>
      </c>
      <c r="B172" s="176"/>
      <c r="C172" s="176"/>
      <c r="D172" s="176"/>
      <c r="E172" s="176"/>
      <c r="F172" s="176"/>
      <c r="G172" s="176"/>
      <c r="H172" s="176"/>
    </row>
    <row r="173" spans="1:8" ht="15" customHeight="1" x14ac:dyDescent="0.3">
      <c r="A173" s="93" t="s">
        <v>119</v>
      </c>
      <c r="B173" s="94"/>
      <c r="C173" s="94" t="s">
        <v>49</v>
      </c>
      <c r="D173" s="94" t="s">
        <v>50</v>
      </c>
      <c r="E173" s="94" t="s">
        <v>51</v>
      </c>
      <c r="F173" s="94" t="s">
        <v>52</v>
      </c>
      <c r="G173" s="94" t="s">
        <v>0</v>
      </c>
      <c r="H173" s="94" t="s">
        <v>1</v>
      </c>
    </row>
    <row r="174" spans="1:8" ht="15" customHeight="1" x14ac:dyDescent="0.3">
      <c r="A174" s="177" t="s">
        <v>2</v>
      </c>
      <c r="B174" s="16" t="s">
        <v>7</v>
      </c>
      <c r="C174" s="74">
        <v>21</v>
      </c>
      <c r="D174" s="74">
        <v>59</v>
      </c>
      <c r="E174" s="74">
        <v>73</v>
      </c>
      <c r="F174" s="74">
        <v>139</v>
      </c>
      <c r="G174" s="74">
        <v>9</v>
      </c>
      <c r="H174" s="75">
        <f>SUM(C174:G174)</f>
        <v>301</v>
      </c>
    </row>
    <row r="175" spans="1:8" ht="15" customHeight="1" x14ac:dyDescent="0.3">
      <c r="A175" s="177"/>
      <c r="B175" s="16" t="s">
        <v>8</v>
      </c>
      <c r="C175" s="74">
        <v>2008</v>
      </c>
      <c r="D175" s="74">
        <v>4459</v>
      </c>
      <c r="E175" s="74">
        <v>5276</v>
      </c>
      <c r="F175" s="74">
        <v>5354</v>
      </c>
      <c r="G175" s="74">
        <v>224</v>
      </c>
      <c r="H175" s="75">
        <f t="shared" ref="H175:H188" si="28">SUM(C175:G175)</f>
        <v>17321</v>
      </c>
    </row>
    <row r="176" spans="1:8" ht="15" customHeight="1" x14ac:dyDescent="0.3">
      <c r="A176" s="177"/>
      <c r="B176" s="16" t="s">
        <v>9</v>
      </c>
      <c r="C176" s="74">
        <v>4117</v>
      </c>
      <c r="D176" s="74">
        <v>8860</v>
      </c>
      <c r="E176" s="74">
        <v>10406</v>
      </c>
      <c r="F176" s="74">
        <v>10349</v>
      </c>
      <c r="G176" s="74">
        <v>440</v>
      </c>
      <c r="H176" s="75">
        <f t="shared" si="28"/>
        <v>34172</v>
      </c>
    </row>
    <row r="177" spans="1:8" ht="15" customHeight="1" x14ac:dyDescent="0.3">
      <c r="A177" s="178" t="s">
        <v>3</v>
      </c>
      <c r="B177" s="11" t="s">
        <v>7</v>
      </c>
      <c r="C177" s="76">
        <v>0</v>
      </c>
      <c r="D177" s="76">
        <v>2</v>
      </c>
      <c r="E177" s="76">
        <v>3</v>
      </c>
      <c r="F177" s="76">
        <v>3</v>
      </c>
      <c r="G177" s="76">
        <v>0</v>
      </c>
      <c r="H177" s="77">
        <f t="shared" si="28"/>
        <v>8</v>
      </c>
    </row>
    <row r="178" spans="1:8" ht="15" customHeight="1" x14ac:dyDescent="0.3">
      <c r="A178" s="178"/>
      <c r="B178" s="11" t="s">
        <v>8</v>
      </c>
      <c r="C178" s="76">
        <v>0</v>
      </c>
      <c r="D178" s="76">
        <v>27</v>
      </c>
      <c r="E178" s="76">
        <v>56</v>
      </c>
      <c r="F178" s="76">
        <v>54</v>
      </c>
      <c r="G178" s="76">
        <v>0</v>
      </c>
      <c r="H178" s="77">
        <f t="shared" si="28"/>
        <v>137</v>
      </c>
    </row>
    <row r="179" spans="1:8" ht="15" customHeight="1" x14ac:dyDescent="0.3">
      <c r="A179" s="178"/>
      <c r="B179" s="11" t="s">
        <v>9</v>
      </c>
      <c r="C179" s="76">
        <v>0</v>
      </c>
      <c r="D179" s="76">
        <v>61</v>
      </c>
      <c r="E179" s="76">
        <v>105</v>
      </c>
      <c r="F179" s="76">
        <v>99</v>
      </c>
      <c r="G179" s="76">
        <v>0</v>
      </c>
      <c r="H179" s="77">
        <f t="shared" si="28"/>
        <v>265</v>
      </c>
    </row>
    <row r="180" spans="1:8" ht="15" customHeight="1" x14ac:dyDescent="0.3">
      <c r="A180" s="177" t="s">
        <v>4</v>
      </c>
      <c r="B180" s="16" t="s">
        <v>7</v>
      </c>
      <c r="C180" s="74">
        <v>22</v>
      </c>
      <c r="D180" s="74">
        <v>57</v>
      </c>
      <c r="E180" s="74">
        <v>99</v>
      </c>
      <c r="F180" s="74">
        <v>177</v>
      </c>
      <c r="G180" s="74">
        <v>53</v>
      </c>
      <c r="H180" s="75">
        <f t="shared" si="28"/>
        <v>408</v>
      </c>
    </row>
    <row r="181" spans="1:8" ht="15" customHeight="1" x14ac:dyDescent="0.3">
      <c r="A181" s="177"/>
      <c r="B181" s="16" t="s">
        <v>8</v>
      </c>
      <c r="C181" s="74">
        <v>4598</v>
      </c>
      <c r="D181" s="74">
        <v>6819</v>
      </c>
      <c r="E181" s="74">
        <v>6009</v>
      </c>
      <c r="F181" s="74">
        <v>5836</v>
      </c>
      <c r="G181" s="74">
        <v>1065</v>
      </c>
      <c r="H181" s="75">
        <f t="shared" si="28"/>
        <v>24327</v>
      </c>
    </row>
    <row r="182" spans="1:8" ht="15" customHeight="1" x14ac:dyDescent="0.3">
      <c r="A182" s="177"/>
      <c r="B182" s="16" t="s">
        <v>9</v>
      </c>
      <c r="C182" s="74">
        <v>9383</v>
      </c>
      <c r="D182" s="74">
        <v>13165</v>
      </c>
      <c r="E182" s="74">
        <v>11658</v>
      </c>
      <c r="F182" s="74">
        <v>11002</v>
      </c>
      <c r="G182" s="74">
        <v>2054</v>
      </c>
      <c r="H182" s="75">
        <f t="shared" si="28"/>
        <v>47262</v>
      </c>
    </row>
    <row r="183" spans="1:8" ht="15" customHeight="1" x14ac:dyDescent="0.3">
      <c r="A183" s="178" t="s">
        <v>5</v>
      </c>
      <c r="B183" s="11" t="s">
        <v>7</v>
      </c>
      <c r="C183" s="76">
        <v>6</v>
      </c>
      <c r="D183" s="76">
        <v>23</v>
      </c>
      <c r="E183" s="76">
        <v>33</v>
      </c>
      <c r="F183" s="76">
        <v>77</v>
      </c>
      <c r="G183" s="76">
        <v>9</v>
      </c>
      <c r="H183" s="77">
        <f t="shared" si="28"/>
        <v>148</v>
      </c>
    </row>
    <row r="184" spans="1:8" ht="15" customHeight="1" x14ac:dyDescent="0.3">
      <c r="A184" s="178"/>
      <c r="B184" s="11" t="s">
        <v>8</v>
      </c>
      <c r="C184" s="76">
        <v>418</v>
      </c>
      <c r="D184" s="76">
        <v>1583</v>
      </c>
      <c r="E184" s="76">
        <v>1262</v>
      </c>
      <c r="F184" s="76">
        <v>2023</v>
      </c>
      <c r="G184" s="76">
        <v>112</v>
      </c>
      <c r="H184" s="77">
        <f t="shared" si="28"/>
        <v>5398</v>
      </c>
    </row>
    <row r="185" spans="1:8" ht="15" customHeight="1" x14ac:dyDescent="0.3">
      <c r="A185" s="178"/>
      <c r="B185" s="11" t="s">
        <v>9</v>
      </c>
      <c r="C185" s="76">
        <v>938</v>
      </c>
      <c r="D185" s="76">
        <v>3205</v>
      </c>
      <c r="E185" s="76">
        <v>2489</v>
      </c>
      <c r="F185" s="76">
        <v>3988</v>
      </c>
      <c r="G185" s="76">
        <v>244</v>
      </c>
      <c r="H185" s="77">
        <f t="shared" si="28"/>
        <v>10864</v>
      </c>
    </row>
    <row r="186" spans="1:8" ht="15" customHeight="1" x14ac:dyDescent="0.3">
      <c r="A186" s="177" t="s">
        <v>6</v>
      </c>
      <c r="B186" s="16" t="s">
        <v>7</v>
      </c>
      <c r="C186" s="74">
        <v>1</v>
      </c>
      <c r="D186" s="74">
        <v>9</v>
      </c>
      <c r="E186" s="74">
        <v>25</v>
      </c>
      <c r="F186" s="74">
        <v>61</v>
      </c>
      <c r="G186" s="74">
        <v>4</v>
      </c>
      <c r="H186" s="75">
        <f t="shared" si="28"/>
        <v>100</v>
      </c>
    </row>
    <row r="187" spans="1:8" ht="15" customHeight="1" x14ac:dyDescent="0.3">
      <c r="A187" s="177"/>
      <c r="B187" s="16" t="s">
        <v>8</v>
      </c>
      <c r="C187" s="74">
        <v>102</v>
      </c>
      <c r="D187" s="74">
        <v>410</v>
      </c>
      <c r="E187" s="74">
        <v>733</v>
      </c>
      <c r="F187" s="74">
        <v>1555</v>
      </c>
      <c r="G187" s="74">
        <v>83</v>
      </c>
      <c r="H187" s="75">
        <f t="shared" si="28"/>
        <v>2883</v>
      </c>
    </row>
    <row r="188" spans="1:8" ht="15" customHeight="1" x14ac:dyDescent="0.3">
      <c r="A188" s="177"/>
      <c r="B188" s="16" t="s">
        <v>9</v>
      </c>
      <c r="C188" s="74">
        <v>204</v>
      </c>
      <c r="D188" s="74">
        <v>860</v>
      </c>
      <c r="E188" s="74">
        <v>1439</v>
      </c>
      <c r="F188" s="74">
        <v>2999</v>
      </c>
      <c r="G188" s="74">
        <v>158</v>
      </c>
      <c r="H188" s="75">
        <f t="shared" si="28"/>
        <v>5660</v>
      </c>
    </row>
    <row r="189" spans="1:8" ht="15" customHeight="1" x14ac:dyDescent="0.3">
      <c r="A189" s="179" t="s">
        <v>1</v>
      </c>
      <c r="B189" s="95" t="s">
        <v>7</v>
      </c>
      <c r="C189" s="96">
        <f t="shared" ref="C189:H191" si="29">C174+C177+C180+C183+C186</f>
        <v>50</v>
      </c>
      <c r="D189" s="96">
        <f t="shared" si="29"/>
        <v>150</v>
      </c>
      <c r="E189" s="96">
        <f t="shared" si="29"/>
        <v>233</v>
      </c>
      <c r="F189" s="96">
        <f t="shared" si="29"/>
        <v>457</v>
      </c>
      <c r="G189" s="96">
        <f t="shared" si="29"/>
        <v>75</v>
      </c>
      <c r="H189" s="96">
        <f t="shared" si="29"/>
        <v>965</v>
      </c>
    </row>
    <row r="190" spans="1:8" ht="15" customHeight="1" x14ac:dyDescent="0.3">
      <c r="A190" s="179"/>
      <c r="B190" s="95" t="s">
        <v>8</v>
      </c>
      <c r="C190" s="96">
        <f t="shared" si="29"/>
        <v>7126</v>
      </c>
      <c r="D190" s="96">
        <f t="shared" si="29"/>
        <v>13298</v>
      </c>
      <c r="E190" s="96">
        <f t="shared" si="29"/>
        <v>13336</v>
      </c>
      <c r="F190" s="96">
        <f t="shared" si="29"/>
        <v>14822</v>
      </c>
      <c r="G190" s="96">
        <f t="shared" si="29"/>
        <v>1484</v>
      </c>
      <c r="H190" s="96">
        <f t="shared" si="29"/>
        <v>50066</v>
      </c>
    </row>
    <row r="191" spans="1:8" ht="15" customHeight="1" x14ac:dyDescent="0.3">
      <c r="A191" s="179"/>
      <c r="B191" s="95" t="s">
        <v>9</v>
      </c>
      <c r="C191" s="96">
        <f t="shared" si="29"/>
        <v>14642</v>
      </c>
      <c r="D191" s="96">
        <f t="shared" si="29"/>
        <v>26151</v>
      </c>
      <c r="E191" s="96">
        <f t="shared" si="29"/>
        <v>26097</v>
      </c>
      <c r="F191" s="96">
        <f t="shared" si="29"/>
        <v>28437</v>
      </c>
      <c r="G191" s="96">
        <f t="shared" si="29"/>
        <v>2896</v>
      </c>
      <c r="H191" s="96">
        <f t="shared" si="29"/>
        <v>98223</v>
      </c>
    </row>
    <row r="192" spans="1:8" ht="15" customHeight="1" x14ac:dyDescent="0.3">
      <c r="A192" s="97" t="s">
        <v>129</v>
      </c>
      <c r="B192" s="8"/>
      <c r="C192" s="8"/>
      <c r="D192" s="8"/>
      <c r="E192" s="8"/>
      <c r="F192" s="8"/>
      <c r="G192" s="8"/>
      <c r="H192" s="8"/>
    </row>
    <row r="195" spans="1:8" ht="15" customHeight="1" x14ac:dyDescent="0.3">
      <c r="A195" s="176" t="s">
        <v>90</v>
      </c>
      <c r="B195" s="176"/>
      <c r="C195" s="176"/>
      <c r="D195" s="176"/>
      <c r="E195" s="176"/>
      <c r="F195" s="176"/>
      <c r="G195" s="176"/>
      <c r="H195" s="176"/>
    </row>
    <row r="196" spans="1:8" ht="15" customHeight="1" x14ac:dyDescent="0.3">
      <c r="A196" s="176" t="s">
        <v>91</v>
      </c>
      <c r="B196" s="176"/>
      <c r="C196" s="176"/>
      <c r="D196" s="176"/>
      <c r="E196" s="176"/>
      <c r="F196" s="176"/>
      <c r="G196" s="176"/>
      <c r="H196" s="176"/>
    </row>
    <row r="197" spans="1:8" ht="15" customHeight="1" x14ac:dyDescent="0.3">
      <c r="A197" s="93" t="s">
        <v>119</v>
      </c>
      <c r="B197" s="94"/>
      <c r="C197" s="94" t="s">
        <v>49</v>
      </c>
      <c r="D197" s="94" t="s">
        <v>50</v>
      </c>
      <c r="E197" s="94" t="s">
        <v>51</v>
      </c>
      <c r="F197" s="94" t="s">
        <v>52</v>
      </c>
      <c r="G197" s="94" t="s">
        <v>0</v>
      </c>
      <c r="H197" s="94" t="s">
        <v>1</v>
      </c>
    </row>
    <row r="198" spans="1:8" ht="15" customHeight="1" x14ac:dyDescent="0.3">
      <c r="A198" s="177" t="s">
        <v>2</v>
      </c>
      <c r="B198" s="16" t="s">
        <v>7</v>
      </c>
      <c r="C198" s="74">
        <v>16</v>
      </c>
      <c r="D198" s="74">
        <v>41</v>
      </c>
      <c r="E198" s="74">
        <v>66</v>
      </c>
      <c r="F198" s="74">
        <v>150</v>
      </c>
      <c r="G198" s="74">
        <v>9</v>
      </c>
      <c r="H198" s="75">
        <f>SUM(C198:G198)</f>
        <v>282</v>
      </c>
    </row>
    <row r="199" spans="1:8" ht="15" customHeight="1" x14ac:dyDescent="0.3">
      <c r="A199" s="177"/>
      <c r="B199" s="16" t="s">
        <v>8</v>
      </c>
      <c r="C199" s="74">
        <v>1590</v>
      </c>
      <c r="D199" s="74">
        <v>3195</v>
      </c>
      <c r="E199" s="74">
        <v>5206</v>
      </c>
      <c r="F199" s="74">
        <v>5780</v>
      </c>
      <c r="G199" s="74">
        <v>224</v>
      </c>
      <c r="H199" s="75">
        <f t="shared" ref="H199:H212" si="30">SUM(C199:G199)</f>
        <v>15995</v>
      </c>
    </row>
    <row r="200" spans="1:8" ht="15" customHeight="1" x14ac:dyDescent="0.3">
      <c r="A200" s="177"/>
      <c r="B200" s="16" t="s">
        <v>9</v>
      </c>
      <c r="C200" s="74">
        <v>3282</v>
      </c>
      <c r="D200" s="74">
        <v>6249</v>
      </c>
      <c r="E200" s="74">
        <v>10093</v>
      </c>
      <c r="F200" s="74">
        <v>11171</v>
      </c>
      <c r="G200" s="74">
        <v>440</v>
      </c>
      <c r="H200" s="75">
        <f t="shared" si="30"/>
        <v>31235</v>
      </c>
    </row>
    <row r="201" spans="1:8" ht="15" customHeight="1" x14ac:dyDescent="0.3">
      <c r="A201" s="178" t="s">
        <v>3</v>
      </c>
      <c r="B201" s="11" t="s">
        <v>7</v>
      </c>
      <c r="C201" s="76">
        <v>0</v>
      </c>
      <c r="D201" s="76">
        <v>2</v>
      </c>
      <c r="E201" s="76">
        <v>3</v>
      </c>
      <c r="F201" s="76">
        <v>3</v>
      </c>
      <c r="G201" s="76">
        <v>0</v>
      </c>
      <c r="H201" s="77">
        <f t="shared" si="30"/>
        <v>8</v>
      </c>
    </row>
    <row r="202" spans="1:8" ht="15" customHeight="1" x14ac:dyDescent="0.3">
      <c r="A202" s="178"/>
      <c r="B202" s="11" t="s">
        <v>8</v>
      </c>
      <c r="C202" s="76">
        <v>0</v>
      </c>
      <c r="D202" s="76">
        <v>27</v>
      </c>
      <c r="E202" s="76">
        <v>56</v>
      </c>
      <c r="F202" s="76">
        <v>54</v>
      </c>
      <c r="G202" s="76">
        <v>0</v>
      </c>
      <c r="H202" s="77">
        <f t="shared" si="30"/>
        <v>137</v>
      </c>
    </row>
    <row r="203" spans="1:8" ht="15" customHeight="1" x14ac:dyDescent="0.3">
      <c r="A203" s="178"/>
      <c r="B203" s="11" t="s">
        <v>9</v>
      </c>
      <c r="C203" s="76">
        <v>0</v>
      </c>
      <c r="D203" s="76">
        <v>61</v>
      </c>
      <c r="E203" s="76">
        <v>105</v>
      </c>
      <c r="F203" s="76">
        <v>99</v>
      </c>
      <c r="G203" s="76">
        <v>0</v>
      </c>
      <c r="H203" s="77">
        <f t="shared" si="30"/>
        <v>265</v>
      </c>
    </row>
    <row r="204" spans="1:8" ht="15" customHeight="1" x14ac:dyDescent="0.3">
      <c r="A204" s="177" t="s">
        <v>4</v>
      </c>
      <c r="B204" s="16" t="s">
        <v>7</v>
      </c>
      <c r="C204" s="74">
        <v>17</v>
      </c>
      <c r="D204" s="74">
        <v>56</v>
      </c>
      <c r="E204" s="74">
        <v>93</v>
      </c>
      <c r="F204" s="74">
        <v>180</v>
      </c>
      <c r="G204" s="74">
        <v>54</v>
      </c>
      <c r="H204" s="75">
        <f t="shared" si="30"/>
        <v>400</v>
      </c>
    </row>
    <row r="205" spans="1:8" ht="15" customHeight="1" x14ac:dyDescent="0.3">
      <c r="A205" s="177"/>
      <c r="B205" s="16" t="s">
        <v>8</v>
      </c>
      <c r="C205" s="74">
        <v>3915</v>
      </c>
      <c r="D205" s="74">
        <v>6795</v>
      </c>
      <c r="E205" s="74">
        <v>6077</v>
      </c>
      <c r="F205" s="74">
        <v>6018</v>
      </c>
      <c r="G205" s="74">
        <v>1114</v>
      </c>
      <c r="H205" s="75">
        <f t="shared" si="30"/>
        <v>23919</v>
      </c>
    </row>
    <row r="206" spans="1:8" ht="15" customHeight="1" x14ac:dyDescent="0.3">
      <c r="A206" s="177"/>
      <c r="B206" s="16" t="s">
        <v>9</v>
      </c>
      <c r="C206" s="74">
        <v>7765</v>
      </c>
      <c r="D206" s="74">
        <v>13051</v>
      </c>
      <c r="E206" s="74">
        <v>11664</v>
      </c>
      <c r="F206" s="74">
        <v>11323</v>
      </c>
      <c r="G206" s="74">
        <v>2149</v>
      </c>
      <c r="H206" s="75">
        <f t="shared" si="30"/>
        <v>45952</v>
      </c>
    </row>
    <row r="207" spans="1:8" ht="15" customHeight="1" x14ac:dyDescent="0.3">
      <c r="A207" s="178" t="s">
        <v>5</v>
      </c>
      <c r="B207" s="11" t="s">
        <v>7</v>
      </c>
      <c r="C207" s="76">
        <v>5</v>
      </c>
      <c r="D207" s="76">
        <v>18</v>
      </c>
      <c r="E207" s="76">
        <v>32</v>
      </c>
      <c r="F207" s="76">
        <v>81</v>
      </c>
      <c r="G207" s="76">
        <v>8</v>
      </c>
      <c r="H207" s="77">
        <f t="shared" si="30"/>
        <v>144</v>
      </c>
    </row>
    <row r="208" spans="1:8" ht="15" customHeight="1" x14ac:dyDescent="0.3">
      <c r="A208" s="178"/>
      <c r="B208" s="11" t="s">
        <v>8</v>
      </c>
      <c r="C208" s="76">
        <v>396</v>
      </c>
      <c r="D208" s="76">
        <v>1324</v>
      </c>
      <c r="E208" s="76">
        <v>1242</v>
      </c>
      <c r="F208" s="76">
        <v>2207</v>
      </c>
      <c r="G208" s="76">
        <v>104</v>
      </c>
      <c r="H208" s="77">
        <f t="shared" si="30"/>
        <v>5273</v>
      </c>
    </row>
    <row r="209" spans="1:8" ht="15" customHeight="1" x14ac:dyDescent="0.3">
      <c r="A209" s="178"/>
      <c r="B209" s="11" t="s">
        <v>9</v>
      </c>
      <c r="C209" s="76">
        <v>876</v>
      </c>
      <c r="D209" s="76">
        <v>2653</v>
      </c>
      <c r="E209" s="76">
        <v>2453</v>
      </c>
      <c r="F209" s="76">
        <v>4315</v>
      </c>
      <c r="G209" s="76">
        <v>204</v>
      </c>
      <c r="H209" s="77">
        <f t="shared" si="30"/>
        <v>10501</v>
      </c>
    </row>
    <row r="210" spans="1:8" ht="15" customHeight="1" x14ac:dyDescent="0.3">
      <c r="A210" s="177" t="s">
        <v>6</v>
      </c>
      <c r="B210" s="16" t="s">
        <v>7</v>
      </c>
      <c r="C210" s="74">
        <v>1</v>
      </c>
      <c r="D210" s="74">
        <v>9</v>
      </c>
      <c r="E210" s="74">
        <v>23</v>
      </c>
      <c r="F210" s="74">
        <v>62</v>
      </c>
      <c r="G210" s="74">
        <v>4</v>
      </c>
      <c r="H210" s="75">
        <f t="shared" si="30"/>
        <v>99</v>
      </c>
    </row>
    <row r="211" spans="1:8" ht="15" customHeight="1" x14ac:dyDescent="0.3">
      <c r="A211" s="177"/>
      <c r="B211" s="16" t="s">
        <v>8</v>
      </c>
      <c r="C211" s="74">
        <v>102</v>
      </c>
      <c r="D211" s="74">
        <v>396</v>
      </c>
      <c r="E211" s="74">
        <v>650</v>
      </c>
      <c r="F211" s="74">
        <v>1566</v>
      </c>
      <c r="G211" s="74">
        <v>83</v>
      </c>
      <c r="H211" s="75">
        <f t="shared" si="30"/>
        <v>2797</v>
      </c>
    </row>
    <row r="212" spans="1:8" ht="15" customHeight="1" x14ac:dyDescent="0.3">
      <c r="A212" s="177"/>
      <c r="B212" s="16" t="s">
        <v>9</v>
      </c>
      <c r="C212" s="74">
        <v>204</v>
      </c>
      <c r="D212" s="74">
        <v>832</v>
      </c>
      <c r="E212" s="74">
        <v>1279</v>
      </c>
      <c r="F212" s="74">
        <v>3014</v>
      </c>
      <c r="G212" s="74">
        <v>158</v>
      </c>
      <c r="H212" s="75">
        <f t="shared" si="30"/>
        <v>5487</v>
      </c>
    </row>
    <row r="213" spans="1:8" ht="15" customHeight="1" x14ac:dyDescent="0.3">
      <c r="A213" s="179" t="s">
        <v>1</v>
      </c>
      <c r="B213" s="95" t="s">
        <v>7</v>
      </c>
      <c r="C213" s="96">
        <f t="shared" ref="C213:H215" si="31">C198+C201+C204+C207+C210</f>
        <v>39</v>
      </c>
      <c r="D213" s="96">
        <f t="shared" si="31"/>
        <v>126</v>
      </c>
      <c r="E213" s="96">
        <f t="shared" si="31"/>
        <v>217</v>
      </c>
      <c r="F213" s="96">
        <f t="shared" si="31"/>
        <v>476</v>
      </c>
      <c r="G213" s="96">
        <f t="shared" si="31"/>
        <v>75</v>
      </c>
      <c r="H213" s="96">
        <f t="shared" si="31"/>
        <v>933</v>
      </c>
    </row>
    <row r="214" spans="1:8" ht="15" customHeight="1" x14ac:dyDescent="0.3">
      <c r="A214" s="179"/>
      <c r="B214" s="95" t="s">
        <v>8</v>
      </c>
      <c r="C214" s="96">
        <f t="shared" si="31"/>
        <v>6003</v>
      </c>
      <c r="D214" s="96">
        <f t="shared" si="31"/>
        <v>11737</v>
      </c>
      <c r="E214" s="96">
        <f t="shared" si="31"/>
        <v>13231</v>
      </c>
      <c r="F214" s="96">
        <f t="shared" si="31"/>
        <v>15625</v>
      </c>
      <c r="G214" s="96">
        <f t="shared" si="31"/>
        <v>1525</v>
      </c>
      <c r="H214" s="96">
        <f t="shared" si="31"/>
        <v>48121</v>
      </c>
    </row>
    <row r="215" spans="1:8" ht="15" customHeight="1" x14ac:dyDescent="0.3">
      <c r="A215" s="179"/>
      <c r="B215" s="95" t="s">
        <v>9</v>
      </c>
      <c r="C215" s="96">
        <f t="shared" si="31"/>
        <v>12127</v>
      </c>
      <c r="D215" s="96">
        <f t="shared" si="31"/>
        <v>22846</v>
      </c>
      <c r="E215" s="96">
        <f t="shared" si="31"/>
        <v>25594</v>
      </c>
      <c r="F215" s="96">
        <f t="shared" si="31"/>
        <v>29922</v>
      </c>
      <c r="G215" s="96">
        <f t="shared" si="31"/>
        <v>2951</v>
      </c>
      <c r="H215" s="96">
        <f t="shared" si="31"/>
        <v>93440</v>
      </c>
    </row>
    <row r="216" spans="1:8" ht="15" customHeight="1" x14ac:dyDescent="0.3">
      <c r="A216" s="97" t="s">
        <v>129</v>
      </c>
      <c r="B216" s="8"/>
      <c r="C216" s="8"/>
      <c r="D216" s="8"/>
      <c r="E216" s="8"/>
      <c r="F216" s="8"/>
      <c r="G216" s="8"/>
      <c r="H216" s="8"/>
    </row>
    <row r="219" spans="1:8" ht="15" customHeight="1" x14ac:dyDescent="0.3">
      <c r="A219" s="176" t="s">
        <v>90</v>
      </c>
      <c r="B219" s="176"/>
      <c r="C219" s="176"/>
      <c r="D219" s="176"/>
      <c r="E219" s="176"/>
      <c r="F219" s="176"/>
      <c r="G219" s="176"/>
      <c r="H219" s="176"/>
    </row>
    <row r="220" spans="1:8" ht="15" customHeight="1" x14ac:dyDescent="0.3">
      <c r="A220" s="176" t="s">
        <v>92</v>
      </c>
      <c r="B220" s="176"/>
      <c r="C220" s="176"/>
      <c r="D220" s="176"/>
      <c r="E220" s="176"/>
      <c r="F220" s="176"/>
      <c r="G220" s="176"/>
      <c r="H220" s="176"/>
    </row>
    <row r="221" spans="1:8" ht="15" customHeight="1" x14ac:dyDescent="0.3">
      <c r="A221" s="93" t="s">
        <v>119</v>
      </c>
      <c r="B221" s="94"/>
      <c r="C221" s="94" t="s">
        <v>49</v>
      </c>
      <c r="D221" s="94" t="s">
        <v>50</v>
      </c>
      <c r="E221" s="94" t="s">
        <v>51</v>
      </c>
      <c r="F221" s="94" t="s">
        <v>52</v>
      </c>
      <c r="G221" s="94" t="s">
        <v>0</v>
      </c>
      <c r="H221" s="94" t="s">
        <v>1</v>
      </c>
    </row>
    <row r="222" spans="1:8" ht="15" customHeight="1" x14ac:dyDescent="0.3">
      <c r="A222" s="181" t="s">
        <v>2</v>
      </c>
      <c r="B222" s="16" t="s">
        <v>7</v>
      </c>
      <c r="C222" s="74">
        <v>8</v>
      </c>
      <c r="D222" s="74">
        <v>35</v>
      </c>
      <c r="E222" s="74">
        <v>71</v>
      </c>
      <c r="F222" s="74">
        <v>157</v>
      </c>
      <c r="G222" s="74">
        <v>9</v>
      </c>
      <c r="H222" s="75">
        <f>SUM(C222:G222)</f>
        <v>280</v>
      </c>
    </row>
    <row r="223" spans="1:8" ht="15" customHeight="1" x14ac:dyDescent="0.3">
      <c r="A223" s="181"/>
      <c r="B223" s="16" t="s">
        <v>8</v>
      </c>
      <c r="C223" s="74">
        <v>698</v>
      </c>
      <c r="D223" s="74">
        <v>3047</v>
      </c>
      <c r="E223" s="74">
        <v>5718</v>
      </c>
      <c r="F223" s="74">
        <v>6062</v>
      </c>
      <c r="G223" s="74">
        <v>224</v>
      </c>
      <c r="H223" s="75">
        <f t="shared" ref="H223:H236" si="32">SUM(C223:G223)</f>
        <v>15749</v>
      </c>
    </row>
    <row r="224" spans="1:8" ht="15" customHeight="1" x14ac:dyDescent="0.3">
      <c r="A224" s="181"/>
      <c r="B224" s="16" t="s">
        <v>9</v>
      </c>
      <c r="C224" s="74">
        <v>1427</v>
      </c>
      <c r="D224" s="74">
        <v>6078</v>
      </c>
      <c r="E224" s="74">
        <v>11032</v>
      </c>
      <c r="F224" s="74">
        <v>11706</v>
      </c>
      <c r="G224" s="74">
        <v>440</v>
      </c>
      <c r="H224" s="75">
        <f t="shared" si="32"/>
        <v>30683</v>
      </c>
    </row>
    <row r="225" spans="1:8" ht="15" customHeight="1" x14ac:dyDescent="0.3">
      <c r="A225" s="180" t="s">
        <v>3</v>
      </c>
      <c r="B225" s="11" t="s">
        <v>7</v>
      </c>
      <c r="C225" s="76">
        <v>0</v>
      </c>
      <c r="D225" s="76">
        <v>2</v>
      </c>
      <c r="E225" s="76">
        <v>3</v>
      </c>
      <c r="F225" s="76">
        <v>3</v>
      </c>
      <c r="G225" s="76">
        <v>0</v>
      </c>
      <c r="H225" s="77">
        <f t="shared" si="32"/>
        <v>8</v>
      </c>
    </row>
    <row r="226" spans="1:8" ht="15" customHeight="1" x14ac:dyDescent="0.3">
      <c r="A226" s="180"/>
      <c r="B226" s="11" t="s">
        <v>8</v>
      </c>
      <c r="C226" s="76">
        <v>0</v>
      </c>
      <c r="D226" s="76">
        <v>27</v>
      </c>
      <c r="E226" s="76">
        <v>56</v>
      </c>
      <c r="F226" s="76">
        <v>54</v>
      </c>
      <c r="G226" s="76">
        <v>0</v>
      </c>
      <c r="H226" s="77">
        <f t="shared" si="32"/>
        <v>137</v>
      </c>
    </row>
    <row r="227" spans="1:8" ht="15" customHeight="1" x14ac:dyDescent="0.3">
      <c r="A227" s="180"/>
      <c r="B227" s="11" t="s">
        <v>9</v>
      </c>
      <c r="C227" s="76">
        <v>0</v>
      </c>
      <c r="D227" s="76">
        <v>61</v>
      </c>
      <c r="E227" s="76">
        <v>105</v>
      </c>
      <c r="F227" s="76">
        <v>99</v>
      </c>
      <c r="G227" s="76">
        <v>0</v>
      </c>
      <c r="H227" s="77">
        <f t="shared" si="32"/>
        <v>265</v>
      </c>
    </row>
    <row r="228" spans="1:8" ht="15" customHeight="1" x14ac:dyDescent="0.3">
      <c r="A228" s="181" t="s">
        <v>4</v>
      </c>
      <c r="B228" s="16" t="s">
        <v>7</v>
      </c>
      <c r="C228" s="74">
        <v>15</v>
      </c>
      <c r="D228" s="74">
        <v>55</v>
      </c>
      <c r="E228" s="74">
        <v>93</v>
      </c>
      <c r="F228" s="74">
        <v>184</v>
      </c>
      <c r="G228" s="74">
        <v>53</v>
      </c>
      <c r="H228" s="75">
        <f t="shared" si="32"/>
        <v>400</v>
      </c>
    </row>
    <row r="229" spans="1:8" ht="15" customHeight="1" x14ac:dyDescent="0.3">
      <c r="A229" s="181"/>
      <c r="B229" s="16" t="s">
        <v>8</v>
      </c>
      <c r="C229" s="74">
        <v>3570</v>
      </c>
      <c r="D229" s="74">
        <v>6517</v>
      </c>
      <c r="E229" s="74">
        <v>6559</v>
      </c>
      <c r="F229" s="74">
        <v>6173</v>
      </c>
      <c r="G229" s="74">
        <v>1100</v>
      </c>
      <c r="H229" s="75">
        <f t="shared" si="32"/>
        <v>23919</v>
      </c>
    </row>
    <row r="230" spans="1:8" ht="15" customHeight="1" x14ac:dyDescent="0.3">
      <c r="A230" s="181"/>
      <c r="B230" s="16" t="s">
        <v>9</v>
      </c>
      <c r="C230" s="74">
        <v>6877</v>
      </c>
      <c r="D230" s="74">
        <v>12244</v>
      </c>
      <c r="E230" s="74">
        <v>12596</v>
      </c>
      <c r="F230" s="74">
        <v>11615</v>
      </c>
      <c r="G230" s="74">
        <v>2121</v>
      </c>
      <c r="H230" s="75">
        <f t="shared" si="32"/>
        <v>45453</v>
      </c>
    </row>
    <row r="231" spans="1:8" ht="15" customHeight="1" x14ac:dyDescent="0.3">
      <c r="A231" s="180" t="s">
        <v>5</v>
      </c>
      <c r="B231" s="11" t="s">
        <v>7</v>
      </c>
      <c r="C231" s="76">
        <v>4</v>
      </c>
      <c r="D231" s="76">
        <v>17</v>
      </c>
      <c r="E231" s="76">
        <v>31</v>
      </c>
      <c r="F231" s="76">
        <v>84</v>
      </c>
      <c r="G231" s="76">
        <v>8</v>
      </c>
      <c r="H231" s="77">
        <f t="shared" si="32"/>
        <v>144</v>
      </c>
    </row>
    <row r="232" spans="1:8" ht="15" customHeight="1" x14ac:dyDescent="0.3">
      <c r="A232" s="180"/>
      <c r="B232" s="11" t="s">
        <v>8</v>
      </c>
      <c r="C232" s="76">
        <v>379</v>
      </c>
      <c r="D232" s="76">
        <v>1262</v>
      </c>
      <c r="E232" s="76">
        <v>1193</v>
      </c>
      <c r="F232" s="76">
        <v>2316</v>
      </c>
      <c r="G232" s="76">
        <v>104</v>
      </c>
      <c r="H232" s="77">
        <f t="shared" si="32"/>
        <v>5254</v>
      </c>
    </row>
    <row r="233" spans="1:8" ht="15" customHeight="1" x14ac:dyDescent="0.3">
      <c r="A233" s="180"/>
      <c r="B233" s="11" t="s">
        <v>9</v>
      </c>
      <c r="C233" s="76">
        <v>841</v>
      </c>
      <c r="D233" s="76">
        <v>2522</v>
      </c>
      <c r="E233" s="76">
        <v>2345</v>
      </c>
      <c r="F233" s="76">
        <v>4517</v>
      </c>
      <c r="G233" s="76">
        <v>204</v>
      </c>
      <c r="H233" s="77">
        <f t="shared" si="32"/>
        <v>10429</v>
      </c>
    </row>
    <row r="234" spans="1:8" ht="15" customHeight="1" x14ac:dyDescent="0.3">
      <c r="A234" s="181" t="s">
        <v>6</v>
      </c>
      <c r="B234" s="16" t="s">
        <v>7</v>
      </c>
      <c r="C234" s="74">
        <v>1</v>
      </c>
      <c r="D234" s="74">
        <v>8</v>
      </c>
      <c r="E234" s="74">
        <v>23</v>
      </c>
      <c r="F234" s="74">
        <v>62</v>
      </c>
      <c r="G234" s="74">
        <v>4</v>
      </c>
      <c r="H234" s="75">
        <f t="shared" si="32"/>
        <v>98</v>
      </c>
    </row>
    <row r="235" spans="1:8" ht="15" customHeight="1" x14ac:dyDescent="0.3">
      <c r="A235" s="181"/>
      <c r="B235" s="16" t="s">
        <v>8</v>
      </c>
      <c r="C235" s="74">
        <v>102</v>
      </c>
      <c r="D235" s="74">
        <v>350</v>
      </c>
      <c r="E235" s="74">
        <v>734</v>
      </c>
      <c r="F235" s="74">
        <v>1560</v>
      </c>
      <c r="G235" s="74">
        <v>83</v>
      </c>
      <c r="H235" s="75">
        <f t="shared" si="32"/>
        <v>2829</v>
      </c>
    </row>
    <row r="236" spans="1:8" ht="15" customHeight="1" x14ac:dyDescent="0.3">
      <c r="A236" s="181"/>
      <c r="B236" s="16" t="s">
        <v>9</v>
      </c>
      <c r="C236" s="74">
        <v>204</v>
      </c>
      <c r="D236" s="74">
        <v>720</v>
      </c>
      <c r="E236" s="74">
        <v>1436</v>
      </c>
      <c r="F236" s="74">
        <v>3002</v>
      </c>
      <c r="G236" s="74">
        <v>158</v>
      </c>
      <c r="H236" s="75">
        <f t="shared" si="32"/>
        <v>5520</v>
      </c>
    </row>
    <row r="237" spans="1:8" ht="15" customHeight="1" x14ac:dyDescent="0.3">
      <c r="A237" s="182" t="s">
        <v>1</v>
      </c>
      <c r="B237" s="95" t="s">
        <v>7</v>
      </c>
      <c r="C237" s="96">
        <f>C222+C225+C228+C231+C234</f>
        <v>28</v>
      </c>
      <c r="D237" s="96">
        <f t="shared" ref="D237:H237" si="33">D222+D225+D228+D231+D234</f>
        <v>117</v>
      </c>
      <c r="E237" s="96">
        <f t="shared" si="33"/>
        <v>221</v>
      </c>
      <c r="F237" s="96">
        <f t="shared" si="33"/>
        <v>490</v>
      </c>
      <c r="G237" s="96">
        <f t="shared" si="33"/>
        <v>74</v>
      </c>
      <c r="H237" s="96">
        <f t="shared" si="33"/>
        <v>930</v>
      </c>
    </row>
    <row r="238" spans="1:8" ht="15" customHeight="1" x14ac:dyDescent="0.3">
      <c r="A238" s="182"/>
      <c r="B238" s="95" t="s">
        <v>8</v>
      </c>
      <c r="C238" s="96">
        <f t="shared" ref="C238:H238" si="34">C223+C226+C229+C232+C235</f>
        <v>4749</v>
      </c>
      <c r="D238" s="96">
        <f t="shared" si="34"/>
        <v>11203</v>
      </c>
      <c r="E238" s="96">
        <f t="shared" si="34"/>
        <v>14260</v>
      </c>
      <c r="F238" s="96">
        <f t="shared" si="34"/>
        <v>16165</v>
      </c>
      <c r="G238" s="96">
        <f t="shared" si="34"/>
        <v>1511</v>
      </c>
      <c r="H238" s="96">
        <f t="shared" si="34"/>
        <v>47888</v>
      </c>
    </row>
    <row r="239" spans="1:8" ht="15" customHeight="1" x14ac:dyDescent="0.3">
      <c r="A239" s="182"/>
      <c r="B239" s="95" t="s">
        <v>9</v>
      </c>
      <c r="C239" s="96">
        <f t="shared" ref="C239:H239" si="35">C224+C227+C230+C233+C236</f>
        <v>9349</v>
      </c>
      <c r="D239" s="96">
        <f t="shared" si="35"/>
        <v>21625</v>
      </c>
      <c r="E239" s="96">
        <f t="shared" si="35"/>
        <v>27514</v>
      </c>
      <c r="F239" s="96">
        <f t="shared" si="35"/>
        <v>30939</v>
      </c>
      <c r="G239" s="96">
        <f t="shared" si="35"/>
        <v>2923</v>
      </c>
      <c r="H239" s="96">
        <f t="shared" si="35"/>
        <v>92350</v>
      </c>
    </row>
    <row r="240" spans="1:8" ht="15" customHeight="1" x14ac:dyDescent="0.3">
      <c r="A240" s="97" t="s">
        <v>129</v>
      </c>
      <c r="B240" s="4"/>
      <c r="C240" s="4"/>
      <c r="D240" s="4"/>
      <c r="E240" s="4"/>
    </row>
    <row r="241" spans="1:8" ht="15" customHeight="1" x14ac:dyDescent="0.3">
      <c r="A241" s="9"/>
      <c r="B241" s="9"/>
      <c r="C241" s="9"/>
      <c r="D241" s="9"/>
    </row>
    <row r="242" spans="1:8" ht="15" customHeight="1" x14ac:dyDescent="0.3">
      <c r="A242" s="9"/>
      <c r="B242" s="9"/>
      <c r="C242" s="9"/>
      <c r="D242" s="9"/>
    </row>
    <row r="243" spans="1:8" ht="15" customHeight="1" x14ac:dyDescent="0.3">
      <c r="A243" s="176" t="s">
        <v>90</v>
      </c>
      <c r="B243" s="176"/>
      <c r="C243" s="176"/>
      <c r="D243" s="176"/>
      <c r="E243" s="176"/>
      <c r="F243" s="176"/>
      <c r="G243" s="176"/>
      <c r="H243" s="176"/>
    </row>
    <row r="244" spans="1:8" ht="15" customHeight="1" x14ac:dyDescent="0.3">
      <c r="A244" s="176" t="s">
        <v>93</v>
      </c>
      <c r="B244" s="176"/>
      <c r="C244" s="176"/>
      <c r="D244" s="176"/>
      <c r="E244" s="176"/>
      <c r="F244" s="176"/>
      <c r="G244" s="176"/>
      <c r="H244" s="176"/>
    </row>
    <row r="245" spans="1:8" ht="15" customHeight="1" x14ac:dyDescent="0.3">
      <c r="A245" s="93" t="s">
        <v>119</v>
      </c>
      <c r="B245" s="94"/>
      <c r="C245" s="94" t="s">
        <v>49</v>
      </c>
      <c r="D245" s="94" t="s">
        <v>50</v>
      </c>
      <c r="E245" s="94" t="s">
        <v>51</v>
      </c>
      <c r="F245" s="94" t="s">
        <v>52</v>
      </c>
      <c r="G245" s="94" t="s">
        <v>0</v>
      </c>
      <c r="H245" s="94" t="s">
        <v>1</v>
      </c>
    </row>
    <row r="246" spans="1:8" ht="15" customHeight="1" x14ac:dyDescent="0.3">
      <c r="A246" s="181" t="s">
        <v>2</v>
      </c>
      <c r="B246" s="16" t="s">
        <v>7</v>
      </c>
      <c r="C246" s="74">
        <v>7</v>
      </c>
      <c r="D246" s="74">
        <v>26</v>
      </c>
      <c r="E246" s="74">
        <v>69</v>
      </c>
      <c r="F246" s="74">
        <v>166</v>
      </c>
      <c r="G246" s="74">
        <v>10</v>
      </c>
      <c r="H246" s="75">
        <f>SUM(C246:G246)</f>
        <v>278</v>
      </c>
    </row>
    <row r="247" spans="1:8" ht="15" customHeight="1" x14ac:dyDescent="0.3">
      <c r="A247" s="181"/>
      <c r="B247" s="16" t="s">
        <v>8</v>
      </c>
      <c r="C247" s="74">
        <v>685</v>
      </c>
      <c r="D247" s="74">
        <v>2348</v>
      </c>
      <c r="E247" s="74">
        <v>5802</v>
      </c>
      <c r="F247" s="74">
        <v>6638</v>
      </c>
      <c r="G247" s="74">
        <v>255</v>
      </c>
      <c r="H247" s="75">
        <f t="shared" ref="H247:H260" si="36">SUM(C247:G247)</f>
        <v>15728</v>
      </c>
    </row>
    <row r="248" spans="1:8" ht="15" customHeight="1" x14ac:dyDescent="0.3">
      <c r="A248" s="181"/>
      <c r="B248" s="16" t="s">
        <v>9</v>
      </c>
      <c r="C248" s="74">
        <v>1401</v>
      </c>
      <c r="D248" s="74">
        <v>4613</v>
      </c>
      <c r="E248" s="74">
        <v>11139</v>
      </c>
      <c r="F248" s="74">
        <v>12801</v>
      </c>
      <c r="G248" s="74">
        <v>506</v>
      </c>
      <c r="H248" s="75">
        <f t="shared" si="36"/>
        <v>30460</v>
      </c>
    </row>
    <row r="249" spans="1:8" ht="15" customHeight="1" x14ac:dyDescent="0.3">
      <c r="A249" s="180" t="s">
        <v>3</v>
      </c>
      <c r="B249" s="11" t="s">
        <v>7</v>
      </c>
      <c r="C249" s="76">
        <v>0</v>
      </c>
      <c r="D249" s="76">
        <v>2</v>
      </c>
      <c r="E249" s="76">
        <v>3</v>
      </c>
      <c r="F249" s="76">
        <v>3</v>
      </c>
      <c r="G249" s="76">
        <v>0</v>
      </c>
      <c r="H249" s="77">
        <f t="shared" si="36"/>
        <v>8</v>
      </c>
    </row>
    <row r="250" spans="1:8" ht="15" customHeight="1" x14ac:dyDescent="0.3">
      <c r="A250" s="180"/>
      <c r="B250" s="11" t="s">
        <v>8</v>
      </c>
      <c r="C250" s="76">
        <v>0</v>
      </c>
      <c r="D250" s="76">
        <v>27</v>
      </c>
      <c r="E250" s="76">
        <v>56</v>
      </c>
      <c r="F250" s="76">
        <v>54</v>
      </c>
      <c r="G250" s="76">
        <v>0</v>
      </c>
      <c r="H250" s="77">
        <f t="shared" si="36"/>
        <v>137</v>
      </c>
    </row>
    <row r="251" spans="1:8" ht="15" customHeight="1" x14ac:dyDescent="0.3">
      <c r="A251" s="180"/>
      <c r="B251" s="11" t="s">
        <v>9</v>
      </c>
      <c r="C251" s="76">
        <v>0</v>
      </c>
      <c r="D251" s="76">
        <v>61</v>
      </c>
      <c r="E251" s="76">
        <v>105</v>
      </c>
      <c r="F251" s="76">
        <v>99</v>
      </c>
      <c r="G251" s="76">
        <v>0</v>
      </c>
      <c r="H251" s="77">
        <f t="shared" si="36"/>
        <v>265</v>
      </c>
    </row>
    <row r="252" spans="1:8" ht="15" customHeight="1" x14ac:dyDescent="0.3">
      <c r="A252" s="181" t="s">
        <v>4</v>
      </c>
      <c r="B252" s="16" t="s">
        <v>7</v>
      </c>
      <c r="C252" s="74">
        <v>14</v>
      </c>
      <c r="D252" s="74">
        <v>53</v>
      </c>
      <c r="E252" s="74">
        <v>98</v>
      </c>
      <c r="F252" s="74">
        <v>187</v>
      </c>
      <c r="G252" s="74">
        <v>54</v>
      </c>
      <c r="H252" s="75">
        <f t="shared" si="36"/>
        <v>406</v>
      </c>
    </row>
    <row r="253" spans="1:8" ht="15" customHeight="1" x14ac:dyDescent="0.3">
      <c r="A253" s="181"/>
      <c r="B253" s="16" t="s">
        <v>8</v>
      </c>
      <c r="C253" s="74">
        <v>2905</v>
      </c>
      <c r="D253" s="74">
        <v>6543</v>
      </c>
      <c r="E253" s="74">
        <v>6922</v>
      </c>
      <c r="F253" s="74">
        <v>6247</v>
      </c>
      <c r="G253" s="74">
        <v>1114</v>
      </c>
      <c r="H253" s="75">
        <f t="shared" si="36"/>
        <v>23731</v>
      </c>
    </row>
    <row r="254" spans="1:8" ht="15" customHeight="1" x14ac:dyDescent="0.3">
      <c r="A254" s="181"/>
      <c r="B254" s="16" t="s">
        <v>9</v>
      </c>
      <c r="C254" s="74">
        <v>5587</v>
      </c>
      <c r="D254" s="74">
        <v>12235</v>
      </c>
      <c r="E254" s="74">
        <v>13301</v>
      </c>
      <c r="F254" s="74">
        <v>11751</v>
      </c>
      <c r="G254" s="74">
        <v>2149</v>
      </c>
      <c r="H254" s="75">
        <f t="shared" si="36"/>
        <v>45023</v>
      </c>
    </row>
    <row r="255" spans="1:8" ht="15" customHeight="1" x14ac:dyDescent="0.3">
      <c r="A255" s="180" t="s">
        <v>5</v>
      </c>
      <c r="B255" s="11" t="s">
        <v>7</v>
      </c>
      <c r="C255" s="76">
        <v>4</v>
      </c>
      <c r="D255" s="76">
        <v>16</v>
      </c>
      <c r="E255" s="76">
        <v>28</v>
      </c>
      <c r="F255" s="76">
        <v>85</v>
      </c>
      <c r="G255" s="76">
        <v>8</v>
      </c>
      <c r="H255" s="77">
        <f t="shared" si="36"/>
        <v>141</v>
      </c>
    </row>
    <row r="256" spans="1:8" ht="15" customHeight="1" x14ac:dyDescent="0.3">
      <c r="A256" s="180"/>
      <c r="B256" s="11" t="s">
        <v>8</v>
      </c>
      <c r="C256" s="76">
        <v>371</v>
      </c>
      <c r="D256" s="76">
        <v>1259</v>
      </c>
      <c r="E256" s="76">
        <v>1129</v>
      </c>
      <c r="F256" s="76">
        <v>2340</v>
      </c>
      <c r="G256" s="76">
        <v>104</v>
      </c>
      <c r="H256" s="77">
        <f t="shared" si="36"/>
        <v>5203</v>
      </c>
    </row>
    <row r="257" spans="1:8" ht="15" customHeight="1" x14ac:dyDescent="0.3">
      <c r="A257" s="180"/>
      <c r="B257" s="11" t="s">
        <v>9</v>
      </c>
      <c r="C257" s="76">
        <v>825</v>
      </c>
      <c r="D257" s="76">
        <v>2509</v>
      </c>
      <c r="E257" s="76">
        <v>2177</v>
      </c>
      <c r="F257" s="76">
        <v>4567</v>
      </c>
      <c r="G257" s="76">
        <v>204</v>
      </c>
      <c r="H257" s="77">
        <f t="shared" si="36"/>
        <v>10282</v>
      </c>
    </row>
    <row r="258" spans="1:8" ht="15" customHeight="1" x14ac:dyDescent="0.3">
      <c r="A258" s="181" t="s">
        <v>6</v>
      </c>
      <c r="B258" s="16" t="s">
        <v>7</v>
      </c>
      <c r="C258" s="74">
        <v>1</v>
      </c>
      <c r="D258" s="74">
        <v>9</v>
      </c>
      <c r="E258" s="74">
        <v>21</v>
      </c>
      <c r="F258" s="74">
        <v>63</v>
      </c>
      <c r="G258" s="74">
        <v>4</v>
      </c>
      <c r="H258" s="75">
        <f t="shared" si="36"/>
        <v>98</v>
      </c>
    </row>
    <row r="259" spans="1:8" ht="15" customHeight="1" x14ac:dyDescent="0.3">
      <c r="A259" s="181"/>
      <c r="B259" s="16" t="s">
        <v>8</v>
      </c>
      <c r="C259" s="74">
        <v>102</v>
      </c>
      <c r="D259" s="74">
        <v>379</v>
      </c>
      <c r="E259" s="74">
        <v>680</v>
      </c>
      <c r="F259" s="74">
        <v>1588</v>
      </c>
      <c r="G259" s="74">
        <v>83</v>
      </c>
      <c r="H259" s="75">
        <f t="shared" si="36"/>
        <v>2832</v>
      </c>
    </row>
    <row r="260" spans="1:8" ht="15" customHeight="1" x14ac:dyDescent="0.3">
      <c r="A260" s="181"/>
      <c r="B260" s="16" t="s">
        <v>9</v>
      </c>
      <c r="C260" s="74">
        <v>204</v>
      </c>
      <c r="D260" s="74">
        <v>784</v>
      </c>
      <c r="E260" s="74">
        <v>1327</v>
      </c>
      <c r="F260" s="74">
        <v>3052</v>
      </c>
      <c r="G260" s="74">
        <v>158</v>
      </c>
      <c r="H260" s="75">
        <f t="shared" si="36"/>
        <v>5525</v>
      </c>
    </row>
    <row r="261" spans="1:8" ht="15" customHeight="1" x14ac:dyDescent="0.3">
      <c r="A261" s="182" t="s">
        <v>1</v>
      </c>
      <c r="B261" s="95" t="s">
        <v>7</v>
      </c>
      <c r="C261" s="96">
        <f>C246+C249+C252+C255+C258</f>
        <v>26</v>
      </c>
      <c r="D261" s="96">
        <f t="shared" ref="D261:H261" si="37">D246+D249+D252+D255+D258</f>
        <v>106</v>
      </c>
      <c r="E261" s="96">
        <f t="shared" si="37"/>
        <v>219</v>
      </c>
      <c r="F261" s="96">
        <f t="shared" si="37"/>
        <v>504</v>
      </c>
      <c r="G261" s="96">
        <f t="shared" si="37"/>
        <v>76</v>
      </c>
      <c r="H261" s="96">
        <f t="shared" si="37"/>
        <v>931</v>
      </c>
    </row>
    <row r="262" spans="1:8" ht="15" customHeight="1" x14ac:dyDescent="0.3">
      <c r="A262" s="182"/>
      <c r="B262" s="95" t="s">
        <v>8</v>
      </c>
      <c r="C262" s="96">
        <f t="shared" ref="C262:H262" si="38">C247+C250+C253+C256+C259</f>
        <v>4063</v>
      </c>
      <c r="D262" s="96">
        <f t="shared" si="38"/>
        <v>10556</v>
      </c>
      <c r="E262" s="96">
        <f t="shared" si="38"/>
        <v>14589</v>
      </c>
      <c r="F262" s="96">
        <f t="shared" si="38"/>
        <v>16867</v>
      </c>
      <c r="G262" s="96">
        <f t="shared" si="38"/>
        <v>1556</v>
      </c>
      <c r="H262" s="96">
        <f t="shared" si="38"/>
        <v>47631</v>
      </c>
    </row>
    <row r="263" spans="1:8" ht="15" customHeight="1" x14ac:dyDescent="0.3">
      <c r="A263" s="182"/>
      <c r="B263" s="95" t="s">
        <v>9</v>
      </c>
      <c r="C263" s="96">
        <f t="shared" ref="C263:H263" si="39">C248+C251+C254+C257+C260</f>
        <v>8017</v>
      </c>
      <c r="D263" s="96">
        <f t="shared" si="39"/>
        <v>20202</v>
      </c>
      <c r="E263" s="96">
        <f t="shared" si="39"/>
        <v>28049</v>
      </c>
      <c r="F263" s="96">
        <f t="shared" si="39"/>
        <v>32270</v>
      </c>
      <c r="G263" s="96">
        <f t="shared" si="39"/>
        <v>3017</v>
      </c>
      <c r="H263" s="96">
        <f t="shared" si="39"/>
        <v>91555</v>
      </c>
    </row>
    <row r="264" spans="1:8" ht="15" customHeight="1" x14ac:dyDescent="0.3">
      <c r="A264" s="97" t="s">
        <v>129</v>
      </c>
      <c r="B264" s="4"/>
      <c r="C264" s="4"/>
      <c r="D264" s="4"/>
      <c r="E264" s="4"/>
    </row>
    <row r="265" spans="1:8" ht="15" customHeight="1" x14ac:dyDescent="0.3">
      <c r="A265" s="9"/>
      <c r="B265" s="9"/>
      <c r="C265" s="9"/>
      <c r="D265" s="9"/>
    </row>
    <row r="266" spans="1:8" ht="15" customHeight="1" x14ac:dyDescent="0.3">
      <c r="A266" s="9"/>
      <c r="B266" s="9"/>
      <c r="C266" s="9"/>
      <c r="D266" s="9"/>
    </row>
    <row r="267" spans="1:8" ht="15" customHeight="1" x14ac:dyDescent="0.3">
      <c r="A267" s="176" t="s">
        <v>90</v>
      </c>
      <c r="B267" s="176"/>
      <c r="C267" s="176"/>
      <c r="D267" s="176"/>
      <c r="E267" s="176"/>
      <c r="F267" s="176"/>
      <c r="G267" s="176"/>
      <c r="H267" s="176"/>
    </row>
    <row r="268" spans="1:8" ht="15" customHeight="1" x14ac:dyDescent="0.3">
      <c r="A268" s="176" t="s">
        <v>94</v>
      </c>
      <c r="B268" s="176"/>
      <c r="C268" s="176"/>
      <c r="D268" s="176"/>
      <c r="E268" s="176"/>
      <c r="F268" s="176"/>
      <c r="G268" s="176"/>
      <c r="H268" s="176"/>
    </row>
    <row r="269" spans="1:8" ht="15" customHeight="1" x14ac:dyDescent="0.3">
      <c r="A269" s="93" t="s">
        <v>119</v>
      </c>
      <c r="B269" s="94"/>
      <c r="C269" s="94" t="s">
        <v>49</v>
      </c>
      <c r="D269" s="94" t="s">
        <v>50</v>
      </c>
      <c r="E269" s="94" t="s">
        <v>51</v>
      </c>
      <c r="F269" s="94" t="s">
        <v>52</v>
      </c>
      <c r="G269" s="94" t="s">
        <v>0</v>
      </c>
      <c r="H269" s="94" t="s">
        <v>1</v>
      </c>
    </row>
    <row r="270" spans="1:8" ht="15" customHeight="1" x14ac:dyDescent="0.3">
      <c r="A270" s="181" t="s">
        <v>2</v>
      </c>
      <c r="B270" s="16" t="s">
        <v>7</v>
      </c>
      <c r="C270" s="74">
        <v>6</v>
      </c>
      <c r="D270" s="74">
        <v>23</v>
      </c>
      <c r="E270" s="74">
        <v>68</v>
      </c>
      <c r="F270" s="74">
        <v>170</v>
      </c>
      <c r="G270" s="74">
        <v>9</v>
      </c>
      <c r="H270" s="75">
        <f>SUM(C270:G270)</f>
        <v>276</v>
      </c>
    </row>
    <row r="271" spans="1:8" ht="15" customHeight="1" x14ac:dyDescent="0.3">
      <c r="A271" s="181"/>
      <c r="B271" s="16" t="s">
        <v>8</v>
      </c>
      <c r="C271" s="74">
        <v>649</v>
      </c>
      <c r="D271" s="74">
        <v>2120</v>
      </c>
      <c r="E271" s="74">
        <v>5819</v>
      </c>
      <c r="F271" s="74">
        <v>6879</v>
      </c>
      <c r="G271" s="74">
        <v>219</v>
      </c>
      <c r="H271" s="75">
        <f t="shared" ref="H271:H278" si="40">SUM(C271:G271)</f>
        <v>15686</v>
      </c>
    </row>
    <row r="272" spans="1:8" ht="15" customHeight="1" x14ac:dyDescent="0.3">
      <c r="A272" s="181"/>
      <c r="B272" s="16" t="s">
        <v>9</v>
      </c>
      <c r="C272" s="74">
        <v>1334</v>
      </c>
      <c r="D272" s="74">
        <v>4217</v>
      </c>
      <c r="E272" s="74">
        <v>11310</v>
      </c>
      <c r="F272" s="74">
        <v>13248</v>
      </c>
      <c r="G272" s="74">
        <v>445</v>
      </c>
      <c r="H272" s="75">
        <f t="shared" si="40"/>
        <v>30554</v>
      </c>
    </row>
    <row r="273" spans="1:8" ht="15" customHeight="1" x14ac:dyDescent="0.3">
      <c r="A273" s="180" t="s">
        <v>3</v>
      </c>
      <c r="B273" s="11" t="s">
        <v>7</v>
      </c>
      <c r="C273" s="76">
        <v>0</v>
      </c>
      <c r="D273" s="76">
        <v>2</v>
      </c>
      <c r="E273" s="76">
        <v>3</v>
      </c>
      <c r="F273" s="76">
        <v>3</v>
      </c>
      <c r="G273" s="76">
        <v>0</v>
      </c>
      <c r="H273" s="77">
        <f t="shared" si="40"/>
        <v>8</v>
      </c>
    </row>
    <row r="274" spans="1:8" ht="15" customHeight="1" x14ac:dyDescent="0.3">
      <c r="A274" s="180"/>
      <c r="B274" s="11" t="s">
        <v>8</v>
      </c>
      <c r="C274" s="76">
        <v>0</v>
      </c>
      <c r="D274" s="76">
        <v>27</v>
      </c>
      <c r="E274" s="76">
        <v>56</v>
      </c>
      <c r="F274" s="76">
        <v>54</v>
      </c>
      <c r="G274" s="76">
        <v>0</v>
      </c>
      <c r="H274" s="77">
        <f t="shared" si="40"/>
        <v>137</v>
      </c>
    </row>
    <row r="275" spans="1:8" ht="15" customHeight="1" x14ac:dyDescent="0.3">
      <c r="A275" s="180"/>
      <c r="B275" s="11" t="s">
        <v>9</v>
      </c>
      <c r="C275" s="76">
        <v>0</v>
      </c>
      <c r="D275" s="76">
        <v>61</v>
      </c>
      <c r="E275" s="76">
        <v>105</v>
      </c>
      <c r="F275" s="76">
        <v>99</v>
      </c>
      <c r="G275" s="76">
        <v>0</v>
      </c>
      <c r="H275" s="77">
        <f t="shared" si="40"/>
        <v>265</v>
      </c>
    </row>
    <row r="276" spans="1:8" ht="15" customHeight="1" x14ac:dyDescent="0.3">
      <c r="A276" s="181" t="s">
        <v>4</v>
      </c>
      <c r="B276" s="16" t="s">
        <v>7</v>
      </c>
      <c r="C276" s="74">
        <v>14</v>
      </c>
      <c r="D276" s="74">
        <v>51</v>
      </c>
      <c r="E276" s="74">
        <v>90</v>
      </c>
      <c r="F276" s="74">
        <v>194</v>
      </c>
      <c r="G276" s="74">
        <v>54</v>
      </c>
      <c r="H276" s="75">
        <f t="shared" si="40"/>
        <v>403</v>
      </c>
    </row>
    <row r="277" spans="1:8" ht="15" customHeight="1" x14ac:dyDescent="0.3">
      <c r="A277" s="181"/>
      <c r="B277" s="16" t="s">
        <v>8</v>
      </c>
      <c r="C277" s="74">
        <v>2905</v>
      </c>
      <c r="D277" s="74">
        <v>6445</v>
      </c>
      <c r="E277" s="74">
        <v>6532</v>
      </c>
      <c r="F277" s="74">
        <v>6583</v>
      </c>
      <c r="G277" s="74">
        <v>1114</v>
      </c>
      <c r="H277" s="75">
        <f t="shared" si="40"/>
        <v>23579</v>
      </c>
    </row>
    <row r="278" spans="1:8" ht="15" customHeight="1" x14ac:dyDescent="0.3">
      <c r="A278" s="181"/>
      <c r="B278" s="16" t="s">
        <v>9</v>
      </c>
      <c r="C278" s="74">
        <v>5587</v>
      </c>
      <c r="D278" s="74">
        <v>12030</v>
      </c>
      <c r="E278" s="74">
        <v>12440</v>
      </c>
      <c r="F278" s="74">
        <v>12368</v>
      </c>
      <c r="G278" s="74">
        <v>2149</v>
      </c>
      <c r="H278" s="75">
        <f t="shared" si="40"/>
        <v>44574</v>
      </c>
    </row>
    <row r="279" spans="1:8" ht="15" customHeight="1" x14ac:dyDescent="0.3">
      <c r="A279" s="180" t="s">
        <v>5</v>
      </c>
      <c r="B279" s="11" t="s">
        <v>7</v>
      </c>
      <c r="C279" s="76">
        <v>4</v>
      </c>
      <c r="D279" s="76">
        <v>16</v>
      </c>
      <c r="E279" s="76">
        <v>28</v>
      </c>
      <c r="F279" s="76">
        <v>85</v>
      </c>
      <c r="G279" s="76">
        <v>8</v>
      </c>
      <c r="H279" s="77">
        <f>SUM(C279:G279)</f>
        <v>141</v>
      </c>
    </row>
    <row r="280" spans="1:8" ht="15" customHeight="1" x14ac:dyDescent="0.3">
      <c r="A280" s="180"/>
      <c r="B280" s="11" t="s">
        <v>8</v>
      </c>
      <c r="C280" s="76">
        <v>371</v>
      </c>
      <c r="D280" s="76">
        <v>1259</v>
      </c>
      <c r="E280" s="76">
        <v>1129</v>
      </c>
      <c r="F280" s="76">
        <v>2340</v>
      </c>
      <c r="G280" s="76">
        <v>104</v>
      </c>
      <c r="H280" s="77">
        <f t="shared" ref="H280:H281" si="41">SUM(C280:G280)</f>
        <v>5203</v>
      </c>
    </row>
    <row r="281" spans="1:8" ht="15" customHeight="1" x14ac:dyDescent="0.3">
      <c r="A281" s="180"/>
      <c r="B281" s="11" t="s">
        <v>9</v>
      </c>
      <c r="C281" s="76">
        <v>825</v>
      </c>
      <c r="D281" s="76">
        <v>2509</v>
      </c>
      <c r="E281" s="76">
        <v>2177</v>
      </c>
      <c r="F281" s="76">
        <v>4567</v>
      </c>
      <c r="G281" s="76">
        <v>204</v>
      </c>
      <c r="H281" s="77">
        <f t="shared" si="41"/>
        <v>10282</v>
      </c>
    </row>
    <row r="282" spans="1:8" ht="15" customHeight="1" x14ac:dyDescent="0.3">
      <c r="A282" s="181" t="s">
        <v>6</v>
      </c>
      <c r="B282" s="16" t="s">
        <v>7</v>
      </c>
      <c r="C282" s="74">
        <v>1</v>
      </c>
      <c r="D282" s="74">
        <v>8</v>
      </c>
      <c r="E282" s="74">
        <v>20</v>
      </c>
      <c r="F282" s="74">
        <v>64</v>
      </c>
      <c r="G282" s="74">
        <v>4</v>
      </c>
      <c r="H282" s="75">
        <f>SUM(C282:G282)</f>
        <v>97</v>
      </c>
    </row>
    <row r="283" spans="1:8" ht="15" customHeight="1" x14ac:dyDescent="0.3">
      <c r="A283" s="181"/>
      <c r="B283" s="16" t="s">
        <v>8</v>
      </c>
      <c r="C283" s="74">
        <v>102</v>
      </c>
      <c r="D283" s="74">
        <v>349</v>
      </c>
      <c r="E283" s="74">
        <v>659</v>
      </c>
      <c r="F283" s="74">
        <v>1621</v>
      </c>
      <c r="G283" s="74">
        <v>83</v>
      </c>
      <c r="H283" s="75">
        <f t="shared" ref="H283:H284" si="42">SUM(C283:G283)</f>
        <v>2814</v>
      </c>
    </row>
    <row r="284" spans="1:8" ht="15" customHeight="1" x14ac:dyDescent="0.3">
      <c r="A284" s="181"/>
      <c r="B284" s="16" t="s">
        <v>9</v>
      </c>
      <c r="C284" s="74">
        <v>204</v>
      </c>
      <c r="D284" s="74">
        <v>722</v>
      </c>
      <c r="E284" s="74">
        <v>1285</v>
      </c>
      <c r="F284" s="74">
        <v>3116</v>
      </c>
      <c r="G284" s="74">
        <v>158</v>
      </c>
      <c r="H284" s="75">
        <f t="shared" si="42"/>
        <v>5485</v>
      </c>
    </row>
    <row r="285" spans="1:8" ht="15" customHeight="1" x14ac:dyDescent="0.3">
      <c r="A285" s="182" t="s">
        <v>1</v>
      </c>
      <c r="B285" s="95" t="s">
        <v>7</v>
      </c>
      <c r="C285" s="96">
        <f>C270+C273+C276+C279+C282</f>
        <v>25</v>
      </c>
      <c r="D285" s="96">
        <f t="shared" ref="D285:H285" si="43">D270+D273+D276+D279+D282</f>
        <v>100</v>
      </c>
      <c r="E285" s="96">
        <f t="shared" si="43"/>
        <v>209</v>
      </c>
      <c r="F285" s="96">
        <f t="shared" si="43"/>
        <v>516</v>
      </c>
      <c r="G285" s="96">
        <f t="shared" si="43"/>
        <v>75</v>
      </c>
      <c r="H285" s="96">
        <f t="shared" si="43"/>
        <v>925</v>
      </c>
    </row>
    <row r="286" spans="1:8" ht="15" customHeight="1" x14ac:dyDescent="0.3">
      <c r="A286" s="182"/>
      <c r="B286" s="95" t="s">
        <v>8</v>
      </c>
      <c r="C286" s="96">
        <f t="shared" ref="C286:H286" si="44">C271+C274+C277+C280+C283</f>
        <v>4027</v>
      </c>
      <c r="D286" s="96">
        <f t="shared" si="44"/>
        <v>10200</v>
      </c>
      <c r="E286" s="96">
        <f t="shared" si="44"/>
        <v>14195</v>
      </c>
      <c r="F286" s="96">
        <f t="shared" si="44"/>
        <v>17477</v>
      </c>
      <c r="G286" s="96">
        <f t="shared" si="44"/>
        <v>1520</v>
      </c>
      <c r="H286" s="96">
        <f t="shared" si="44"/>
        <v>47419</v>
      </c>
    </row>
    <row r="287" spans="1:8" ht="15" customHeight="1" x14ac:dyDescent="0.3">
      <c r="A287" s="182"/>
      <c r="B287" s="95" t="s">
        <v>9</v>
      </c>
      <c r="C287" s="96">
        <f t="shared" ref="C287:H287" si="45">C272+C275+C278+C281+C284</f>
        <v>7950</v>
      </c>
      <c r="D287" s="96">
        <f t="shared" si="45"/>
        <v>19539</v>
      </c>
      <c r="E287" s="96">
        <f t="shared" si="45"/>
        <v>27317</v>
      </c>
      <c r="F287" s="96">
        <f t="shared" si="45"/>
        <v>33398</v>
      </c>
      <c r="G287" s="96">
        <f t="shared" si="45"/>
        <v>2956</v>
      </c>
      <c r="H287" s="96">
        <f t="shared" si="45"/>
        <v>91160</v>
      </c>
    </row>
    <row r="288" spans="1:8" ht="15" customHeight="1" x14ac:dyDescent="0.3">
      <c r="A288" s="97" t="s">
        <v>129</v>
      </c>
      <c r="B288" s="4"/>
      <c r="C288" s="4"/>
      <c r="D288" s="4"/>
      <c r="E288" s="4"/>
    </row>
    <row r="291" spans="1:8" ht="15" customHeight="1" x14ac:dyDescent="0.3">
      <c r="A291" s="176" t="s">
        <v>90</v>
      </c>
      <c r="B291" s="176"/>
      <c r="C291" s="176"/>
      <c r="D291" s="176"/>
      <c r="E291" s="176"/>
      <c r="F291" s="176"/>
      <c r="G291" s="176"/>
      <c r="H291" s="176"/>
    </row>
    <row r="292" spans="1:8" ht="15" customHeight="1" x14ac:dyDescent="0.3">
      <c r="A292" s="176" t="s">
        <v>95</v>
      </c>
      <c r="B292" s="176"/>
      <c r="C292" s="176"/>
      <c r="D292" s="176"/>
      <c r="E292" s="176"/>
      <c r="F292" s="176"/>
      <c r="G292" s="176"/>
      <c r="H292" s="176"/>
    </row>
    <row r="293" spans="1:8" ht="15" customHeight="1" x14ac:dyDescent="0.3">
      <c r="A293" s="93" t="s">
        <v>119</v>
      </c>
      <c r="B293" s="94"/>
      <c r="C293" s="94" t="s">
        <v>49</v>
      </c>
      <c r="D293" s="94" t="s">
        <v>50</v>
      </c>
      <c r="E293" s="94" t="s">
        <v>51</v>
      </c>
      <c r="F293" s="94" t="s">
        <v>52</v>
      </c>
      <c r="G293" s="94" t="s">
        <v>0</v>
      </c>
      <c r="H293" s="94" t="s">
        <v>1</v>
      </c>
    </row>
    <row r="294" spans="1:8" ht="15" customHeight="1" x14ac:dyDescent="0.3">
      <c r="A294" s="181" t="s">
        <v>2</v>
      </c>
      <c r="B294" s="16" t="s">
        <v>7</v>
      </c>
      <c r="C294" s="74">
        <v>6</v>
      </c>
      <c r="D294" s="74">
        <v>21</v>
      </c>
      <c r="E294" s="74">
        <v>67</v>
      </c>
      <c r="F294" s="74">
        <v>171</v>
      </c>
      <c r="G294" s="74">
        <v>9</v>
      </c>
      <c r="H294" s="75">
        <f>SUM(C294:G294)</f>
        <v>274</v>
      </c>
    </row>
    <row r="295" spans="1:8" ht="15" customHeight="1" x14ac:dyDescent="0.3">
      <c r="A295" s="181"/>
      <c r="B295" s="16" t="s">
        <v>8</v>
      </c>
      <c r="C295" s="74">
        <v>649</v>
      </c>
      <c r="D295" s="74">
        <v>1789</v>
      </c>
      <c r="E295" s="74">
        <v>5771</v>
      </c>
      <c r="F295" s="74">
        <v>6913</v>
      </c>
      <c r="G295" s="74">
        <v>219</v>
      </c>
      <c r="H295" s="75">
        <f t="shared" ref="H295:H308" si="46">SUM(C295:G295)</f>
        <v>15341</v>
      </c>
    </row>
    <row r="296" spans="1:8" ht="15" customHeight="1" x14ac:dyDescent="0.3">
      <c r="A296" s="181"/>
      <c r="B296" s="16" t="s">
        <v>9</v>
      </c>
      <c r="C296" s="74">
        <v>1334</v>
      </c>
      <c r="D296" s="74">
        <v>3558</v>
      </c>
      <c r="E296" s="74">
        <v>11215</v>
      </c>
      <c r="F296" s="74">
        <v>13313</v>
      </c>
      <c r="G296" s="74">
        <v>445</v>
      </c>
      <c r="H296" s="75">
        <f t="shared" si="46"/>
        <v>29865</v>
      </c>
    </row>
    <row r="297" spans="1:8" ht="15" customHeight="1" x14ac:dyDescent="0.3">
      <c r="A297" s="180" t="s">
        <v>3</v>
      </c>
      <c r="B297" s="11" t="s">
        <v>7</v>
      </c>
      <c r="C297" s="76">
        <v>0</v>
      </c>
      <c r="D297" s="76">
        <v>2</v>
      </c>
      <c r="E297" s="76">
        <v>3</v>
      </c>
      <c r="F297" s="76">
        <v>3</v>
      </c>
      <c r="G297" s="76">
        <v>0</v>
      </c>
      <c r="H297" s="77">
        <f t="shared" si="46"/>
        <v>8</v>
      </c>
    </row>
    <row r="298" spans="1:8" ht="15" customHeight="1" x14ac:dyDescent="0.3">
      <c r="A298" s="180"/>
      <c r="B298" s="11" t="s">
        <v>8</v>
      </c>
      <c r="C298" s="76">
        <v>0</v>
      </c>
      <c r="D298" s="76">
        <v>27</v>
      </c>
      <c r="E298" s="76">
        <v>56</v>
      </c>
      <c r="F298" s="76">
        <v>54</v>
      </c>
      <c r="G298" s="76">
        <v>0</v>
      </c>
      <c r="H298" s="77">
        <f t="shared" si="46"/>
        <v>137</v>
      </c>
    </row>
    <row r="299" spans="1:8" ht="15" customHeight="1" x14ac:dyDescent="0.3">
      <c r="A299" s="180"/>
      <c r="B299" s="11" t="s">
        <v>9</v>
      </c>
      <c r="C299" s="76">
        <v>0</v>
      </c>
      <c r="D299" s="76">
        <v>61</v>
      </c>
      <c r="E299" s="76">
        <v>105</v>
      </c>
      <c r="F299" s="76">
        <v>99</v>
      </c>
      <c r="G299" s="76">
        <v>0</v>
      </c>
      <c r="H299" s="77">
        <f t="shared" si="46"/>
        <v>265</v>
      </c>
    </row>
    <row r="300" spans="1:8" ht="15" customHeight="1" x14ac:dyDescent="0.3">
      <c r="A300" s="181" t="s">
        <v>4</v>
      </c>
      <c r="B300" s="16" t="s">
        <v>7</v>
      </c>
      <c r="C300" s="74">
        <v>14</v>
      </c>
      <c r="D300" s="74">
        <v>50</v>
      </c>
      <c r="E300" s="74">
        <v>90</v>
      </c>
      <c r="F300" s="74">
        <v>188</v>
      </c>
      <c r="G300" s="74">
        <v>55</v>
      </c>
      <c r="H300" s="75">
        <f t="shared" si="46"/>
        <v>397</v>
      </c>
    </row>
    <row r="301" spans="1:8" ht="15" customHeight="1" x14ac:dyDescent="0.3">
      <c r="A301" s="181"/>
      <c r="B301" s="16" t="s">
        <v>8</v>
      </c>
      <c r="C301" s="74">
        <v>2868</v>
      </c>
      <c r="D301" s="74">
        <v>6406</v>
      </c>
      <c r="E301" s="74">
        <v>6547</v>
      </c>
      <c r="F301" s="74">
        <v>6463</v>
      </c>
      <c r="G301" s="74">
        <v>1134</v>
      </c>
      <c r="H301" s="75">
        <f t="shared" si="46"/>
        <v>23418</v>
      </c>
    </row>
    <row r="302" spans="1:8" ht="15" customHeight="1" x14ac:dyDescent="0.3">
      <c r="A302" s="181"/>
      <c r="B302" s="16" t="s">
        <v>9</v>
      </c>
      <c r="C302" s="74">
        <v>5514</v>
      </c>
      <c r="D302" s="74">
        <v>11932</v>
      </c>
      <c r="E302" s="74">
        <v>12459</v>
      </c>
      <c r="F302" s="74">
        <v>12142</v>
      </c>
      <c r="G302" s="74">
        <v>2181</v>
      </c>
      <c r="H302" s="75">
        <f t="shared" si="46"/>
        <v>44228</v>
      </c>
    </row>
    <row r="303" spans="1:8" ht="15" customHeight="1" x14ac:dyDescent="0.3">
      <c r="A303" s="180" t="s">
        <v>5</v>
      </c>
      <c r="B303" s="11" t="s">
        <v>7</v>
      </c>
      <c r="C303" s="76">
        <v>4</v>
      </c>
      <c r="D303" s="76">
        <v>14</v>
      </c>
      <c r="E303" s="76">
        <v>29</v>
      </c>
      <c r="F303" s="76">
        <v>86</v>
      </c>
      <c r="G303" s="76">
        <v>8</v>
      </c>
      <c r="H303" s="77">
        <f t="shared" si="46"/>
        <v>141</v>
      </c>
    </row>
    <row r="304" spans="1:8" ht="15" customHeight="1" x14ac:dyDescent="0.3">
      <c r="A304" s="180"/>
      <c r="B304" s="11" t="s">
        <v>8</v>
      </c>
      <c r="C304" s="76">
        <v>371</v>
      </c>
      <c r="D304" s="76">
        <v>1130</v>
      </c>
      <c r="E304" s="76">
        <v>1133</v>
      </c>
      <c r="F304" s="76">
        <v>2375</v>
      </c>
      <c r="G304" s="76">
        <v>104</v>
      </c>
      <c r="H304" s="77">
        <f t="shared" si="46"/>
        <v>5113</v>
      </c>
    </row>
    <row r="305" spans="1:8" ht="15" customHeight="1" x14ac:dyDescent="0.3">
      <c r="A305" s="180"/>
      <c r="B305" s="11" t="s">
        <v>9</v>
      </c>
      <c r="C305" s="76">
        <v>825</v>
      </c>
      <c r="D305" s="76">
        <v>2240</v>
      </c>
      <c r="E305" s="76">
        <v>2184</v>
      </c>
      <c r="F305" s="76">
        <v>4629</v>
      </c>
      <c r="G305" s="76">
        <v>204</v>
      </c>
      <c r="H305" s="77">
        <f t="shared" si="46"/>
        <v>10082</v>
      </c>
    </row>
    <row r="306" spans="1:8" ht="15" customHeight="1" x14ac:dyDescent="0.3">
      <c r="A306" s="181" t="s">
        <v>6</v>
      </c>
      <c r="B306" s="16" t="s">
        <v>7</v>
      </c>
      <c r="C306" s="74">
        <v>1</v>
      </c>
      <c r="D306" s="74">
        <v>8</v>
      </c>
      <c r="E306" s="74">
        <v>19</v>
      </c>
      <c r="F306" s="74">
        <v>64</v>
      </c>
      <c r="G306" s="74">
        <v>4</v>
      </c>
      <c r="H306" s="75">
        <f t="shared" si="46"/>
        <v>96</v>
      </c>
    </row>
    <row r="307" spans="1:8" ht="15" customHeight="1" x14ac:dyDescent="0.3">
      <c r="A307" s="181"/>
      <c r="B307" s="16" t="s">
        <v>8</v>
      </c>
      <c r="C307" s="74">
        <v>102</v>
      </c>
      <c r="D307" s="74">
        <v>349</v>
      </c>
      <c r="E307" s="74">
        <v>655</v>
      </c>
      <c r="F307" s="74">
        <v>1621</v>
      </c>
      <c r="G307" s="74">
        <v>83</v>
      </c>
      <c r="H307" s="75">
        <f t="shared" si="46"/>
        <v>2810</v>
      </c>
    </row>
    <row r="308" spans="1:8" ht="15" customHeight="1" x14ac:dyDescent="0.3">
      <c r="A308" s="181"/>
      <c r="B308" s="16" t="s">
        <v>9</v>
      </c>
      <c r="C308" s="74">
        <v>204</v>
      </c>
      <c r="D308" s="74">
        <v>722</v>
      </c>
      <c r="E308" s="74">
        <v>1277</v>
      </c>
      <c r="F308" s="74">
        <v>3116</v>
      </c>
      <c r="G308" s="74">
        <v>158</v>
      </c>
      <c r="H308" s="75">
        <f t="shared" si="46"/>
        <v>5477</v>
      </c>
    </row>
    <row r="309" spans="1:8" ht="15" customHeight="1" x14ac:dyDescent="0.3">
      <c r="A309" s="182" t="s">
        <v>1</v>
      </c>
      <c r="B309" s="95" t="s">
        <v>7</v>
      </c>
      <c r="C309" s="96">
        <f>C294+C297+C300+C303+C306</f>
        <v>25</v>
      </c>
      <c r="D309" s="96">
        <f t="shared" ref="D309:H309" si="47">D294+D297+D300+D303+D306</f>
        <v>95</v>
      </c>
      <c r="E309" s="96">
        <f t="shared" si="47"/>
        <v>208</v>
      </c>
      <c r="F309" s="96">
        <f t="shared" si="47"/>
        <v>512</v>
      </c>
      <c r="G309" s="96">
        <f t="shared" si="47"/>
        <v>76</v>
      </c>
      <c r="H309" s="96">
        <f t="shared" si="47"/>
        <v>916</v>
      </c>
    </row>
    <row r="310" spans="1:8" ht="15" customHeight="1" x14ac:dyDescent="0.3">
      <c r="A310" s="182"/>
      <c r="B310" s="95" t="s">
        <v>8</v>
      </c>
      <c r="C310" s="96">
        <f t="shared" ref="C310:H310" si="48">C295+C298+C301+C304+C307</f>
        <v>3990</v>
      </c>
      <c r="D310" s="96">
        <f t="shared" si="48"/>
        <v>9701</v>
      </c>
      <c r="E310" s="96">
        <f t="shared" si="48"/>
        <v>14162</v>
      </c>
      <c r="F310" s="96">
        <f t="shared" si="48"/>
        <v>17426</v>
      </c>
      <c r="G310" s="96">
        <f t="shared" si="48"/>
        <v>1540</v>
      </c>
      <c r="H310" s="96">
        <f t="shared" si="48"/>
        <v>46819</v>
      </c>
    </row>
    <row r="311" spans="1:8" ht="15" customHeight="1" x14ac:dyDescent="0.3">
      <c r="A311" s="182"/>
      <c r="B311" s="95" t="s">
        <v>9</v>
      </c>
      <c r="C311" s="96">
        <f t="shared" ref="C311:H311" si="49">C296+C299+C302+C305+C308</f>
        <v>7877</v>
      </c>
      <c r="D311" s="96">
        <f t="shared" si="49"/>
        <v>18513</v>
      </c>
      <c r="E311" s="96">
        <f t="shared" si="49"/>
        <v>27240</v>
      </c>
      <c r="F311" s="96">
        <f t="shared" si="49"/>
        <v>33299</v>
      </c>
      <c r="G311" s="96">
        <f t="shared" si="49"/>
        <v>2988</v>
      </c>
      <c r="H311" s="96">
        <f t="shared" si="49"/>
        <v>89917</v>
      </c>
    </row>
    <row r="312" spans="1:8" ht="15" customHeight="1" x14ac:dyDescent="0.3">
      <c r="A312" s="97" t="s">
        <v>129</v>
      </c>
      <c r="B312" s="4"/>
      <c r="C312" s="4"/>
      <c r="D312" s="4"/>
      <c r="E312" s="4"/>
    </row>
    <row r="315" spans="1:8" ht="15" customHeight="1" x14ac:dyDescent="0.3">
      <c r="A315" s="176" t="s">
        <v>90</v>
      </c>
      <c r="B315" s="176"/>
      <c r="C315" s="176"/>
      <c r="D315" s="176"/>
      <c r="E315" s="176"/>
      <c r="F315" s="176"/>
      <c r="G315" s="176"/>
      <c r="H315" s="176"/>
    </row>
    <row r="316" spans="1:8" ht="15" customHeight="1" x14ac:dyDescent="0.3">
      <c r="A316" s="176" t="s">
        <v>96</v>
      </c>
      <c r="B316" s="176"/>
      <c r="C316" s="176"/>
      <c r="D316" s="176"/>
      <c r="E316" s="176"/>
      <c r="F316" s="176"/>
      <c r="G316" s="176"/>
      <c r="H316" s="176"/>
    </row>
    <row r="317" spans="1:8" ht="15" customHeight="1" x14ac:dyDescent="0.3">
      <c r="A317" s="93" t="s">
        <v>119</v>
      </c>
      <c r="B317" s="94"/>
      <c r="C317" s="94" t="s">
        <v>49</v>
      </c>
      <c r="D317" s="94" t="s">
        <v>50</v>
      </c>
      <c r="E317" s="94" t="s">
        <v>51</v>
      </c>
      <c r="F317" s="94" t="s">
        <v>52</v>
      </c>
      <c r="G317" s="94" t="s">
        <v>0</v>
      </c>
      <c r="H317" s="94" t="s">
        <v>1</v>
      </c>
    </row>
    <row r="318" spans="1:8" ht="15" customHeight="1" x14ac:dyDescent="0.3">
      <c r="A318" s="181" t="s">
        <v>2</v>
      </c>
      <c r="B318" s="16" t="s">
        <v>7</v>
      </c>
      <c r="C318" s="74">
        <v>4</v>
      </c>
      <c r="D318" s="74">
        <v>20</v>
      </c>
      <c r="E318" s="74">
        <v>67</v>
      </c>
      <c r="F318" s="74">
        <v>172</v>
      </c>
      <c r="G318" s="74">
        <v>9</v>
      </c>
      <c r="H318" s="75">
        <f>SUM(C318:G318)</f>
        <v>272</v>
      </c>
    </row>
    <row r="319" spans="1:8" ht="15" customHeight="1" x14ac:dyDescent="0.3">
      <c r="A319" s="181"/>
      <c r="B319" s="16" t="s">
        <v>8</v>
      </c>
      <c r="C319" s="74">
        <v>383</v>
      </c>
      <c r="D319" s="74">
        <v>1589</v>
      </c>
      <c r="E319" s="74">
        <v>5771</v>
      </c>
      <c r="F319" s="74">
        <v>6929</v>
      </c>
      <c r="G319" s="74">
        <v>219</v>
      </c>
      <c r="H319" s="75">
        <f t="shared" ref="H319:H332" si="50">SUM(C319:G319)</f>
        <v>14891</v>
      </c>
    </row>
    <row r="320" spans="1:8" ht="15" customHeight="1" x14ac:dyDescent="0.3">
      <c r="A320" s="181"/>
      <c r="B320" s="16" t="s">
        <v>9</v>
      </c>
      <c r="C320" s="74">
        <v>766</v>
      </c>
      <c r="D320" s="74">
        <v>3131</v>
      </c>
      <c r="E320" s="74">
        <v>11215</v>
      </c>
      <c r="F320" s="74">
        <v>13359</v>
      </c>
      <c r="G320" s="74">
        <v>445</v>
      </c>
      <c r="H320" s="75">
        <f t="shared" si="50"/>
        <v>28916</v>
      </c>
    </row>
    <row r="321" spans="1:8" ht="15" customHeight="1" x14ac:dyDescent="0.3">
      <c r="A321" s="180" t="s">
        <v>3</v>
      </c>
      <c r="B321" s="11" t="s">
        <v>7</v>
      </c>
      <c r="C321" s="76">
        <v>0</v>
      </c>
      <c r="D321" s="76">
        <v>2</v>
      </c>
      <c r="E321" s="76">
        <v>3</v>
      </c>
      <c r="F321" s="76">
        <v>2</v>
      </c>
      <c r="G321" s="76">
        <v>0</v>
      </c>
      <c r="H321" s="77">
        <f t="shared" si="50"/>
        <v>7</v>
      </c>
    </row>
    <row r="322" spans="1:8" ht="15" customHeight="1" x14ac:dyDescent="0.3">
      <c r="A322" s="180"/>
      <c r="B322" s="11" t="s">
        <v>8</v>
      </c>
      <c r="C322" s="76">
        <v>0</v>
      </c>
      <c r="D322" s="76">
        <v>27</v>
      </c>
      <c r="E322" s="76">
        <v>56</v>
      </c>
      <c r="F322" s="76">
        <v>42</v>
      </c>
      <c r="G322" s="76">
        <v>0</v>
      </c>
      <c r="H322" s="77">
        <f t="shared" si="50"/>
        <v>125</v>
      </c>
    </row>
    <row r="323" spans="1:8" ht="15" customHeight="1" x14ac:dyDescent="0.3">
      <c r="A323" s="180"/>
      <c r="B323" s="11" t="s">
        <v>9</v>
      </c>
      <c r="C323" s="76">
        <v>0</v>
      </c>
      <c r="D323" s="76">
        <v>61</v>
      </c>
      <c r="E323" s="76">
        <v>105</v>
      </c>
      <c r="F323" s="76">
        <v>81</v>
      </c>
      <c r="G323" s="76">
        <v>0</v>
      </c>
      <c r="H323" s="77">
        <f t="shared" si="50"/>
        <v>247</v>
      </c>
    </row>
    <row r="324" spans="1:8" ht="15" customHeight="1" x14ac:dyDescent="0.3">
      <c r="A324" s="181" t="s">
        <v>4</v>
      </c>
      <c r="B324" s="16" t="s">
        <v>7</v>
      </c>
      <c r="C324" s="74">
        <v>14</v>
      </c>
      <c r="D324" s="74">
        <v>51</v>
      </c>
      <c r="E324" s="74">
        <v>86</v>
      </c>
      <c r="F324" s="74">
        <v>185</v>
      </c>
      <c r="G324" s="74">
        <v>58</v>
      </c>
      <c r="H324" s="75">
        <f t="shared" si="50"/>
        <v>394</v>
      </c>
    </row>
    <row r="325" spans="1:8" ht="15" customHeight="1" x14ac:dyDescent="0.3">
      <c r="A325" s="181"/>
      <c r="B325" s="16" t="s">
        <v>8</v>
      </c>
      <c r="C325" s="74">
        <v>2868</v>
      </c>
      <c r="D325" s="74">
        <v>6412</v>
      </c>
      <c r="E325" s="74">
        <v>6185</v>
      </c>
      <c r="F325" s="74">
        <v>6368</v>
      </c>
      <c r="G325" s="74">
        <v>1216</v>
      </c>
      <c r="H325" s="75">
        <f t="shared" si="50"/>
        <v>23049</v>
      </c>
    </row>
    <row r="326" spans="1:8" ht="15" customHeight="1" x14ac:dyDescent="0.3">
      <c r="A326" s="181"/>
      <c r="B326" s="16" t="s">
        <v>9</v>
      </c>
      <c r="C326" s="74">
        <v>5514</v>
      </c>
      <c r="D326" s="74">
        <v>11942</v>
      </c>
      <c r="E326" s="74">
        <v>11778</v>
      </c>
      <c r="F326" s="74">
        <v>11991</v>
      </c>
      <c r="G326" s="74">
        <v>2311</v>
      </c>
      <c r="H326" s="75">
        <f t="shared" si="50"/>
        <v>43536</v>
      </c>
    </row>
    <row r="327" spans="1:8" ht="15" customHeight="1" x14ac:dyDescent="0.3">
      <c r="A327" s="180" t="s">
        <v>5</v>
      </c>
      <c r="B327" s="11" t="s">
        <v>7</v>
      </c>
      <c r="C327" s="76">
        <v>4</v>
      </c>
      <c r="D327" s="76">
        <v>14</v>
      </c>
      <c r="E327" s="76">
        <v>29</v>
      </c>
      <c r="F327" s="76">
        <v>91</v>
      </c>
      <c r="G327" s="76">
        <v>8</v>
      </c>
      <c r="H327" s="77">
        <f t="shared" si="50"/>
        <v>146</v>
      </c>
    </row>
    <row r="328" spans="1:8" ht="15" customHeight="1" x14ac:dyDescent="0.3">
      <c r="A328" s="180"/>
      <c r="B328" s="11" t="s">
        <v>8</v>
      </c>
      <c r="C328" s="76">
        <v>338</v>
      </c>
      <c r="D328" s="76">
        <v>1130</v>
      </c>
      <c r="E328" s="76">
        <v>1133</v>
      </c>
      <c r="F328" s="76">
        <v>2566</v>
      </c>
      <c r="G328" s="76">
        <v>104</v>
      </c>
      <c r="H328" s="77">
        <f t="shared" si="50"/>
        <v>5271</v>
      </c>
    </row>
    <row r="329" spans="1:8" ht="15" customHeight="1" x14ac:dyDescent="0.3">
      <c r="A329" s="180"/>
      <c r="B329" s="11" t="s">
        <v>9</v>
      </c>
      <c r="C329" s="76">
        <v>739</v>
      </c>
      <c r="D329" s="76">
        <v>2240</v>
      </c>
      <c r="E329" s="76">
        <v>2184</v>
      </c>
      <c r="F329" s="76">
        <v>5012</v>
      </c>
      <c r="G329" s="76">
        <v>204</v>
      </c>
      <c r="H329" s="77">
        <f t="shared" si="50"/>
        <v>10379</v>
      </c>
    </row>
    <row r="330" spans="1:8" ht="15" customHeight="1" x14ac:dyDescent="0.3">
      <c r="A330" s="181" t="s">
        <v>6</v>
      </c>
      <c r="B330" s="16" t="s">
        <v>7</v>
      </c>
      <c r="C330" s="74">
        <v>1</v>
      </c>
      <c r="D330" s="74">
        <v>8</v>
      </c>
      <c r="E330" s="74">
        <v>19</v>
      </c>
      <c r="F330" s="74">
        <v>66</v>
      </c>
      <c r="G330" s="74">
        <v>4</v>
      </c>
      <c r="H330" s="75">
        <f t="shared" si="50"/>
        <v>98</v>
      </c>
    </row>
    <row r="331" spans="1:8" ht="15" customHeight="1" x14ac:dyDescent="0.3">
      <c r="A331" s="181"/>
      <c r="B331" s="16" t="s">
        <v>8</v>
      </c>
      <c r="C331" s="74">
        <v>102</v>
      </c>
      <c r="D331" s="74">
        <v>344</v>
      </c>
      <c r="E331" s="74">
        <v>666</v>
      </c>
      <c r="F331" s="74">
        <v>1609</v>
      </c>
      <c r="G331" s="74">
        <v>83</v>
      </c>
      <c r="H331" s="75">
        <f t="shared" si="50"/>
        <v>2804</v>
      </c>
    </row>
    <row r="332" spans="1:8" ht="15" customHeight="1" x14ac:dyDescent="0.3">
      <c r="A332" s="181"/>
      <c r="B332" s="16" t="s">
        <v>9</v>
      </c>
      <c r="C332" s="74">
        <v>204</v>
      </c>
      <c r="D332" s="74">
        <v>712</v>
      </c>
      <c r="E332" s="74">
        <v>1275</v>
      </c>
      <c r="F332" s="74">
        <v>3107</v>
      </c>
      <c r="G332" s="74">
        <v>158</v>
      </c>
      <c r="H332" s="75">
        <f t="shared" si="50"/>
        <v>5456</v>
      </c>
    </row>
    <row r="333" spans="1:8" ht="15" customHeight="1" x14ac:dyDescent="0.3">
      <c r="A333" s="182" t="s">
        <v>1</v>
      </c>
      <c r="B333" s="95" t="s">
        <v>7</v>
      </c>
      <c r="C333" s="96">
        <f>C318+C321+C324+C327+C330</f>
        <v>23</v>
      </c>
      <c r="D333" s="96">
        <f t="shared" ref="D333:H333" si="51">D318+D321+D324+D327+D330</f>
        <v>95</v>
      </c>
      <c r="E333" s="96">
        <f t="shared" si="51"/>
        <v>204</v>
      </c>
      <c r="F333" s="96">
        <f t="shared" si="51"/>
        <v>516</v>
      </c>
      <c r="G333" s="96">
        <f t="shared" si="51"/>
        <v>79</v>
      </c>
      <c r="H333" s="96">
        <f t="shared" si="51"/>
        <v>917</v>
      </c>
    </row>
    <row r="334" spans="1:8" ht="15" customHeight="1" x14ac:dyDescent="0.3">
      <c r="A334" s="182"/>
      <c r="B334" s="95" t="s">
        <v>8</v>
      </c>
      <c r="C334" s="96">
        <f t="shared" ref="C334:H334" si="52">C319+C322+C325+C328+C331</f>
        <v>3691</v>
      </c>
      <c r="D334" s="96">
        <f t="shared" si="52"/>
        <v>9502</v>
      </c>
      <c r="E334" s="96">
        <f t="shared" si="52"/>
        <v>13811</v>
      </c>
      <c r="F334" s="96">
        <f t="shared" si="52"/>
        <v>17514</v>
      </c>
      <c r="G334" s="96">
        <f t="shared" si="52"/>
        <v>1622</v>
      </c>
      <c r="H334" s="96">
        <f t="shared" si="52"/>
        <v>46140</v>
      </c>
    </row>
    <row r="335" spans="1:8" ht="15" customHeight="1" x14ac:dyDescent="0.3">
      <c r="A335" s="182"/>
      <c r="B335" s="95" t="s">
        <v>9</v>
      </c>
      <c r="C335" s="96">
        <f t="shared" ref="C335:H335" si="53">C320+C323+C326+C329+C332</f>
        <v>7223</v>
      </c>
      <c r="D335" s="96">
        <f t="shared" si="53"/>
        <v>18086</v>
      </c>
      <c r="E335" s="96">
        <f t="shared" si="53"/>
        <v>26557</v>
      </c>
      <c r="F335" s="96">
        <f t="shared" si="53"/>
        <v>33550</v>
      </c>
      <c r="G335" s="96">
        <f t="shared" si="53"/>
        <v>3118</v>
      </c>
      <c r="H335" s="96">
        <f t="shared" si="53"/>
        <v>88534</v>
      </c>
    </row>
    <row r="336" spans="1:8" ht="15" customHeight="1" x14ac:dyDescent="0.3">
      <c r="A336" s="97" t="s">
        <v>129</v>
      </c>
      <c r="B336" s="4"/>
      <c r="C336" s="4"/>
      <c r="D336" s="4"/>
      <c r="E336" s="4"/>
    </row>
    <row r="339" spans="1:8" ht="15" customHeight="1" x14ac:dyDescent="0.3">
      <c r="A339" s="176" t="s">
        <v>90</v>
      </c>
      <c r="B339" s="176"/>
      <c r="C339" s="176"/>
      <c r="D339" s="176"/>
      <c r="E339" s="176"/>
      <c r="F339" s="176"/>
      <c r="G339" s="176"/>
      <c r="H339" s="176"/>
    </row>
    <row r="340" spans="1:8" ht="15" customHeight="1" x14ac:dyDescent="0.3">
      <c r="A340" s="176" t="s">
        <v>97</v>
      </c>
      <c r="B340" s="176"/>
      <c r="C340" s="176"/>
      <c r="D340" s="176"/>
      <c r="E340" s="176"/>
      <c r="F340" s="176"/>
      <c r="G340" s="176"/>
      <c r="H340" s="176"/>
    </row>
    <row r="341" spans="1:8" ht="15" customHeight="1" x14ac:dyDescent="0.3">
      <c r="A341" s="93" t="s">
        <v>119</v>
      </c>
      <c r="B341" s="94"/>
      <c r="C341" s="94" t="s">
        <v>49</v>
      </c>
      <c r="D341" s="94" t="s">
        <v>50</v>
      </c>
      <c r="E341" s="94" t="s">
        <v>51</v>
      </c>
      <c r="F341" s="94" t="s">
        <v>52</v>
      </c>
      <c r="G341" s="94" t="s">
        <v>0</v>
      </c>
      <c r="H341" s="94" t="s">
        <v>1</v>
      </c>
    </row>
    <row r="342" spans="1:8" ht="15" customHeight="1" x14ac:dyDescent="0.3">
      <c r="A342" s="181" t="s">
        <v>2</v>
      </c>
      <c r="B342" s="16" t="s">
        <v>7</v>
      </c>
      <c r="C342" s="74">
        <v>4</v>
      </c>
      <c r="D342" s="74">
        <v>21</v>
      </c>
      <c r="E342" s="74">
        <v>67</v>
      </c>
      <c r="F342" s="74">
        <v>171</v>
      </c>
      <c r="G342" s="74">
        <v>9</v>
      </c>
      <c r="H342" s="75">
        <f>SUM(C342:G342)</f>
        <v>272</v>
      </c>
    </row>
    <row r="343" spans="1:8" ht="15" customHeight="1" x14ac:dyDescent="0.3">
      <c r="A343" s="181"/>
      <c r="B343" s="16" t="s">
        <v>8</v>
      </c>
      <c r="C343" s="74">
        <v>383</v>
      </c>
      <c r="D343" s="74">
        <v>1594</v>
      </c>
      <c r="E343" s="74">
        <v>5784</v>
      </c>
      <c r="F343" s="74">
        <v>6905</v>
      </c>
      <c r="G343" s="74">
        <v>219</v>
      </c>
      <c r="H343" s="75">
        <f t="shared" ref="H343:H356" si="54">SUM(C343:G343)</f>
        <v>14885</v>
      </c>
    </row>
    <row r="344" spans="1:8" ht="15" customHeight="1" x14ac:dyDescent="0.3">
      <c r="A344" s="181"/>
      <c r="B344" s="16" t="s">
        <v>9</v>
      </c>
      <c r="C344" s="74">
        <v>766</v>
      </c>
      <c r="D344" s="74">
        <v>3121</v>
      </c>
      <c r="E344" s="74">
        <v>11253</v>
      </c>
      <c r="F344" s="74">
        <v>13303</v>
      </c>
      <c r="G344" s="74">
        <v>445</v>
      </c>
      <c r="H344" s="75">
        <f t="shared" si="54"/>
        <v>28888</v>
      </c>
    </row>
    <row r="345" spans="1:8" ht="15" customHeight="1" x14ac:dyDescent="0.3">
      <c r="A345" s="180" t="s">
        <v>3</v>
      </c>
      <c r="B345" s="11" t="s">
        <v>7</v>
      </c>
      <c r="C345" s="76">
        <v>0</v>
      </c>
      <c r="D345" s="76">
        <v>2</v>
      </c>
      <c r="E345" s="76">
        <v>3</v>
      </c>
      <c r="F345" s="76">
        <v>2</v>
      </c>
      <c r="G345" s="76">
        <v>0</v>
      </c>
      <c r="H345" s="77">
        <f t="shared" si="54"/>
        <v>7</v>
      </c>
    </row>
    <row r="346" spans="1:8" ht="15" customHeight="1" x14ac:dyDescent="0.3">
      <c r="A346" s="180"/>
      <c r="B346" s="11" t="s">
        <v>8</v>
      </c>
      <c r="C346" s="76">
        <v>0</v>
      </c>
      <c r="D346" s="76">
        <v>27</v>
      </c>
      <c r="E346" s="76">
        <v>56</v>
      </c>
      <c r="F346" s="76">
        <v>42</v>
      </c>
      <c r="G346" s="76">
        <v>0</v>
      </c>
      <c r="H346" s="77">
        <f t="shared" si="54"/>
        <v>125</v>
      </c>
    </row>
    <row r="347" spans="1:8" ht="15" customHeight="1" x14ac:dyDescent="0.3">
      <c r="A347" s="180"/>
      <c r="B347" s="11" t="s">
        <v>9</v>
      </c>
      <c r="C347" s="76">
        <v>0</v>
      </c>
      <c r="D347" s="76">
        <v>61</v>
      </c>
      <c r="E347" s="76">
        <v>105</v>
      </c>
      <c r="F347" s="76">
        <v>81</v>
      </c>
      <c r="G347" s="76">
        <v>0</v>
      </c>
      <c r="H347" s="77">
        <f t="shared" si="54"/>
        <v>247</v>
      </c>
    </row>
    <row r="348" spans="1:8" ht="15" customHeight="1" x14ac:dyDescent="0.3">
      <c r="A348" s="181" t="s">
        <v>4</v>
      </c>
      <c r="B348" s="16" t="s">
        <v>7</v>
      </c>
      <c r="C348" s="74">
        <v>14</v>
      </c>
      <c r="D348" s="74">
        <v>52</v>
      </c>
      <c r="E348" s="74">
        <v>86</v>
      </c>
      <c r="F348" s="74">
        <v>184</v>
      </c>
      <c r="G348" s="74">
        <v>57</v>
      </c>
      <c r="H348" s="75">
        <f t="shared" si="54"/>
        <v>393</v>
      </c>
    </row>
    <row r="349" spans="1:8" ht="15" customHeight="1" x14ac:dyDescent="0.3">
      <c r="A349" s="181"/>
      <c r="B349" s="16" t="s">
        <v>8</v>
      </c>
      <c r="C349" s="74">
        <v>2868</v>
      </c>
      <c r="D349" s="74">
        <v>6662</v>
      </c>
      <c r="E349" s="74">
        <v>6185</v>
      </c>
      <c r="F349" s="74">
        <v>6363</v>
      </c>
      <c r="G349" s="74">
        <v>1202</v>
      </c>
      <c r="H349" s="75">
        <f t="shared" si="54"/>
        <v>23280</v>
      </c>
    </row>
    <row r="350" spans="1:8" ht="15" customHeight="1" x14ac:dyDescent="0.3">
      <c r="A350" s="181"/>
      <c r="B350" s="16" t="s">
        <v>9</v>
      </c>
      <c r="C350" s="74">
        <v>5514</v>
      </c>
      <c r="D350" s="74">
        <v>12402</v>
      </c>
      <c r="E350" s="74">
        <v>11778</v>
      </c>
      <c r="F350" s="74">
        <v>11968</v>
      </c>
      <c r="G350" s="74">
        <v>2283</v>
      </c>
      <c r="H350" s="75">
        <f t="shared" si="54"/>
        <v>43945</v>
      </c>
    </row>
    <row r="351" spans="1:8" ht="15" customHeight="1" x14ac:dyDescent="0.3">
      <c r="A351" s="180" t="s">
        <v>5</v>
      </c>
      <c r="B351" s="11" t="s">
        <v>7</v>
      </c>
      <c r="C351" s="76">
        <v>4</v>
      </c>
      <c r="D351" s="76">
        <v>13</v>
      </c>
      <c r="E351" s="76">
        <v>28</v>
      </c>
      <c r="F351" s="76">
        <v>91</v>
      </c>
      <c r="G351" s="76">
        <v>8</v>
      </c>
      <c r="H351" s="77">
        <f t="shared" si="54"/>
        <v>144</v>
      </c>
    </row>
    <row r="352" spans="1:8" ht="15" customHeight="1" x14ac:dyDescent="0.3">
      <c r="A352" s="180"/>
      <c r="B352" s="11" t="s">
        <v>8</v>
      </c>
      <c r="C352" s="76">
        <v>328</v>
      </c>
      <c r="D352" s="76">
        <v>1108</v>
      </c>
      <c r="E352" s="76">
        <v>1111</v>
      </c>
      <c r="F352" s="76">
        <v>2564</v>
      </c>
      <c r="G352" s="76">
        <v>104</v>
      </c>
      <c r="H352" s="77">
        <f t="shared" si="54"/>
        <v>5215</v>
      </c>
    </row>
    <row r="353" spans="1:8" ht="15" customHeight="1" x14ac:dyDescent="0.3">
      <c r="A353" s="180"/>
      <c r="B353" s="11" t="s">
        <v>9</v>
      </c>
      <c r="C353" s="76">
        <v>719</v>
      </c>
      <c r="D353" s="76">
        <v>2196</v>
      </c>
      <c r="E353" s="76">
        <v>2130</v>
      </c>
      <c r="F353" s="76">
        <v>5008</v>
      </c>
      <c r="G353" s="76">
        <v>204</v>
      </c>
      <c r="H353" s="77">
        <f t="shared" si="54"/>
        <v>10257</v>
      </c>
    </row>
    <row r="354" spans="1:8" ht="15" customHeight="1" x14ac:dyDescent="0.3">
      <c r="A354" s="181" t="s">
        <v>6</v>
      </c>
      <c r="B354" s="16" t="s">
        <v>7</v>
      </c>
      <c r="C354" s="74">
        <v>1</v>
      </c>
      <c r="D354" s="74">
        <v>8</v>
      </c>
      <c r="E354" s="74">
        <v>19</v>
      </c>
      <c r="F354" s="74">
        <v>66</v>
      </c>
      <c r="G354" s="74">
        <v>4</v>
      </c>
      <c r="H354" s="75">
        <f t="shared" si="54"/>
        <v>98</v>
      </c>
    </row>
    <row r="355" spans="1:8" ht="15" customHeight="1" x14ac:dyDescent="0.3">
      <c r="A355" s="181"/>
      <c r="B355" s="16" t="s">
        <v>8</v>
      </c>
      <c r="C355" s="74">
        <v>102</v>
      </c>
      <c r="D355" s="74">
        <v>344</v>
      </c>
      <c r="E355" s="74">
        <v>666</v>
      </c>
      <c r="F355" s="74">
        <v>1609</v>
      </c>
      <c r="G355" s="74">
        <v>83</v>
      </c>
      <c r="H355" s="75">
        <f t="shared" si="54"/>
        <v>2804</v>
      </c>
    </row>
    <row r="356" spans="1:8" ht="15" customHeight="1" x14ac:dyDescent="0.3">
      <c r="A356" s="181"/>
      <c r="B356" s="16" t="s">
        <v>9</v>
      </c>
      <c r="C356" s="74">
        <v>204</v>
      </c>
      <c r="D356" s="74">
        <v>712</v>
      </c>
      <c r="E356" s="74">
        <v>1275</v>
      </c>
      <c r="F356" s="74">
        <v>3107</v>
      </c>
      <c r="G356" s="74">
        <v>158</v>
      </c>
      <c r="H356" s="75">
        <f t="shared" si="54"/>
        <v>5456</v>
      </c>
    </row>
    <row r="357" spans="1:8" ht="15" customHeight="1" x14ac:dyDescent="0.3">
      <c r="A357" s="182" t="s">
        <v>1</v>
      </c>
      <c r="B357" s="95" t="s">
        <v>7</v>
      </c>
      <c r="C357" s="96">
        <f>C342+C345+C348+C351+C354</f>
        <v>23</v>
      </c>
      <c r="D357" s="96">
        <f t="shared" ref="D357:H357" si="55">D342+D345+D348+D351+D354</f>
        <v>96</v>
      </c>
      <c r="E357" s="96">
        <f t="shared" si="55"/>
        <v>203</v>
      </c>
      <c r="F357" s="96">
        <f t="shared" si="55"/>
        <v>514</v>
      </c>
      <c r="G357" s="96">
        <f t="shared" si="55"/>
        <v>78</v>
      </c>
      <c r="H357" s="96">
        <f t="shared" si="55"/>
        <v>914</v>
      </c>
    </row>
    <row r="358" spans="1:8" ht="15" customHeight="1" x14ac:dyDescent="0.3">
      <c r="A358" s="182"/>
      <c r="B358" s="95" t="s">
        <v>8</v>
      </c>
      <c r="C358" s="96">
        <f t="shared" ref="C358:H358" si="56">C343+C346+C349+C352+C355</f>
        <v>3681</v>
      </c>
      <c r="D358" s="96">
        <f t="shared" si="56"/>
        <v>9735</v>
      </c>
      <c r="E358" s="96">
        <f t="shared" si="56"/>
        <v>13802</v>
      </c>
      <c r="F358" s="96">
        <f t="shared" si="56"/>
        <v>17483</v>
      </c>
      <c r="G358" s="96">
        <f t="shared" si="56"/>
        <v>1608</v>
      </c>
      <c r="H358" s="96">
        <f t="shared" si="56"/>
        <v>46309</v>
      </c>
    </row>
    <row r="359" spans="1:8" ht="15" customHeight="1" x14ac:dyDescent="0.3">
      <c r="A359" s="182"/>
      <c r="B359" s="95" t="s">
        <v>9</v>
      </c>
      <c r="C359" s="96">
        <f t="shared" ref="C359:H359" si="57">C344+C347+C350+C353+C356</f>
        <v>7203</v>
      </c>
      <c r="D359" s="96">
        <f t="shared" si="57"/>
        <v>18492</v>
      </c>
      <c r="E359" s="96">
        <f t="shared" si="57"/>
        <v>26541</v>
      </c>
      <c r="F359" s="96">
        <f t="shared" si="57"/>
        <v>33467</v>
      </c>
      <c r="G359" s="96">
        <f t="shared" si="57"/>
        <v>3090</v>
      </c>
      <c r="H359" s="96">
        <f t="shared" si="57"/>
        <v>88793</v>
      </c>
    </row>
    <row r="360" spans="1:8" ht="15" customHeight="1" x14ac:dyDescent="0.3">
      <c r="A360" s="97" t="s">
        <v>129</v>
      </c>
      <c r="B360" s="4"/>
      <c r="C360" s="4"/>
      <c r="D360" s="4"/>
      <c r="E360" s="4"/>
    </row>
    <row r="363" spans="1:8" ht="15" customHeight="1" x14ac:dyDescent="0.3">
      <c r="A363" s="176" t="s">
        <v>90</v>
      </c>
      <c r="B363" s="176"/>
      <c r="C363" s="176"/>
      <c r="D363" s="176"/>
      <c r="E363" s="176"/>
      <c r="F363" s="176"/>
      <c r="G363" s="176"/>
      <c r="H363" s="176"/>
    </row>
    <row r="364" spans="1:8" ht="15" customHeight="1" x14ac:dyDescent="0.3">
      <c r="A364" s="176" t="s">
        <v>98</v>
      </c>
      <c r="B364" s="176"/>
      <c r="C364" s="176"/>
      <c r="D364" s="176"/>
      <c r="E364" s="176"/>
      <c r="F364" s="176"/>
      <c r="G364" s="176"/>
      <c r="H364" s="176"/>
    </row>
    <row r="365" spans="1:8" ht="15" customHeight="1" x14ac:dyDescent="0.3">
      <c r="A365" s="93" t="s">
        <v>119</v>
      </c>
      <c r="B365" s="94"/>
      <c r="C365" s="94" t="s">
        <v>49</v>
      </c>
      <c r="D365" s="94" t="s">
        <v>50</v>
      </c>
      <c r="E365" s="94" t="s">
        <v>51</v>
      </c>
      <c r="F365" s="94" t="s">
        <v>52</v>
      </c>
      <c r="G365" s="94" t="s">
        <v>0</v>
      </c>
      <c r="H365" s="94" t="s">
        <v>1</v>
      </c>
    </row>
    <row r="366" spans="1:8" ht="15" customHeight="1" x14ac:dyDescent="0.3">
      <c r="A366" s="181" t="s">
        <v>2</v>
      </c>
      <c r="B366" s="16" t="s">
        <v>7</v>
      </c>
      <c r="C366" s="74">
        <v>4</v>
      </c>
      <c r="D366" s="74">
        <v>23</v>
      </c>
      <c r="E366" s="74">
        <v>66</v>
      </c>
      <c r="F366" s="74">
        <v>169</v>
      </c>
      <c r="G366" s="74">
        <v>10</v>
      </c>
      <c r="H366" s="75">
        <f>SUM(C366:G366)</f>
        <v>272</v>
      </c>
    </row>
    <row r="367" spans="1:8" ht="15" customHeight="1" x14ac:dyDescent="0.3">
      <c r="A367" s="181"/>
      <c r="B367" s="16" t="s">
        <v>8</v>
      </c>
      <c r="C367" s="74">
        <v>383</v>
      </c>
      <c r="D367" s="74">
        <v>2048</v>
      </c>
      <c r="E367" s="74">
        <v>5605</v>
      </c>
      <c r="F367" s="74">
        <v>6792</v>
      </c>
      <c r="G367" s="74">
        <v>264</v>
      </c>
      <c r="H367" s="75">
        <f t="shared" ref="H367:H380" si="58">SUM(C367:G367)</f>
        <v>15092</v>
      </c>
    </row>
    <row r="368" spans="1:8" ht="15" customHeight="1" x14ac:dyDescent="0.3">
      <c r="A368" s="181"/>
      <c r="B368" s="16" t="s">
        <v>9</v>
      </c>
      <c r="C368" s="74">
        <v>766</v>
      </c>
      <c r="D368" s="74">
        <v>4061</v>
      </c>
      <c r="E368" s="74">
        <v>10882</v>
      </c>
      <c r="F368" s="74">
        <v>13067</v>
      </c>
      <c r="G368" s="74">
        <v>527</v>
      </c>
      <c r="H368" s="75">
        <f t="shared" si="58"/>
        <v>29303</v>
      </c>
    </row>
    <row r="369" spans="1:8" ht="15" customHeight="1" x14ac:dyDescent="0.3">
      <c r="A369" s="180" t="s">
        <v>3</v>
      </c>
      <c r="B369" s="11" t="s">
        <v>7</v>
      </c>
      <c r="C369" s="76">
        <v>0</v>
      </c>
      <c r="D369" s="76">
        <v>2</v>
      </c>
      <c r="E369" s="76">
        <v>3</v>
      </c>
      <c r="F369" s="76">
        <v>2</v>
      </c>
      <c r="G369" s="76">
        <v>0</v>
      </c>
      <c r="H369" s="77">
        <f t="shared" si="58"/>
        <v>7</v>
      </c>
    </row>
    <row r="370" spans="1:8" ht="15" customHeight="1" x14ac:dyDescent="0.3">
      <c r="A370" s="180"/>
      <c r="B370" s="11" t="s">
        <v>8</v>
      </c>
      <c r="C370" s="76">
        <v>0</v>
      </c>
      <c r="D370" s="76">
        <v>27</v>
      </c>
      <c r="E370" s="76">
        <v>56</v>
      </c>
      <c r="F370" s="76">
        <v>42</v>
      </c>
      <c r="G370" s="76">
        <v>0</v>
      </c>
      <c r="H370" s="77">
        <f t="shared" si="58"/>
        <v>125</v>
      </c>
    </row>
    <row r="371" spans="1:8" ht="15" customHeight="1" x14ac:dyDescent="0.3">
      <c r="A371" s="180"/>
      <c r="B371" s="11" t="s">
        <v>9</v>
      </c>
      <c r="C371" s="76">
        <v>0</v>
      </c>
      <c r="D371" s="76">
        <v>61</v>
      </c>
      <c r="E371" s="76">
        <v>105</v>
      </c>
      <c r="F371" s="76">
        <v>81</v>
      </c>
      <c r="G371" s="76">
        <v>0</v>
      </c>
      <c r="H371" s="77">
        <f t="shared" si="58"/>
        <v>247</v>
      </c>
    </row>
    <row r="372" spans="1:8" ht="15" customHeight="1" x14ac:dyDescent="0.3">
      <c r="A372" s="181" t="s">
        <v>4</v>
      </c>
      <c r="B372" s="16" t="s">
        <v>7</v>
      </c>
      <c r="C372" s="74">
        <v>14</v>
      </c>
      <c r="D372" s="74">
        <v>55</v>
      </c>
      <c r="E372" s="74">
        <v>89</v>
      </c>
      <c r="F372" s="74">
        <v>189</v>
      </c>
      <c r="G372" s="74">
        <v>60</v>
      </c>
      <c r="H372" s="75">
        <f t="shared" si="58"/>
        <v>407</v>
      </c>
    </row>
    <row r="373" spans="1:8" ht="15" customHeight="1" x14ac:dyDescent="0.3">
      <c r="A373" s="181"/>
      <c r="B373" s="16" t="s">
        <v>8</v>
      </c>
      <c r="C373" s="74">
        <v>2833</v>
      </c>
      <c r="D373" s="74">
        <v>6988</v>
      </c>
      <c r="E373" s="74">
        <v>5493</v>
      </c>
      <c r="F373" s="74">
        <v>6476</v>
      </c>
      <c r="G373" s="74">
        <v>1241</v>
      </c>
      <c r="H373" s="75">
        <f t="shared" si="58"/>
        <v>23031</v>
      </c>
    </row>
    <row r="374" spans="1:8" ht="15" customHeight="1" x14ac:dyDescent="0.3">
      <c r="A374" s="181"/>
      <c r="B374" s="16" t="s">
        <v>9</v>
      </c>
      <c r="C374" s="74">
        <v>5397</v>
      </c>
      <c r="D374" s="74">
        <v>12992</v>
      </c>
      <c r="E374" s="74">
        <v>10403</v>
      </c>
      <c r="F374" s="74">
        <v>12192</v>
      </c>
      <c r="G374" s="74">
        <v>2400</v>
      </c>
      <c r="H374" s="75">
        <f t="shared" si="58"/>
        <v>43384</v>
      </c>
    </row>
    <row r="375" spans="1:8" ht="15" customHeight="1" x14ac:dyDescent="0.3">
      <c r="A375" s="180" t="s">
        <v>5</v>
      </c>
      <c r="B375" s="11" t="s">
        <v>7</v>
      </c>
      <c r="C375" s="76">
        <v>3</v>
      </c>
      <c r="D375" s="76">
        <v>13</v>
      </c>
      <c r="E375" s="76">
        <v>27</v>
      </c>
      <c r="F375" s="76">
        <v>90</v>
      </c>
      <c r="G375" s="76">
        <v>8</v>
      </c>
      <c r="H375" s="77">
        <f t="shared" si="58"/>
        <v>141</v>
      </c>
    </row>
    <row r="376" spans="1:8" ht="15" customHeight="1" x14ac:dyDescent="0.3">
      <c r="A376" s="180"/>
      <c r="B376" s="11" t="s">
        <v>8</v>
      </c>
      <c r="C376" s="76">
        <v>162</v>
      </c>
      <c r="D376" s="76">
        <v>1479</v>
      </c>
      <c r="E376" s="76">
        <v>1015</v>
      </c>
      <c r="F376" s="76">
        <v>2530</v>
      </c>
      <c r="G376" s="76">
        <v>111</v>
      </c>
      <c r="H376" s="77">
        <f t="shared" si="58"/>
        <v>5297</v>
      </c>
    </row>
    <row r="377" spans="1:8" ht="15" customHeight="1" x14ac:dyDescent="0.3">
      <c r="A377" s="180"/>
      <c r="B377" s="11" t="s">
        <v>9</v>
      </c>
      <c r="C377" s="76">
        <v>347</v>
      </c>
      <c r="D377" s="76">
        <v>2975</v>
      </c>
      <c r="E377" s="76">
        <v>1927</v>
      </c>
      <c r="F377" s="76">
        <v>4939</v>
      </c>
      <c r="G377" s="76">
        <v>213</v>
      </c>
      <c r="H377" s="77">
        <f t="shared" si="58"/>
        <v>10401</v>
      </c>
    </row>
    <row r="378" spans="1:8" ht="15" customHeight="1" x14ac:dyDescent="0.3">
      <c r="A378" s="181" t="s">
        <v>6</v>
      </c>
      <c r="B378" s="16" t="s">
        <v>7</v>
      </c>
      <c r="C378" s="74">
        <v>1</v>
      </c>
      <c r="D378" s="74">
        <v>7</v>
      </c>
      <c r="E378" s="74">
        <v>14</v>
      </c>
      <c r="F378" s="74">
        <v>68</v>
      </c>
      <c r="G378" s="74">
        <v>5</v>
      </c>
      <c r="H378" s="75">
        <f t="shared" si="58"/>
        <v>95</v>
      </c>
    </row>
    <row r="379" spans="1:8" ht="15" customHeight="1" x14ac:dyDescent="0.3">
      <c r="A379" s="181"/>
      <c r="B379" s="16" t="s">
        <v>8</v>
      </c>
      <c r="C379" s="74">
        <v>102</v>
      </c>
      <c r="D379" s="74">
        <v>339</v>
      </c>
      <c r="E379" s="74">
        <v>518</v>
      </c>
      <c r="F379" s="74">
        <v>1593</v>
      </c>
      <c r="G379" s="74">
        <v>92</v>
      </c>
      <c r="H379" s="75">
        <f t="shared" si="58"/>
        <v>2644</v>
      </c>
    </row>
    <row r="380" spans="1:8" ht="15" customHeight="1" x14ac:dyDescent="0.3">
      <c r="A380" s="181"/>
      <c r="B380" s="16" t="s">
        <v>9</v>
      </c>
      <c r="C380" s="74">
        <v>204</v>
      </c>
      <c r="D380" s="74">
        <v>698</v>
      </c>
      <c r="E380" s="74">
        <v>1007</v>
      </c>
      <c r="F380" s="74">
        <v>3061</v>
      </c>
      <c r="G380" s="74">
        <v>172</v>
      </c>
      <c r="H380" s="75">
        <f t="shared" si="58"/>
        <v>5142</v>
      </c>
    </row>
    <row r="381" spans="1:8" ht="15" customHeight="1" x14ac:dyDescent="0.3">
      <c r="A381" s="182" t="s">
        <v>1</v>
      </c>
      <c r="B381" s="95" t="s">
        <v>7</v>
      </c>
      <c r="C381" s="96">
        <f>C366+C369+C372+C375+C378</f>
        <v>22</v>
      </c>
      <c r="D381" s="96">
        <f t="shared" ref="D381:H381" si="59">D366+D369+D372+D375+D378</f>
        <v>100</v>
      </c>
      <c r="E381" s="96">
        <f t="shared" si="59"/>
        <v>199</v>
      </c>
      <c r="F381" s="96">
        <f t="shared" si="59"/>
        <v>518</v>
      </c>
      <c r="G381" s="96">
        <f t="shared" si="59"/>
        <v>83</v>
      </c>
      <c r="H381" s="96">
        <f t="shared" si="59"/>
        <v>922</v>
      </c>
    </row>
    <row r="382" spans="1:8" ht="15" customHeight="1" x14ac:dyDescent="0.3">
      <c r="A382" s="182"/>
      <c r="B382" s="95" t="s">
        <v>8</v>
      </c>
      <c r="C382" s="96">
        <f t="shared" ref="C382:H382" si="60">C367+C370+C373+C376+C379</f>
        <v>3480</v>
      </c>
      <c r="D382" s="96">
        <f t="shared" si="60"/>
        <v>10881</v>
      </c>
      <c r="E382" s="96">
        <f t="shared" si="60"/>
        <v>12687</v>
      </c>
      <c r="F382" s="96">
        <f t="shared" si="60"/>
        <v>17433</v>
      </c>
      <c r="G382" s="96">
        <f t="shared" si="60"/>
        <v>1708</v>
      </c>
      <c r="H382" s="96">
        <f t="shared" si="60"/>
        <v>46189</v>
      </c>
    </row>
    <row r="383" spans="1:8" ht="15" customHeight="1" x14ac:dyDescent="0.3">
      <c r="A383" s="182"/>
      <c r="B383" s="95" t="s">
        <v>9</v>
      </c>
      <c r="C383" s="96">
        <f t="shared" ref="C383:H383" si="61">C368+C371+C374+C377+C380</f>
        <v>6714</v>
      </c>
      <c r="D383" s="96">
        <f t="shared" si="61"/>
        <v>20787</v>
      </c>
      <c r="E383" s="96">
        <f t="shared" si="61"/>
        <v>24324</v>
      </c>
      <c r="F383" s="96">
        <f t="shared" si="61"/>
        <v>33340</v>
      </c>
      <c r="G383" s="96">
        <f t="shared" si="61"/>
        <v>3312</v>
      </c>
      <c r="H383" s="96">
        <f t="shared" si="61"/>
        <v>88477</v>
      </c>
    </row>
    <row r="384" spans="1:8" ht="15" customHeight="1" x14ac:dyDescent="0.3">
      <c r="A384" s="97" t="s">
        <v>129</v>
      </c>
      <c r="B384" s="4"/>
      <c r="C384" s="4"/>
      <c r="D384" s="4"/>
      <c r="E384" s="4"/>
    </row>
  </sheetData>
  <mergeCells count="128">
    <mergeCell ref="A237:A239"/>
    <mergeCell ref="A219:H219"/>
    <mergeCell ref="A220:H220"/>
    <mergeCell ref="A222:A224"/>
    <mergeCell ref="A225:A227"/>
    <mergeCell ref="A228:A230"/>
    <mergeCell ref="A231:A233"/>
    <mergeCell ref="A234:A236"/>
    <mergeCell ref="A195:H195"/>
    <mergeCell ref="A196:H196"/>
    <mergeCell ref="A207:A209"/>
    <mergeCell ref="A210:A212"/>
    <mergeCell ref="A213:A215"/>
    <mergeCell ref="A198:A200"/>
    <mergeCell ref="A201:A203"/>
    <mergeCell ref="A204:A206"/>
    <mergeCell ref="A244:H244"/>
    <mergeCell ref="A243:H243"/>
    <mergeCell ref="A267:H267"/>
    <mergeCell ref="A268:H268"/>
    <mergeCell ref="A270:A272"/>
    <mergeCell ref="A246:A248"/>
    <mergeCell ref="A249:A251"/>
    <mergeCell ref="A351:A353"/>
    <mergeCell ref="A354:A356"/>
    <mergeCell ref="A252:A254"/>
    <mergeCell ref="A255:A257"/>
    <mergeCell ref="A258:A260"/>
    <mergeCell ref="A333:A335"/>
    <mergeCell ref="A340:H340"/>
    <mergeCell ref="A261:A263"/>
    <mergeCell ref="A342:A344"/>
    <mergeCell ref="A273:A275"/>
    <mergeCell ref="A276:A278"/>
    <mergeCell ref="A279:A281"/>
    <mergeCell ref="A282:A284"/>
    <mergeCell ref="A285:A287"/>
    <mergeCell ref="A318:A320"/>
    <mergeCell ref="A306:A308"/>
    <mergeCell ref="A309:A311"/>
    <mergeCell ref="A381:A383"/>
    <mergeCell ref="A372:A374"/>
    <mergeCell ref="A375:A377"/>
    <mergeCell ref="A363:H363"/>
    <mergeCell ref="A364:H364"/>
    <mergeCell ref="A378:A380"/>
    <mergeCell ref="A366:A368"/>
    <mergeCell ref="A369:A371"/>
    <mergeCell ref="A345:A347"/>
    <mergeCell ref="A357:A359"/>
    <mergeCell ref="A348:A350"/>
    <mergeCell ref="A291:H291"/>
    <mergeCell ref="A292:H292"/>
    <mergeCell ref="A297:A299"/>
    <mergeCell ref="A300:A302"/>
    <mergeCell ref="A303:A305"/>
    <mergeCell ref="A294:A296"/>
    <mergeCell ref="A315:H315"/>
    <mergeCell ref="A316:H316"/>
    <mergeCell ref="A339:H339"/>
    <mergeCell ref="A321:A323"/>
    <mergeCell ref="A324:A326"/>
    <mergeCell ref="A327:A329"/>
    <mergeCell ref="A330:A332"/>
    <mergeCell ref="A183:A185"/>
    <mergeCell ref="A186:A188"/>
    <mergeCell ref="A189:A191"/>
    <mergeCell ref="A171:H171"/>
    <mergeCell ref="A172:H172"/>
    <mergeCell ref="A174:A176"/>
    <mergeCell ref="A177:A179"/>
    <mergeCell ref="A180:A182"/>
    <mergeCell ref="A159:A161"/>
    <mergeCell ref="A162:A164"/>
    <mergeCell ref="A138:A140"/>
    <mergeCell ref="A141:A143"/>
    <mergeCell ref="A123:H123"/>
    <mergeCell ref="A124:H124"/>
    <mergeCell ref="A126:A128"/>
    <mergeCell ref="A129:A131"/>
    <mergeCell ref="A132:A134"/>
    <mergeCell ref="A93:A95"/>
    <mergeCell ref="A165:A167"/>
    <mergeCell ref="A147:H147"/>
    <mergeCell ref="A148:H148"/>
    <mergeCell ref="A150:A152"/>
    <mergeCell ref="A153:A155"/>
    <mergeCell ref="A156:A158"/>
    <mergeCell ref="A111:A113"/>
    <mergeCell ref="A114:A116"/>
    <mergeCell ref="A117:A119"/>
    <mergeCell ref="A99:H99"/>
    <mergeCell ref="A100:H100"/>
    <mergeCell ref="A102:A104"/>
    <mergeCell ref="A105:A107"/>
    <mergeCell ref="A108:A110"/>
    <mergeCell ref="A135:A137"/>
    <mergeCell ref="A54:A56"/>
    <mergeCell ref="A57:A59"/>
    <mergeCell ref="A60:A62"/>
    <mergeCell ref="A63:A65"/>
    <mergeCell ref="A66:A68"/>
    <mergeCell ref="A69:A71"/>
    <mergeCell ref="A87:A89"/>
    <mergeCell ref="A90:A92"/>
    <mergeCell ref="A75:H75"/>
    <mergeCell ref="A76:H76"/>
    <mergeCell ref="A78:A80"/>
    <mergeCell ref="A81:A83"/>
    <mergeCell ref="A84:A86"/>
    <mergeCell ref="A28:H28"/>
    <mergeCell ref="A30:A32"/>
    <mergeCell ref="A33:A35"/>
    <mergeCell ref="A36:A38"/>
    <mergeCell ref="A39:A41"/>
    <mergeCell ref="A42:A44"/>
    <mergeCell ref="A45:A47"/>
    <mergeCell ref="A51:H51"/>
    <mergeCell ref="A52:H52"/>
    <mergeCell ref="A3:H3"/>
    <mergeCell ref="A4:H4"/>
    <mergeCell ref="A6:A8"/>
    <mergeCell ref="A9:A11"/>
    <mergeCell ref="A12:A14"/>
    <mergeCell ref="A15:A17"/>
    <mergeCell ref="A18:A20"/>
    <mergeCell ref="A21:A23"/>
    <mergeCell ref="A27:H27"/>
  </mergeCells>
  <pageMargins left="0.70866141732283472" right="0.70866141732283472" top="0.74803149606299213" bottom="0.74803149606299213" header="0.31496062992125984" footer="0.31496062992125984"/>
  <pageSetup paperSize="9" orientation="landscape" r:id="rId1"/>
  <headerFooter>
    <oddFooter>&amp;L&amp;F&amp;C&amp;P / &amp;N&amp;R&amp;A</oddFooter>
  </headerFooter>
  <rowBreaks count="10" manualBreakCount="10">
    <brk id="144" max="16383" man="1"/>
    <brk id="168" max="16383" man="1"/>
    <brk id="192" max="16383" man="1"/>
    <brk id="216" max="16383" man="1"/>
    <brk id="240" max="16383" man="1"/>
    <brk id="264" max="16383" man="1"/>
    <brk id="288" max="16383" man="1"/>
    <brk id="312" max="16383" man="1"/>
    <brk id="336" max="16383" man="1"/>
    <brk id="360" max="16383" man="1"/>
  </rowBreaks>
  <colBreaks count="1" manualBreakCount="1">
    <brk id="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1682-DB9E-40C0-BC45-5539AFAFAD15}">
  <sheetPr>
    <tabColor theme="5" tint="0.39997558519241921"/>
  </sheetPr>
  <dimension ref="A2:AD65"/>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83" t="s">
        <v>162</v>
      </c>
      <c r="B2" s="183"/>
      <c r="C2" s="183"/>
      <c r="D2" s="183"/>
      <c r="E2" s="183"/>
      <c r="F2" s="183"/>
      <c r="G2" s="183"/>
      <c r="H2" s="183"/>
      <c r="I2" s="157"/>
      <c r="J2" s="157"/>
      <c r="K2" s="157"/>
      <c r="L2" s="183" t="s">
        <v>161</v>
      </c>
      <c r="M2" s="183"/>
      <c r="N2" s="183"/>
      <c r="O2" s="183"/>
      <c r="P2" s="183"/>
      <c r="Q2" s="183"/>
      <c r="R2" s="183"/>
      <c r="S2" s="183"/>
      <c r="T2" s="157"/>
      <c r="U2" s="157"/>
      <c r="V2" s="157"/>
      <c r="W2" s="183" t="s">
        <v>160</v>
      </c>
      <c r="X2" s="183"/>
      <c r="Y2" s="183"/>
      <c r="Z2" s="183"/>
      <c r="AA2" s="183"/>
      <c r="AB2" s="183"/>
      <c r="AC2" s="183"/>
      <c r="AD2" s="183"/>
    </row>
    <row r="3" spans="1:30" x14ac:dyDescent="0.3">
      <c r="A3" s="158" t="s">
        <v>120</v>
      </c>
      <c r="B3" s="158" t="s">
        <v>156</v>
      </c>
      <c r="C3" s="158">
        <v>2019</v>
      </c>
      <c r="D3" s="158">
        <v>2020</v>
      </c>
      <c r="E3" s="158">
        <v>2021</v>
      </c>
      <c r="F3" s="158">
        <v>2022</v>
      </c>
      <c r="G3" s="158">
        <v>2023</v>
      </c>
      <c r="H3" s="158">
        <v>2024</v>
      </c>
      <c r="I3" s="157"/>
      <c r="J3" s="157"/>
      <c r="K3" s="157"/>
      <c r="L3" s="158" t="s">
        <v>120</v>
      </c>
      <c r="M3" s="158" t="s">
        <v>156</v>
      </c>
      <c r="N3" s="158">
        <v>2019</v>
      </c>
      <c r="O3" s="158">
        <v>2020</v>
      </c>
      <c r="P3" s="158">
        <v>2021</v>
      </c>
      <c r="Q3" s="158">
        <v>2022</v>
      </c>
      <c r="R3" s="158">
        <v>2023</v>
      </c>
      <c r="S3" s="158">
        <v>2024</v>
      </c>
      <c r="T3" s="157"/>
      <c r="U3" s="157"/>
      <c r="V3" s="157"/>
      <c r="W3" s="158" t="s">
        <v>120</v>
      </c>
      <c r="X3" s="158" t="s">
        <v>156</v>
      </c>
      <c r="Y3" s="158">
        <v>2019</v>
      </c>
      <c r="Z3" s="158">
        <v>2020</v>
      </c>
      <c r="AA3" s="158">
        <v>2021</v>
      </c>
      <c r="AB3" s="158">
        <v>2022</v>
      </c>
      <c r="AC3" s="158">
        <v>2023</v>
      </c>
      <c r="AD3" s="158">
        <v>2024</v>
      </c>
    </row>
    <row r="4" spans="1:30" x14ac:dyDescent="0.3">
      <c r="A4" s="184" t="s">
        <v>4</v>
      </c>
      <c r="B4" s="157" t="s">
        <v>144</v>
      </c>
      <c r="C4" s="159">
        <v>8418</v>
      </c>
      <c r="D4" s="159">
        <v>9347</v>
      </c>
      <c r="E4" s="159">
        <v>10659</v>
      </c>
      <c r="F4" s="159">
        <v>10046</v>
      </c>
      <c r="G4" s="159">
        <v>12157</v>
      </c>
      <c r="H4" s="159">
        <v>13274</v>
      </c>
      <c r="I4" s="157"/>
      <c r="J4" s="157"/>
      <c r="K4" s="157"/>
      <c r="L4" s="184" t="s">
        <v>4</v>
      </c>
      <c r="M4" s="157" t="s">
        <v>144</v>
      </c>
      <c r="N4" s="159">
        <v>14748</v>
      </c>
      <c r="O4" s="159">
        <v>17157</v>
      </c>
      <c r="P4" s="159">
        <v>20359</v>
      </c>
      <c r="Q4" s="159">
        <v>18645</v>
      </c>
      <c r="R4" s="159">
        <v>23854</v>
      </c>
      <c r="S4" s="159">
        <v>25802</v>
      </c>
      <c r="T4" s="157"/>
      <c r="U4" s="157"/>
      <c r="V4" s="157"/>
      <c r="W4" s="184" t="s">
        <v>4</v>
      </c>
      <c r="X4" s="157" t="s">
        <v>144</v>
      </c>
      <c r="Y4" s="159">
        <v>36369</v>
      </c>
      <c r="Z4" s="159">
        <v>41739</v>
      </c>
      <c r="AA4" s="159">
        <v>48567</v>
      </c>
      <c r="AB4" s="159">
        <v>44137</v>
      </c>
      <c r="AC4" s="159">
        <v>53811</v>
      </c>
      <c r="AD4" s="159">
        <v>58004</v>
      </c>
    </row>
    <row r="5" spans="1:30" x14ac:dyDescent="0.3">
      <c r="A5" s="184"/>
      <c r="B5" s="157" t="s">
        <v>145</v>
      </c>
      <c r="C5" s="159">
        <v>8324</v>
      </c>
      <c r="D5" s="159">
        <v>10048</v>
      </c>
      <c r="E5" s="159">
        <v>10709</v>
      </c>
      <c r="F5" s="159">
        <v>10435</v>
      </c>
      <c r="G5" s="159">
        <v>12551</v>
      </c>
      <c r="H5" s="159">
        <v>13850</v>
      </c>
      <c r="I5" s="157"/>
      <c r="J5" s="157"/>
      <c r="K5" s="157"/>
      <c r="L5" s="184"/>
      <c r="M5" s="157" t="s">
        <v>145</v>
      </c>
      <c r="N5" s="159">
        <v>14553</v>
      </c>
      <c r="O5" s="159">
        <v>18581</v>
      </c>
      <c r="P5" s="159">
        <v>20334</v>
      </c>
      <c r="Q5" s="159">
        <v>19277</v>
      </c>
      <c r="R5" s="159">
        <v>24544</v>
      </c>
      <c r="S5" s="159">
        <v>27337</v>
      </c>
      <c r="T5" s="157"/>
      <c r="U5" s="157"/>
      <c r="V5" s="157"/>
      <c r="W5" s="184"/>
      <c r="X5" s="157" t="s">
        <v>145</v>
      </c>
      <c r="Y5" s="159">
        <v>35942</v>
      </c>
      <c r="Z5" s="159">
        <v>45066</v>
      </c>
      <c r="AA5" s="159">
        <v>48631</v>
      </c>
      <c r="AB5" s="159">
        <v>45639</v>
      </c>
      <c r="AC5" s="159">
        <v>55398</v>
      </c>
      <c r="AD5" s="159">
        <v>61225</v>
      </c>
    </row>
    <row r="6" spans="1:30" x14ac:dyDescent="0.3">
      <c r="A6" s="184"/>
      <c r="B6" s="157" t="s">
        <v>146</v>
      </c>
      <c r="C6" s="159">
        <v>8602</v>
      </c>
      <c r="D6" s="159">
        <v>10176</v>
      </c>
      <c r="E6" s="159">
        <v>10964</v>
      </c>
      <c r="F6" s="159">
        <v>10915</v>
      </c>
      <c r="G6" s="159">
        <v>12985</v>
      </c>
      <c r="H6" s="159">
        <v>14323</v>
      </c>
      <c r="I6" s="157"/>
      <c r="J6" s="157"/>
      <c r="K6" s="157"/>
      <c r="L6" s="184"/>
      <c r="M6" s="157" t="s">
        <v>146</v>
      </c>
      <c r="N6" s="159">
        <v>15032</v>
      </c>
      <c r="O6" s="159">
        <v>18731</v>
      </c>
      <c r="P6" s="159">
        <v>20590</v>
      </c>
      <c r="Q6" s="159">
        <v>19855</v>
      </c>
      <c r="R6" s="159">
        <v>25220</v>
      </c>
      <c r="S6" s="159">
        <v>28097</v>
      </c>
      <c r="T6" s="157"/>
      <c r="U6" s="157"/>
      <c r="V6" s="157"/>
      <c r="W6" s="184"/>
      <c r="X6" s="157" t="s">
        <v>146</v>
      </c>
      <c r="Y6" s="159">
        <v>37178</v>
      </c>
      <c r="Z6" s="159">
        <v>45487</v>
      </c>
      <c r="AA6" s="159">
        <v>49367</v>
      </c>
      <c r="AB6" s="159">
        <v>47097</v>
      </c>
      <c r="AC6" s="159">
        <v>56934</v>
      </c>
      <c r="AD6" s="159">
        <v>62788</v>
      </c>
    </row>
    <row r="7" spans="1:30" x14ac:dyDescent="0.3">
      <c r="A7" s="184"/>
      <c r="B7" s="157" t="s">
        <v>147</v>
      </c>
      <c r="C7" s="159">
        <v>8816</v>
      </c>
      <c r="D7" s="159">
        <v>10085</v>
      </c>
      <c r="E7" s="159">
        <v>11123</v>
      </c>
      <c r="F7" s="159">
        <v>11460</v>
      </c>
      <c r="G7" s="159">
        <v>13480</v>
      </c>
      <c r="H7" s="159">
        <v>14824</v>
      </c>
      <c r="I7" s="157"/>
      <c r="J7" s="157"/>
      <c r="K7" s="157"/>
      <c r="L7" s="184"/>
      <c r="M7" s="157" t="s">
        <v>147</v>
      </c>
      <c r="N7" s="159">
        <v>15499</v>
      </c>
      <c r="O7" s="159">
        <v>18432</v>
      </c>
      <c r="P7" s="159">
        <v>20634</v>
      </c>
      <c r="Q7" s="159">
        <v>20560</v>
      </c>
      <c r="R7" s="159">
        <v>25911</v>
      </c>
      <c r="S7" s="159">
        <v>28920</v>
      </c>
      <c r="T7" s="157"/>
      <c r="U7" s="157"/>
      <c r="V7" s="157"/>
      <c r="W7" s="184"/>
      <c r="X7" s="157" t="s">
        <v>147</v>
      </c>
      <c r="Y7" s="159">
        <v>38266</v>
      </c>
      <c r="Z7" s="159">
        <v>44780</v>
      </c>
      <c r="AA7" s="159">
        <v>49584</v>
      </c>
      <c r="AB7" s="159">
        <v>49014</v>
      </c>
      <c r="AC7" s="159">
        <v>58483</v>
      </c>
      <c r="AD7" s="159">
        <v>64561</v>
      </c>
    </row>
    <row r="8" spans="1:30" x14ac:dyDescent="0.3">
      <c r="A8" s="184"/>
      <c r="B8" s="157" t="s">
        <v>148</v>
      </c>
      <c r="C8" s="159">
        <v>9228</v>
      </c>
      <c r="D8" s="159">
        <v>10378</v>
      </c>
      <c r="E8" s="159">
        <v>11247</v>
      </c>
      <c r="F8" s="159">
        <v>11733</v>
      </c>
      <c r="G8" s="159">
        <v>13983</v>
      </c>
      <c r="H8" s="159">
        <v>15200</v>
      </c>
      <c r="I8" s="157"/>
      <c r="J8" s="157"/>
      <c r="K8" s="157"/>
      <c r="L8" s="184"/>
      <c r="M8" s="157" t="s">
        <v>148</v>
      </c>
      <c r="N8" s="159">
        <v>16314</v>
      </c>
      <c r="O8" s="159">
        <v>18934</v>
      </c>
      <c r="P8" s="159">
        <v>20713</v>
      </c>
      <c r="Q8" s="159">
        <v>21104</v>
      </c>
      <c r="R8" s="159">
        <v>26867</v>
      </c>
      <c r="S8" s="159">
        <v>29626</v>
      </c>
      <c r="T8" s="157"/>
      <c r="U8" s="157"/>
      <c r="V8" s="157"/>
      <c r="W8" s="184"/>
      <c r="X8" s="157" t="s">
        <v>148</v>
      </c>
      <c r="Y8" s="159">
        <v>39878</v>
      </c>
      <c r="Z8" s="159">
        <v>45825</v>
      </c>
      <c r="AA8" s="159">
        <v>49730</v>
      </c>
      <c r="AB8" s="159">
        <v>50048</v>
      </c>
      <c r="AC8" s="159">
        <v>60629</v>
      </c>
      <c r="AD8" s="159">
        <v>66130</v>
      </c>
    </row>
    <row r="9" spans="1:30" x14ac:dyDescent="0.3">
      <c r="A9" s="184"/>
      <c r="B9" s="157" t="s">
        <v>149</v>
      </c>
      <c r="C9" s="159">
        <v>9558</v>
      </c>
      <c r="D9" s="159">
        <v>10815</v>
      </c>
      <c r="E9" s="159">
        <v>11643</v>
      </c>
      <c r="F9" s="159">
        <v>12603</v>
      </c>
      <c r="G9" s="159">
        <v>14423</v>
      </c>
      <c r="H9" s="159">
        <v>15507</v>
      </c>
      <c r="I9" s="157"/>
      <c r="J9" s="157"/>
      <c r="K9" s="157"/>
      <c r="L9" s="184"/>
      <c r="M9" s="157" t="s">
        <v>149</v>
      </c>
      <c r="N9" s="159">
        <v>16765</v>
      </c>
      <c r="O9" s="159">
        <v>19780</v>
      </c>
      <c r="P9" s="159">
        <v>21504</v>
      </c>
      <c r="Q9" s="159">
        <v>22474</v>
      </c>
      <c r="R9" s="159">
        <v>27890</v>
      </c>
      <c r="S9" s="159">
        <v>30128</v>
      </c>
      <c r="T9" s="157"/>
      <c r="U9" s="157"/>
      <c r="V9" s="157"/>
      <c r="W9" s="184"/>
      <c r="X9" s="157" t="s">
        <v>149</v>
      </c>
      <c r="Y9" s="159">
        <v>41125</v>
      </c>
      <c r="Z9" s="159">
        <v>47842</v>
      </c>
      <c r="AA9" s="159">
        <v>51291</v>
      </c>
      <c r="AB9" s="159">
        <v>53104</v>
      </c>
      <c r="AC9" s="159">
        <v>62498</v>
      </c>
      <c r="AD9" s="159">
        <v>67272</v>
      </c>
    </row>
    <row r="10" spans="1:30" x14ac:dyDescent="0.3">
      <c r="A10" s="184"/>
      <c r="B10" s="157" t="s">
        <v>150</v>
      </c>
      <c r="C10" s="159">
        <v>10120</v>
      </c>
      <c r="D10" s="159">
        <v>11172</v>
      </c>
      <c r="E10" s="159">
        <v>11851</v>
      </c>
      <c r="F10" s="159">
        <v>12945</v>
      </c>
      <c r="G10" s="159">
        <v>14945</v>
      </c>
      <c r="H10" s="159">
        <v>15867</v>
      </c>
      <c r="I10" s="157"/>
      <c r="J10" s="157"/>
      <c r="K10" s="157"/>
      <c r="L10" s="184"/>
      <c r="M10" s="157" t="s">
        <v>150</v>
      </c>
      <c r="N10" s="159">
        <v>17846</v>
      </c>
      <c r="O10" s="159">
        <v>20484</v>
      </c>
      <c r="P10" s="159">
        <v>21683</v>
      </c>
      <c r="Q10" s="159">
        <v>23763</v>
      </c>
      <c r="R10" s="159">
        <v>28834</v>
      </c>
      <c r="S10" s="159">
        <v>30834</v>
      </c>
      <c r="T10" s="157"/>
      <c r="U10" s="157"/>
      <c r="V10" s="157"/>
      <c r="W10" s="184"/>
      <c r="X10" s="157" t="s">
        <v>150</v>
      </c>
      <c r="Y10" s="159">
        <v>43849</v>
      </c>
      <c r="Z10" s="159">
        <v>49538</v>
      </c>
      <c r="AA10" s="159">
        <v>51826</v>
      </c>
      <c r="AB10" s="159">
        <v>54787</v>
      </c>
      <c r="AC10" s="159">
        <v>64653</v>
      </c>
      <c r="AD10" s="159">
        <v>68767</v>
      </c>
    </row>
    <row r="11" spans="1:30" x14ac:dyDescent="0.3">
      <c r="A11" s="184"/>
      <c r="B11" s="157" t="s">
        <v>151</v>
      </c>
      <c r="C11" s="159">
        <v>10010</v>
      </c>
      <c r="D11" s="159">
        <v>10982</v>
      </c>
      <c r="E11" s="159">
        <v>11727</v>
      </c>
      <c r="F11" s="159">
        <v>12736</v>
      </c>
      <c r="G11" s="159">
        <v>14425</v>
      </c>
      <c r="H11" s="159">
        <v>15911</v>
      </c>
      <c r="I11" s="157"/>
      <c r="J11" s="157"/>
      <c r="K11" s="157"/>
      <c r="L11" s="184"/>
      <c r="M11" s="157" t="s">
        <v>151</v>
      </c>
      <c r="N11" s="159">
        <v>17750</v>
      </c>
      <c r="O11" s="159">
        <v>19943</v>
      </c>
      <c r="P11" s="159">
        <v>21396</v>
      </c>
      <c r="Q11" s="159">
        <v>23920</v>
      </c>
      <c r="R11" s="159">
        <v>27881</v>
      </c>
      <c r="S11" s="159">
        <v>30823</v>
      </c>
      <c r="T11" s="157"/>
      <c r="U11" s="157"/>
      <c r="V11" s="157"/>
      <c r="W11" s="184"/>
      <c r="X11" s="157" t="s">
        <v>151</v>
      </c>
      <c r="Y11" s="159">
        <v>43629</v>
      </c>
      <c r="Z11" s="159">
        <v>48228</v>
      </c>
      <c r="AA11" s="159">
        <v>51247</v>
      </c>
      <c r="AB11" s="159">
        <v>54033</v>
      </c>
      <c r="AC11" s="159">
        <v>62535</v>
      </c>
      <c r="AD11" s="159">
        <v>68764</v>
      </c>
    </row>
    <row r="12" spans="1:30" x14ac:dyDescent="0.3">
      <c r="A12" s="184"/>
      <c r="B12" s="157" t="s">
        <v>152</v>
      </c>
      <c r="C12" s="159">
        <v>9982</v>
      </c>
      <c r="D12" s="159">
        <v>11270</v>
      </c>
      <c r="E12" s="159">
        <v>11302</v>
      </c>
      <c r="F12" s="159">
        <v>12488</v>
      </c>
      <c r="G12" s="159">
        <v>14390</v>
      </c>
      <c r="H12" s="159">
        <v>15769</v>
      </c>
      <c r="I12" s="157"/>
      <c r="J12" s="157"/>
      <c r="K12" s="157"/>
      <c r="L12" s="184"/>
      <c r="M12" s="157" t="s">
        <v>152</v>
      </c>
      <c r="N12" s="159">
        <v>17817</v>
      </c>
      <c r="O12" s="159">
        <v>21068</v>
      </c>
      <c r="P12" s="159">
        <v>20322</v>
      </c>
      <c r="Q12" s="159">
        <v>23550</v>
      </c>
      <c r="R12" s="159">
        <v>27817</v>
      </c>
      <c r="S12" s="159">
        <v>30468</v>
      </c>
      <c r="T12" s="157"/>
      <c r="U12" s="157"/>
      <c r="V12" s="157"/>
      <c r="W12" s="184"/>
      <c r="X12" s="157" t="s">
        <v>152</v>
      </c>
      <c r="Y12" s="159">
        <v>43790</v>
      </c>
      <c r="Z12" s="159">
        <v>50495</v>
      </c>
      <c r="AA12" s="159">
        <v>48691</v>
      </c>
      <c r="AB12" s="159">
        <v>53097</v>
      </c>
      <c r="AC12" s="159">
        <v>62235</v>
      </c>
      <c r="AD12" s="159">
        <v>68147</v>
      </c>
    </row>
    <row r="13" spans="1:30" x14ac:dyDescent="0.3">
      <c r="A13" s="184"/>
      <c r="B13" s="157" t="s">
        <v>153</v>
      </c>
      <c r="C13" s="159">
        <v>9694</v>
      </c>
      <c r="D13" s="159">
        <v>10717</v>
      </c>
      <c r="E13" s="159">
        <v>10864</v>
      </c>
      <c r="F13" s="159">
        <v>12264</v>
      </c>
      <c r="G13" s="159">
        <v>13960</v>
      </c>
      <c r="H13" s="159">
        <v>15343</v>
      </c>
      <c r="I13" s="157"/>
      <c r="J13" s="157"/>
      <c r="K13" s="157"/>
      <c r="L13" s="184"/>
      <c r="M13" s="157" t="s">
        <v>153</v>
      </c>
      <c r="N13" s="159">
        <v>17530</v>
      </c>
      <c r="O13" s="159">
        <v>19990</v>
      </c>
      <c r="P13" s="159">
        <v>19826</v>
      </c>
      <c r="Q13" s="159">
        <v>23234</v>
      </c>
      <c r="R13" s="159">
        <v>27108</v>
      </c>
      <c r="S13" s="159">
        <v>29718</v>
      </c>
      <c r="T13" s="157"/>
      <c r="U13" s="157"/>
      <c r="V13" s="157"/>
      <c r="W13" s="184"/>
      <c r="X13" s="157" t="s">
        <v>153</v>
      </c>
      <c r="Y13" s="159">
        <v>42741</v>
      </c>
      <c r="Z13" s="159">
        <v>48239</v>
      </c>
      <c r="AA13" s="159">
        <v>47147</v>
      </c>
      <c r="AB13" s="159">
        <v>52282</v>
      </c>
      <c r="AC13" s="159">
        <v>60577</v>
      </c>
      <c r="AD13" s="159">
        <v>66363</v>
      </c>
    </row>
    <row r="14" spans="1:30" x14ac:dyDescent="0.3">
      <c r="A14" s="184"/>
      <c r="B14" s="157" t="s">
        <v>154</v>
      </c>
      <c r="C14" s="159">
        <v>9052</v>
      </c>
      <c r="D14" s="159">
        <v>10042</v>
      </c>
      <c r="E14" s="159">
        <v>10072</v>
      </c>
      <c r="F14" s="159">
        <v>11217</v>
      </c>
      <c r="G14" s="159">
        <v>12994</v>
      </c>
      <c r="H14" s="159">
        <v>14094</v>
      </c>
      <c r="I14" s="157"/>
      <c r="J14" s="157"/>
      <c r="K14" s="157"/>
      <c r="L14" s="184"/>
      <c r="M14" s="157" t="s">
        <v>154</v>
      </c>
      <c r="N14" s="159">
        <v>16502</v>
      </c>
      <c r="O14" s="159">
        <v>18796</v>
      </c>
      <c r="P14" s="159">
        <v>18586</v>
      </c>
      <c r="Q14" s="159">
        <v>21601</v>
      </c>
      <c r="R14" s="159">
        <v>25587</v>
      </c>
      <c r="S14" s="159">
        <v>27761</v>
      </c>
      <c r="T14" s="157"/>
      <c r="U14" s="157"/>
      <c r="V14" s="157"/>
      <c r="W14" s="184"/>
      <c r="X14" s="157" t="s">
        <v>154</v>
      </c>
      <c r="Y14" s="159">
        <v>40488</v>
      </c>
      <c r="Z14" s="159">
        <v>44930</v>
      </c>
      <c r="AA14" s="159">
        <v>44062</v>
      </c>
      <c r="AB14" s="159">
        <v>48972</v>
      </c>
      <c r="AC14" s="159">
        <v>57300</v>
      </c>
      <c r="AD14" s="159">
        <v>62263</v>
      </c>
    </row>
    <row r="15" spans="1:30" x14ac:dyDescent="0.3">
      <c r="A15" s="184"/>
      <c r="B15" s="157" t="s">
        <v>155</v>
      </c>
      <c r="C15" s="159">
        <v>9002</v>
      </c>
      <c r="D15" s="159">
        <v>10128</v>
      </c>
      <c r="E15" s="159">
        <v>9496</v>
      </c>
      <c r="F15" s="159">
        <v>11687</v>
      </c>
      <c r="G15" s="159">
        <v>12787</v>
      </c>
      <c r="H15" s="159">
        <v>13597</v>
      </c>
      <c r="I15" s="157"/>
      <c r="J15" s="157"/>
      <c r="K15" s="157"/>
      <c r="L15" s="184"/>
      <c r="M15" s="157" t="s">
        <v>155</v>
      </c>
      <c r="N15" s="159">
        <v>16586</v>
      </c>
      <c r="O15" s="159">
        <v>19307</v>
      </c>
      <c r="P15" s="159">
        <v>17728</v>
      </c>
      <c r="Q15" s="159">
        <v>22828</v>
      </c>
      <c r="R15" s="159">
        <v>24939</v>
      </c>
      <c r="S15" s="159">
        <v>26789</v>
      </c>
      <c r="T15" s="157"/>
      <c r="U15" s="157"/>
      <c r="V15" s="157"/>
      <c r="W15" s="184"/>
      <c r="X15" s="157" t="s">
        <v>155</v>
      </c>
      <c r="Y15" s="159">
        <v>40367</v>
      </c>
      <c r="Z15" s="159">
        <v>46100</v>
      </c>
      <c r="AA15" s="159">
        <v>42036</v>
      </c>
      <c r="AB15" s="159">
        <v>51935</v>
      </c>
      <c r="AC15" s="159">
        <v>56141</v>
      </c>
      <c r="AD15" s="159">
        <v>60195</v>
      </c>
    </row>
    <row r="16" spans="1:30" x14ac:dyDescent="0.3">
      <c r="A16" s="185" t="s">
        <v>5</v>
      </c>
      <c r="B16" s="160" t="s">
        <v>144</v>
      </c>
      <c r="C16" s="161">
        <v>4176</v>
      </c>
      <c r="D16" s="161">
        <v>4319</v>
      </c>
      <c r="E16" s="161">
        <v>4566</v>
      </c>
      <c r="F16" s="161">
        <v>4527</v>
      </c>
      <c r="G16" s="161">
        <v>5040</v>
      </c>
      <c r="H16" s="161">
        <v>5263</v>
      </c>
      <c r="I16" s="157"/>
      <c r="J16" s="157"/>
      <c r="K16" s="157"/>
      <c r="L16" s="185" t="s">
        <v>5</v>
      </c>
      <c r="M16" s="160" t="s">
        <v>144</v>
      </c>
      <c r="N16" s="161">
        <v>7255</v>
      </c>
      <c r="O16" s="161">
        <v>7921</v>
      </c>
      <c r="P16" s="161">
        <v>8662</v>
      </c>
      <c r="Q16" s="161">
        <v>8231</v>
      </c>
      <c r="R16" s="161">
        <v>9704</v>
      </c>
      <c r="S16" s="161">
        <v>10094</v>
      </c>
      <c r="T16" s="157"/>
      <c r="U16" s="157"/>
      <c r="V16" s="157"/>
      <c r="W16" s="185" t="s">
        <v>5</v>
      </c>
      <c r="X16" s="160" t="s">
        <v>144</v>
      </c>
      <c r="Y16" s="161">
        <v>18550</v>
      </c>
      <c r="Z16" s="161">
        <v>19583</v>
      </c>
      <c r="AA16" s="161">
        <v>21000</v>
      </c>
      <c r="AB16" s="161">
        <v>19947</v>
      </c>
      <c r="AC16" s="161">
        <v>22163</v>
      </c>
      <c r="AD16" s="161">
        <v>22963</v>
      </c>
    </row>
    <row r="17" spans="1:30" x14ac:dyDescent="0.3">
      <c r="A17" s="185"/>
      <c r="B17" s="160" t="s">
        <v>145</v>
      </c>
      <c r="C17" s="161">
        <v>4064</v>
      </c>
      <c r="D17" s="161">
        <v>4485</v>
      </c>
      <c r="E17" s="161">
        <v>4560</v>
      </c>
      <c r="F17" s="161">
        <v>4675</v>
      </c>
      <c r="G17" s="161">
        <v>5206</v>
      </c>
      <c r="H17" s="161">
        <v>5582</v>
      </c>
      <c r="I17" s="157"/>
      <c r="J17" s="157"/>
      <c r="K17" s="157"/>
      <c r="L17" s="185"/>
      <c r="M17" s="160" t="s">
        <v>145</v>
      </c>
      <c r="N17" s="161">
        <v>6993</v>
      </c>
      <c r="O17" s="161">
        <v>8182</v>
      </c>
      <c r="P17" s="161">
        <v>8454</v>
      </c>
      <c r="Q17" s="161">
        <v>8493</v>
      </c>
      <c r="R17" s="161">
        <v>10001</v>
      </c>
      <c r="S17" s="161">
        <v>10815</v>
      </c>
      <c r="T17" s="157"/>
      <c r="U17" s="157"/>
      <c r="V17" s="157"/>
      <c r="W17" s="185"/>
      <c r="X17" s="160" t="s">
        <v>145</v>
      </c>
      <c r="Y17" s="161">
        <v>17768</v>
      </c>
      <c r="Z17" s="161">
        <v>20301</v>
      </c>
      <c r="AA17" s="161">
        <v>20672</v>
      </c>
      <c r="AB17" s="161">
        <v>20542</v>
      </c>
      <c r="AC17" s="161">
        <v>22792</v>
      </c>
      <c r="AD17" s="161">
        <v>24448</v>
      </c>
    </row>
    <row r="18" spans="1:30" x14ac:dyDescent="0.3">
      <c r="A18" s="185"/>
      <c r="B18" s="160" t="s">
        <v>146</v>
      </c>
      <c r="C18" s="161">
        <v>4215</v>
      </c>
      <c r="D18" s="161">
        <v>4537</v>
      </c>
      <c r="E18" s="161">
        <v>4728</v>
      </c>
      <c r="F18" s="161">
        <v>4798</v>
      </c>
      <c r="G18" s="161">
        <v>5400</v>
      </c>
      <c r="H18" s="161">
        <v>5798</v>
      </c>
      <c r="I18" s="157"/>
      <c r="J18" s="157"/>
      <c r="K18" s="157"/>
      <c r="L18" s="185"/>
      <c r="M18" s="160" t="s">
        <v>146</v>
      </c>
      <c r="N18" s="161">
        <v>7256</v>
      </c>
      <c r="O18" s="161">
        <v>8135</v>
      </c>
      <c r="P18" s="161">
        <v>8605</v>
      </c>
      <c r="Q18" s="161">
        <v>8572</v>
      </c>
      <c r="R18" s="161">
        <v>10366</v>
      </c>
      <c r="S18" s="161">
        <v>11156</v>
      </c>
      <c r="T18" s="157"/>
      <c r="U18" s="157"/>
      <c r="V18" s="157"/>
      <c r="W18" s="185"/>
      <c r="X18" s="160" t="s">
        <v>146</v>
      </c>
      <c r="Y18" s="161">
        <v>18529</v>
      </c>
      <c r="Z18" s="161">
        <v>20380</v>
      </c>
      <c r="AA18" s="161">
        <v>21319</v>
      </c>
      <c r="AB18" s="161">
        <v>20750</v>
      </c>
      <c r="AC18" s="161">
        <v>23620</v>
      </c>
      <c r="AD18" s="161">
        <v>25219</v>
      </c>
    </row>
    <row r="19" spans="1:30" x14ac:dyDescent="0.3">
      <c r="A19" s="185"/>
      <c r="B19" s="160" t="s">
        <v>147</v>
      </c>
      <c r="C19" s="161">
        <v>4173</v>
      </c>
      <c r="D19" s="161">
        <v>4523</v>
      </c>
      <c r="E19" s="161">
        <v>4818</v>
      </c>
      <c r="F19" s="161">
        <v>4976</v>
      </c>
      <c r="G19" s="161">
        <v>5529</v>
      </c>
      <c r="H19" s="161">
        <v>6005</v>
      </c>
      <c r="I19" s="157"/>
      <c r="J19" s="157"/>
      <c r="K19" s="157"/>
      <c r="L19" s="185"/>
      <c r="M19" s="160" t="s">
        <v>147</v>
      </c>
      <c r="N19" s="161">
        <v>7349</v>
      </c>
      <c r="O19" s="161">
        <v>8087</v>
      </c>
      <c r="P19" s="161">
        <v>8684</v>
      </c>
      <c r="Q19" s="161">
        <v>8777</v>
      </c>
      <c r="R19" s="161">
        <v>10465</v>
      </c>
      <c r="S19" s="161">
        <v>11487</v>
      </c>
      <c r="T19" s="157"/>
      <c r="U19" s="157"/>
      <c r="V19" s="157"/>
      <c r="W19" s="185"/>
      <c r="X19" s="160" t="s">
        <v>147</v>
      </c>
      <c r="Y19" s="161">
        <v>18644</v>
      </c>
      <c r="Z19" s="161">
        <v>20250</v>
      </c>
      <c r="AA19" s="161">
        <v>21615</v>
      </c>
      <c r="AB19" s="161">
        <v>21261</v>
      </c>
      <c r="AC19" s="161">
        <v>23913</v>
      </c>
      <c r="AD19" s="161">
        <v>25981</v>
      </c>
    </row>
    <row r="20" spans="1:30" x14ac:dyDescent="0.3">
      <c r="A20" s="185"/>
      <c r="B20" s="160" t="s">
        <v>148</v>
      </c>
      <c r="C20" s="161">
        <v>4247</v>
      </c>
      <c r="D20" s="161">
        <v>4535</v>
      </c>
      <c r="E20" s="161">
        <v>4760</v>
      </c>
      <c r="F20" s="161">
        <v>5097</v>
      </c>
      <c r="G20" s="161">
        <v>5689</v>
      </c>
      <c r="H20" s="161">
        <v>6161</v>
      </c>
      <c r="I20" s="157"/>
      <c r="J20" s="157"/>
      <c r="K20" s="157"/>
      <c r="L20" s="185"/>
      <c r="M20" s="160" t="s">
        <v>148</v>
      </c>
      <c r="N20" s="161">
        <v>7681</v>
      </c>
      <c r="O20" s="161">
        <v>8139</v>
      </c>
      <c r="P20" s="161">
        <v>8611</v>
      </c>
      <c r="Q20" s="161">
        <v>9070</v>
      </c>
      <c r="R20" s="161">
        <v>10777</v>
      </c>
      <c r="S20" s="161">
        <v>11769</v>
      </c>
      <c r="T20" s="157"/>
      <c r="U20" s="157"/>
      <c r="V20" s="157"/>
      <c r="W20" s="185"/>
      <c r="X20" s="160" t="s">
        <v>148</v>
      </c>
      <c r="Y20" s="161">
        <v>19001</v>
      </c>
      <c r="Z20" s="161">
        <v>20340</v>
      </c>
      <c r="AA20" s="161">
        <v>21209</v>
      </c>
      <c r="AB20" s="161">
        <v>21910</v>
      </c>
      <c r="AC20" s="161">
        <v>24552</v>
      </c>
      <c r="AD20" s="161">
        <v>26615</v>
      </c>
    </row>
    <row r="21" spans="1:30" x14ac:dyDescent="0.3">
      <c r="A21" s="185"/>
      <c r="B21" s="160" t="s">
        <v>149</v>
      </c>
      <c r="C21" s="161">
        <v>4468</v>
      </c>
      <c r="D21" s="161">
        <v>4689</v>
      </c>
      <c r="E21" s="161">
        <v>4840</v>
      </c>
      <c r="F21" s="161">
        <v>5667</v>
      </c>
      <c r="G21" s="161">
        <v>5864</v>
      </c>
      <c r="H21" s="161">
        <v>6316</v>
      </c>
      <c r="I21" s="157"/>
      <c r="J21" s="157"/>
      <c r="K21" s="157"/>
      <c r="L21" s="185"/>
      <c r="M21" s="160" t="s">
        <v>149</v>
      </c>
      <c r="N21" s="161">
        <v>7931</v>
      </c>
      <c r="O21" s="161">
        <v>8411</v>
      </c>
      <c r="P21" s="161">
        <v>8752</v>
      </c>
      <c r="Q21" s="161">
        <v>9664</v>
      </c>
      <c r="R21" s="161">
        <v>11183</v>
      </c>
      <c r="S21" s="161">
        <v>12083</v>
      </c>
      <c r="T21" s="157"/>
      <c r="U21" s="157"/>
      <c r="V21" s="157"/>
      <c r="W21" s="185"/>
      <c r="X21" s="160" t="s">
        <v>149</v>
      </c>
      <c r="Y21" s="161">
        <v>19882</v>
      </c>
      <c r="Z21" s="161">
        <v>21015</v>
      </c>
      <c r="AA21" s="161">
        <v>21435</v>
      </c>
      <c r="AB21" s="161">
        <v>23284</v>
      </c>
      <c r="AC21" s="161">
        <v>25294</v>
      </c>
      <c r="AD21" s="161">
        <v>27271</v>
      </c>
    </row>
    <row r="22" spans="1:30" x14ac:dyDescent="0.3">
      <c r="A22" s="185"/>
      <c r="B22" s="160" t="s">
        <v>150</v>
      </c>
      <c r="C22" s="161">
        <v>4617</v>
      </c>
      <c r="D22" s="161">
        <v>4658</v>
      </c>
      <c r="E22" s="161">
        <v>4947</v>
      </c>
      <c r="F22" s="161">
        <v>5847</v>
      </c>
      <c r="G22" s="161">
        <v>6135</v>
      </c>
      <c r="H22" s="161">
        <v>6510</v>
      </c>
      <c r="I22" s="157"/>
      <c r="J22" s="157"/>
      <c r="K22" s="157"/>
      <c r="L22" s="185"/>
      <c r="M22" s="160" t="s">
        <v>150</v>
      </c>
      <c r="N22" s="161">
        <v>8187</v>
      </c>
      <c r="O22" s="161">
        <v>8295</v>
      </c>
      <c r="P22" s="161">
        <v>8873</v>
      </c>
      <c r="Q22" s="161">
        <v>11031</v>
      </c>
      <c r="R22" s="161">
        <v>11632</v>
      </c>
      <c r="S22" s="161">
        <v>12446</v>
      </c>
      <c r="T22" s="157"/>
      <c r="U22" s="157"/>
      <c r="V22" s="157"/>
      <c r="W22" s="185"/>
      <c r="X22" s="160" t="s">
        <v>150</v>
      </c>
      <c r="Y22" s="161">
        <v>20543</v>
      </c>
      <c r="Z22" s="161">
        <v>20818</v>
      </c>
      <c r="AA22" s="161">
        <v>21740</v>
      </c>
      <c r="AB22" s="161">
        <v>25626</v>
      </c>
      <c r="AC22" s="161">
        <v>26334</v>
      </c>
      <c r="AD22" s="161">
        <v>28053</v>
      </c>
    </row>
    <row r="23" spans="1:30" x14ac:dyDescent="0.3">
      <c r="A23" s="185"/>
      <c r="B23" s="160" t="s">
        <v>151</v>
      </c>
      <c r="C23" s="161">
        <v>4701</v>
      </c>
      <c r="D23" s="161">
        <v>4707</v>
      </c>
      <c r="E23" s="161">
        <v>4826</v>
      </c>
      <c r="F23" s="161">
        <v>5443</v>
      </c>
      <c r="G23" s="161">
        <v>5906</v>
      </c>
      <c r="H23" s="161">
        <v>6507</v>
      </c>
      <c r="I23" s="157"/>
      <c r="J23" s="157"/>
      <c r="K23" s="157"/>
      <c r="L23" s="185"/>
      <c r="M23" s="160" t="s">
        <v>151</v>
      </c>
      <c r="N23" s="161">
        <v>8351</v>
      </c>
      <c r="O23" s="161">
        <v>8437</v>
      </c>
      <c r="P23" s="161">
        <v>8731</v>
      </c>
      <c r="Q23" s="161">
        <v>10257</v>
      </c>
      <c r="R23" s="161">
        <v>11241</v>
      </c>
      <c r="S23" s="161">
        <v>12450</v>
      </c>
      <c r="T23" s="157"/>
      <c r="U23" s="157"/>
      <c r="V23" s="157"/>
      <c r="W23" s="185"/>
      <c r="X23" s="160" t="s">
        <v>151</v>
      </c>
      <c r="Y23" s="161">
        <v>20983</v>
      </c>
      <c r="Z23" s="161">
        <v>20980</v>
      </c>
      <c r="AA23" s="161">
        <v>21365</v>
      </c>
      <c r="AB23" s="161">
        <v>23547</v>
      </c>
      <c r="AC23" s="161">
        <v>25408</v>
      </c>
      <c r="AD23" s="161">
        <v>28081</v>
      </c>
    </row>
    <row r="24" spans="1:30" x14ac:dyDescent="0.3">
      <c r="A24" s="185"/>
      <c r="B24" s="160" t="s">
        <v>152</v>
      </c>
      <c r="C24" s="161">
        <v>4634</v>
      </c>
      <c r="D24" s="161">
        <v>4874</v>
      </c>
      <c r="E24" s="161">
        <v>4903</v>
      </c>
      <c r="F24" s="161">
        <v>5331</v>
      </c>
      <c r="G24" s="161">
        <v>5852</v>
      </c>
      <c r="H24" s="161">
        <v>6454</v>
      </c>
      <c r="I24" s="157"/>
      <c r="J24" s="157"/>
      <c r="K24" s="157"/>
      <c r="L24" s="185"/>
      <c r="M24" s="160" t="s">
        <v>152</v>
      </c>
      <c r="N24" s="161">
        <v>8293</v>
      </c>
      <c r="O24" s="161">
        <v>8906</v>
      </c>
      <c r="P24" s="161">
        <v>8776</v>
      </c>
      <c r="Q24" s="161">
        <v>10081</v>
      </c>
      <c r="R24" s="161">
        <v>11136</v>
      </c>
      <c r="S24" s="161">
        <v>12330</v>
      </c>
      <c r="T24" s="157"/>
      <c r="U24" s="157"/>
      <c r="V24" s="157"/>
      <c r="W24" s="185"/>
      <c r="X24" s="160" t="s">
        <v>152</v>
      </c>
      <c r="Y24" s="161">
        <v>20744</v>
      </c>
      <c r="Z24" s="161">
        <v>21984</v>
      </c>
      <c r="AA24" s="161">
        <v>21512</v>
      </c>
      <c r="AB24" s="161">
        <v>23072</v>
      </c>
      <c r="AC24" s="161">
        <v>25132</v>
      </c>
      <c r="AD24" s="161">
        <v>27826</v>
      </c>
    </row>
    <row r="25" spans="1:30" x14ac:dyDescent="0.3">
      <c r="A25" s="185"/>
      <c r="B25" s="160" t="s">
        <v>153</v>
      </c>
      <c r="C25" s="161">
        <v>4484</v>
      </c>
      <c r="D25" s="161">
        <v>4536</v>
      </c>
      <c r="E25" s="161">
        <v>4729</v>
      </c>
      <c r="F25" s="161">
        <v>5254</v>
      </c>
      <c r="G25" s="161">
        <v>5596</v>
      </c>
      <c r="H25" s="161">
        <v>6200</v>
      </c>
      <c r="I25" s="157"/>
      <c r="J25" s="157"/>
      <c r="K25" s="157"/>
      <c r="L25" s="185"/>
      <c r="M25" s="160" t="s">
        <v>153</v>
      </c>
      <c r="N25" s="161">
        <v>8130</v>
      </c>
      <c r="O25" s="161">
        <v>8347</v>
      </c>
      <c r="P25" s="161">
        <v>8516</v>
      </c>
      <c r="Q25" s="161">
        <v>9968</v>
      </c>
      <c r="R25" s="161">
        <v>10764</v>
      </c>
      <c r="S25" s="161">
        <v>11903</v>
      </c>
      <c r="T25" s="157"/>
      <c r="U25" s="157"/>
      <c r="V25" s="157"/>
      <c r="W25" s="185"/>
      <c r="X25" s="160" t="s">
        <v>153</v>
      </c>
      <c r="Y25" s="161">
        <v>20178</v>
      </c>
      <c r="Z25" s="161">
        <v>20492</v>
      </c>
      <c r="AA25" s="161">
        <v>20761</v>
      </c>
      <c r="AB25" s="161">
        <v>22756</v>
      </c>
      <c r="AC25" s="161">
        <v>24254</v>
      </c>
      <c r="AD25" s="161">
        <v>26878</v>
      </c>
    </row>
    <row r="26" spans="1:30" x14ac:dyDescent="0.3">
      <c r="A26" s="185"/>
      <c r="B26" s="160" t="s">
        <v>154</v>
      </c>
      <c r="C26" s="161">
        <v>4173</v>
      </c>
      <c r="D26" s="161">
        <v>4279</v>
      </c>
      <c r="E26" s="161">
        <v>4364</v>
      </c>
      <c r="F26" s="161">
        <v>4759</v>
      </c>
      <c r="G26" s="161">
        <v>5082</v>
      </c>
      <c r="H26" s="161">
        <v>5607</v>
      </c>
      <c r="I26" s="157"/>
      <c r="J26" s="157"/>
      <c r="K26" s="157"/>
      <c r="L26" s="185"/>
      <c r="M26" s="160" t="s">
        <v>154</v>
      </c>
      <c r="N26" s="161">
        <v>7782</v>
      </c>
      <c r="O26" s="161">
        <v>7982</v>
      </c>
      <c r="P26" s="161">
        <v>8042</v>
      </c>
      <c r="Q26" s="161">
        <v>9238</v>
      </c>
      <c r="R26" s="161">
        <v>9927</v>
      </c>
      <c r="S26" s="161">
        <v>11059</v>
      </c>
      <c r="T26" s="157"/>
      <c r="U26" s="157"/>
      <c r="V26" s="157"/>
      <c r="W26" s="185"/>
      <c r="X26" s="160" t="s">
        <v>154</v>
      </c>
      <c r="Y26" s="161">
        <v>19175</v>
      </c>
      <c r="Z26" s="161">
        <v>19444</v>
      </c>
      <c r="AA26" s="161">
        <v>19498</v>
      </c>
      <c r="AB26" s="161">
        <v>21241</v>
      </c>
      <c r="AC26" s="161">
        <v>22459</v>
      </c>
      <c r="AD26" s="161">
        <v>24952</v>
      </c>
    </row>
    <row r="27" spans="1:30" x14ac:dyDescent="0.3">
      <c r="A27" s="185"/>
      <c r="B27" s="160" t="s">
        <v>155</v>
      </c>
      <c r="C27" s="161">
        <v>4148</v>
      </c>
      <c r="D27" s="161">
        <v>4295</v>
      </c>
      <c r="E27" s="161">
        <v>4271</v>
      </c>
      <c r="F27" s="161">
        <v>4764</v>
      </c>
      <c r="G27" s="161">
        <v>5057</v>
      </c>
      <c r="H27" s="161">
        <v>5627</v>
      </c>
      <c r="I27" s="157"/>
      <c r="J27" s="157"/>
      <c r="K27" s="157"/>
      <c r="L27" s="185"/>
      <c r="M27" s="160" t="s">
        <v>155</v>
      </c>
      <c r="N27" s="161">
        <v>7736</v>
      </c>
      <c r="O27" s="161">
        <v>8163</v>
      </c>
      <c r="P27" s="161">
        <v>7895</v>
      </c>
      <c r="Q27" s="161">
        <v>9234</v>
      </c>
      <c r="R27" s="161">
        <v>9808</v>
      </c>
      <c r="S27" s="161">
        <v>11043</v>
      </c>
      <c r="T27" s="157"/>
      <c r="U27" s="157"/>
      <c r="V27" s="157"/>
      <c r="W27" s="185"/>
      <c r="X27" s="160" t="s">
        <v>155</v>
      </c>
      <c r="Y27" s="161">
        <v>19057</v>
      </c>
      <c r="Z27" s="161">
        <v>19784</v>
      </c>
      <c r="AA27" s="161">
        <v>19096</v>
      </c>
      <c r="AB27" s="161">
        <v>21229</v>
      </c>
      <c r="AC27" s="161">
        <v>22260</v>
      </c>
      <c r="AD27" s="161">
        <v>24874</v>
      </c>
    </row>
    <row r="28" spans="1:30" x14ac:dyDescent="0.3">
      <c r="A28" s="184" t="s">
        <v>2</v>
      </c>
      <c r="B28" s="157" t="s">
        <v>144</v>
      </c>
      <c r="C28" s="159">
        <v>3656</v>
      </c>
      <c r="D28" s="159">
        <v>3593</v>
      </c>
      <c r="E28" s="159">
        <v>4185</v>
      </c>
      <c r="F28" s="159">
        <v>4128</v>
      </c>
      <c r="G28" s="159">
        <v>4739</v>
      </c>
      <c r="H28" s="159">
        <v>4921</v>
      </c>
      <c r="I28" s="157"/>
      <c r="J28" s="157"/>
      <c r="K28" s="157"/>
      <c r="L28" s="184" t="s">
        <v>2</v>
      </c>
      <c r="M28" s="157" t="s">
        <v>144</v>
      </c>
      <c r="N28" s="159">
        <v>6561</v>
      </c>
      <c r="O28" s="159">
        <v>6794</v>
      </c>
      <c r="P28" s="159">
        <v>8090</v>
      </c>
      <c r="Q28" s="159">
        <v>7870</v>
      </c>
      <c r="R28" s="159">
        <v>9517</v>
      </c>
      <c r="S28" s="159">
        <v>10013</v>
      </c>
      <c r="T28" s="157"/>
      <c r="U28" s="157"/>
      <c r="V28" s="157"/>
      <c r="W28" s="184" t="s">
        <v>2</v>
      </c>
      <c r="X28" s="157" t="s">
        <v>144</v>
      </c>
      <c r="Y28" s="159">
        <v>17451</v>
      </c>
      <c r="Z28" s="159">
        <v>17570</v>
      </c>
      <c r="AA28" s="159">
        <v>20567</v>
      </c>
      <c r="AB28" s="159">
        <v>19873</v>
      </c>
      <c r="AC28" s="159">
        <v>22817</v>
      </c>
      <c r="AD28" s="159">
        <v>23740</v>
      </c>
    </row>
    <row r="29" spans="1:30" x14ac:dyDescent="0.3">
      <c r="A29" s="184"/>
      <c r="B29" s="157" t="s">
        <v>145</v>
      </c>
      <c r="C29" s="159">
        <v>3601</v>
      </c>
      <c r="D29" s="159">
        <v>3728</v>
      </c>
      <c r="E29" s="159">
        <v>4130</v>
      </c>
      <c r="F29" s="159">
        <v>4294</v>
      </c>
      <c r="G29" s="159">
        <v>4849</v>
      </c>
      <c r="H29" s="159">
        <v>5200</v>
      </c>
      <c r="I29" s="157"/>
      <c r="J29" s="157"/>
      <c r="K29" s="157"/>
      <c r="L29" s="184"/>
      <c r="M29" s="157" t="s">
        <v>145</v>
      </c>
      <c r="N29" s="159">
        <v>6370</v>
      </c>
      <c r="O29" s="159">
        <v>7026</v>
      </c>
      <c r="P29" s="159">
        <v>7843</v>
      </c>
      <c r="Q29" s="159">
        <v>8155</v>
      </c>
      <c r="R29" s="159">
        <v>9643</v>
      </c>
      <c r="S29" s="159">
        <v>10595</v>
      </c>
      <c r="T29" s="157"/>
      <c r="U29" s="157"/>
      <c r="V29" s="157"/>
      <c r="W29" s="184"/>
      <c r="X29" s="157" t="s">
        <v>145</v>
      </c>
      <c r="Y29" s="159">
        <v>17028</v>
      </c>
      <c r="Z29" s="159">
        <v>18207</v>
      </c>
      <c r="AA29" s="159">
        <v>20132</v>
      </c>
      <c r="AB29" s="159">
        <v>20630</v>
      </c>
      <c r="AC29" s="159">
        <v>23180</v>
      </c>
      <c r="AD29" s="159">
        <v>25096</v>
      </c>
    </row>
    <row r="30" spans="1:30" x14ac:dyDescent="0.3">
      <c r="A30" s="184"/>
      <c r="B30" s="157" t="s">
        <v>146</v>
      </c>
      <c r="C30" s="159">
        <v>3703</v>
      </c>
      <c r="D30" s="159">
        <v>3780</v>
      </c>
      <c r="E30" s="159">
        <v>4207</v>
      </c>
      <c r="F30" s="159">
        <v>4422</v>
      </c>
      <c r="G30" s="159">
        <v>4958</v>
      </c>
      <c r="H30" s="159">
        <v>5308</v>
      </c>
      <c r="I30" s="157"/>
      <c r="J30" s="157"/>
      <c r="K30" s="157"/>
      <c r="L30" s="184"/>
      <c r="M30" s="157" t="s">
        <v>146</v>
      </c>
      <c r="N30" s="159">
        <v>6488</v>
      </c>
      <c r="O30" s="159">
        <v>7069</v>
      </c>
      <c r="P30" s="159">
        <v>7979</v>
      </c>
      <c r="Q30" s="159">
        <v>8372</v>
      </c>
      <c r="R30" s="159">
        <v>9914</v>
      </c>
      <c r="S30" s="159">
        <v>10746</v>
      </c>
      <c r="T30" s="157"/>
      <c r="U30" s="157"/>
      <c r="V30" s="157"/>
      <c r="W30" s="184"/>
      <c r="X30" s="157" t="s">
        <v>146</v>
      </c>
      <c r="Y30" s="159">
        <v>17440</v>
      </c>
      <c r="Z30" s="159">
        <v>18414</v>
      </c>
      <c r="AA30" s="159">
        <v>20665</v>
      </c>
      <c r="AB30" s="159">
        <v>21102</v>
      </c>
      <c r="AC30" s="159">
        <v>23739</v>
      </c>
      <c r="AD30" s="159">
        <v>25515</v>
      </c>
    </row>
    <row r="31" spans="1:30" x14ac:dyDescent="0.3">
      <c r="A31" s="184"/>
      <c r="B31" s="157" t="s">
        <v>147</v>
      </c>
      <c r="C31" s="159">
        <v>3618</v>
      </c>
      <c r="D31" s="159">
        <v>3848</v>
      </c>
      <c r="E31" s="159">
        <v>4383</v>
      </c>
      <c r="F31" s="159">
        <v>4512</v>
      </c>
      <c r="G31" s="159">
        <v>5031</v>
      </c>
      <c r="H31" s="159">
        <v>5454</v>
      </c>
      <c r="I31" s="157"/>
      <c r="J31" s="157"/>
      <c r="K31" s="157"/>
      <c r="L31" s="184"/>
      <c r="M31" s="157" t="s">
        <v>147</v>
      </c>
      <c r="N31" s="159">
        <v>6513</v>
      </c>
      <c r="O31" s="159">
        <v>7181</v>
      </c>
      <c r="P31" s="159">
        <v>8279</v>
      </c>
      <c r="Q31" s="159">
        <v>8513</v>
      </c>
      <c r="R31" s="159">
        <v>9989</v>
      </c>
      <c r="S31" s="159">
        <v>10987</v>
      </c>
      <c r="T31" s="157"/>
      <c r="U31" s="157"/>
      <c r="V31" s="157"/>
      <c r="W31" s="184"/>
      <c r="X31" s="157" t="s">
        <v>147</v>
      </c>
      <c r="Y31" s="159">
        <v>17266</v>
      </c>
      <c r="Z31" s="159">
        <v>18673</v>
      </c>
      <c r="AA31" s="159">
        <v>21603</v>
      </c>
      <c r="AB31" s="159">
        <v>21391</v>
      </c>
      <c r="AC31" s="159">
        <v>23949</v>
      </c>
      <c r="AD31" s="159">
        <v>26080</v>
      </c>
    </row>
    <row r="32" spans="1:30" x14ac:dyDescent="0.3">
      <c r="A32" s="184"/>
      <c r="B32" s="157" t="s">
        <v>148</v>
      </c>
      <c r="C32" s="159">
        <v>3730</v>
      </c>
      <c r="D32" s="159">
        <v>3852</v>
      </c>
      <c r="E32" s="159">
        <v>4184</v>
      </c>
      <c r="F32" s="159">
        <v>4676</v>
      </c>
      <c r="G32" s="159">
        <v>5134</v>
      </c>
      <c r="H32" s="159">
        <v>5572</v>
      </c>
      <c r="I32" s="157"/>
      <c r="J32" s="157"/>
      <c r="K32" s="157"/>
      <c r="L32" s="184"/>
      <c r="M32" s="157" t="s">
        <v>148</v>
      </c>
      <c r="N32" s="159">
        <v>6754</v>
      </c>
      <c r="O32" s="159">
        <v>7212</v>
      </c>
      <c r="P32" s="159">
        <v>7965</v>
      </c>
      <c r="Q32" s="159">
        <v>8871</v>
      </c>
      <c r="R32" s="159">
        <v>10224</v>
      </c>
      <c r="S32" s="159">
        <v>11204</v>
      </c>
      <c r="T32" s="157"/>
      <c r="U32" s="157"/>
      <c r="V32" s="157"/>
      <c r="W32" s="184"/>
      <c r="X32" s="157" t="s">
        <v>148</v>
      </c>
      <c r="Y32" s="159">
        <v>17756</v>
      </c>
      <c r="Z32" s="159">
        <v>18764</v>
      </c>
      <c r="AA32" s="159">
        <v>20694</v>
      </c>
      <c r="AB32" s="159">
        <v>22228</v>
      </c>
      <c r="AC32" s="159">
        <v>24532</v>
      </c>
      <c r="AD32" s="159">
        <v>26619</v>
      </c>
    </row>
    <row r="33" spans="1:30" x14ac:dyDescent="0.3">
      <c r="A33" s="184"/>
      <c r="B33" s="157" t="s">
        <v>149</v>
      </c>
      <c r="C33" s="159">
        <v>3880</v>
      </c>
      <c r="D33" s="159">
        <v>4094</v>
      </c>
      <c r="E33" s="159">
        <v>4374</v>
      </c>
      <c r="F33" s="159">
        <v>5283</v>
      </c>
      <c r="G33" s="159">
        <v>5278</v>
      </c>
      <c r="H33" s="159">
        <v>5678</v>
      </c>
      <c r="I33" s="157"/>
      <c r="J33" s="157"/>
      <c r="K33" s="157"/>
      <c r="L33" s="184"/>
      <c r="M33" s="157" t="s">
        <v>149</v>
      </c>
      <c r="N33" s="159">
        <v>6867</v>
      </c>
      <c r="O33" s="159">
        <v>7587</v>
      </c>
      <c r="P33" s="159">
        <v>8245</v>
      </c>
      <c r="Q33" s="159">
        <v>9535</v>
      </c>
      <c r="R33" s="159">
        <v>10547</v>
      </c>
      <c r="S33" s="159">
        <v>11459</v>
      </c>
      <c r="T33" s="157"/>
      <c r="U33" s="157"/>
      <c r="V33" s="157"/>
      <c r="W33" s="184"/>
      <c r="X33" s="157" t="s">
        <v>149</v>
      </c>
      <c r="Y33" s="159">
        <v>18284</v>
      </c>
      <c r="Z33" s="159">
        <v>19748</v>
      </c>
      <c r="AA33" s="159">
        <v>21129</v>
      </c>
      <c r="AB33" s="159">
        <v>23753</v>
      </c>
      <c r="AC33" s="159">
        <v>25154</v>
      </c>
      <c r="AD33" s="159">
        <v>27196</v>
      </c>
    </row>
    <row r="34" spans="1:30" x14ac:dyDescent="0.3">
      <c r="A34" s="184"/>
      <c r="B34" s="157" t="s">
        <v>150</v>
      </c>
      <c r="C34" s="159">
        <v>3952</v>
      </c>
      <c r="D34" s="159">
        <v>4132</v>
      </c>
      <c r="E34" s="159">
        <v>4396</v>
      </c>
      <c r="F34" s="159">
        <v>5712</v>
      </c>
      <c r="G34" s="159">
        <v>5591</v>
      </c>
      <c r="H34" s="159">
        <v>5778</v>
      </c>
      <c r="I34" s="157"/>
      <c r="J34" s="157"/>
      <c r="K34" s="157"/>
      <c r="L34" s="184"/>
      <c r="M34" s="157" t="s">
        <v>150</v>
      </c>
      <c r="N34" s="159">
        <v>7029</v>
      </c>
      <c r="O34" s="159">
        <v>7651</v>
      </c>
      <c r="P34" s="159">
        <v>8238</v>
      </c>
      <c r="Q34" s="159">
        <v>11503</v>
      </c>
      <c r="R34" s="159">
        <v>11225</v>
      </c>
      <c r="S34" s="159">
        <v>11676</v>
      </c>
      <c r="T34" s="157"/>
      <c r="U34" s="157"/>
      <c r="V34" s="157"/>
      <c r="W34" s="184"/>
      <c r="X34" s="157" t="s">
        <v>150</v>
      </c>
      <c r="Y34" s="159">
        <v>18735</v>
      </c>
      <c r="Z34" s="159">
        <v>19991</v>
      </c>
      <c r="AA34" s="159">
        <v>21143</v>
      </c>
      <c r="AB34" s="159">
        <v>27664</v>
      </c>
      <c r="AC34" s="159">
        <v>26894</v>
      </c>
      <c r="AD34" s="159">
        <v>27659</v>
      </c>
    </row>
    <row r="35" spans="1:30" x14ac:dyDescent="0.3">
      <c r="A35" s="184"/>
      <c r="B35" s="157" t="s">
        <v>151</v>
      </c>
      <c r="C35" s="159">
        <v>4039</v>
      </c>
      <c r="D35" s="159">
        <v>4164</v>
      </c>
      <c r="E35" s="159">
        <v>4324</v>
      </c>
      <c r="F35" s="159">
        <v>5044</v>
      </c>
      <c r="G35" s="159">
        <v>5410</v>
      </c>
      <c r="H35" s="159">
        <v>5732</v>
      </c>
      <c r="I35" s="157"/>
      <c r="J35" s="157"/>
      <c r="K35" s="157"/>
      <c r="L35" s="184"/>
      <c r="M35" s="157" t="s">
        <v>151</v>
      </c>
      <c r="N35" s="159">
        <v>7214</v>
      </c>
      <c r="O35" s="159">
        <v>7760</v>
      </c>
      <c r="P35" s="159">
        <v>8140</v>
      </c>
      <c r="Q35" s="159">
        <v>9871</v>
      </c>
      <c r="R35" s="159">
        <v>10827</v>
      </c>
      <c r="S35" s="159">
        <v>11594</v>
      </c>
      <c r="T35" s="157"/>
      <c r="U35" s="157"/>
      <c r="V35" s="157"/>
      <c r="W35" s="184"/>
      <c r="X35" s="157" t="s">
        <v>151</v>
      </c>
      <c r="Y35" s="159">
        <v>19207</v>
      </c>
      <c r="Z35" s="159">
        <v>20062</v>
      </c>
      <c r="AA35" s="159">
        <v>20871</v>
      </c>
      <c r="AB35" s="159">
        <v>23841</v>
      </c>
      <c r="AC35" s="159">
        <v>25794</v>
      </c>
      <c r="AD35" s="159">
        <v>27409</v>
      </c>
    </row>
    <row r="36" spans="1:30" x14ac:dyDescent="0.3">
      <c r="A36" s="184"/>
      <c r="B36" s="157" t="s">
        <v>152</v>
      </c>
      <c r="C36" s="159">
        <v>3974</v>
      </c>
      <c r="D36" s="159">
        <v>4219</v>
      </c>
      <c r="E36" s="159">
        <v>4349</v>
      </c>
      <c r="F36" s="159">
        <v>5008</v>
      </c>
      <c r="G36" s="159">
        <v>5358</v>
      </c>
      <c r="H36" s="159">
        <v>5729</v>
      </c>
      <c r="I36" s="157"/>
      <c r="J36" s="157"/>
      <c r="K36" s="157"/>
      <c r="L36" s="184"/>
      <c r="M36" s="157" t="s">
        <v>152</v>
      </c>
      <c r="N36" s="159">
        <v>7196</v>
      </c>
      <c r="O36" s="159">
        <v>7974</v>
      </c>
      <c r="P36" s="159">
        <v>8165</v>
      </c>
      <c r="Q36" s="159">
        <v>9773</v>
      </c>
      <c r="R36" s="159">
        <v>10773</v>
      </c>
      <c r="S36" s="159">
        <v>11473</v>
      </c>
      <c r="T36" s="157"/>
      <c r="U36" s="157"/>
      <c r="V36" s="157"/>
      <c r="W36" s="184"/>
      <c r="X36" s="157" t="s">
        <v>152</v>
      </c>
      <c r="Y36" s="159">
        <v>19037</v>
      </c>
      <c r="Z36" s="159">
        <v>20564</v>
      </c>
      <c r="AA36" s="159">
        <v>20873</v>
      </c>
      <c r="AB36" s="159">
        <v>23622</v>
      </c>
      <c r="AC36" s="159">
        <v>25545</v>
      </c>
      <c r="AD36" s="159">
        <v>27283</v>
      </c>
    </row>
    <row r="37" spans="1:30" x14ac:dyDescent="0.3">
      <c r="A37" s="184"/>
      <c r="B37" s="157" t="s">
        <v>153</v>
      </c>
      <c r="C37" s="159">
        <v>3839</v>
      </c>
      <c r="D37" s="159">
        <v>4011</v>
      </c>
      <c r="E37" s="159">
        <v>4226</v>
      </c>
      <c r="F37" s="159">
        <v>4850</v>
      </c>
      <c r="G37" s="159">
        <v>5123</v>
      </c>
      <c r="H37" s="159">
        <v>5589</v>
      </c>
      <c r="I37" s="157"/>
      <c r="J37" s="157"/>
      <c r="K37" s="157"/>
      <c r="L37" s="184"/>
      <c r="M37" s="157" t="s">
        <v>153</v>
      </c>
      <c r="N37" s="159">
        <v>7025</v>
      </c>
      <c r="O37" s="159">
        <v>7594</v>
      </c>
      <c r="P37" s="159">
        <v>8038</v>
      </c>
      <c r="Q37" s="159">
        <v>9568</v>
      </c>
      <c r="R37" s="159">
        <v>10410</v>
      </c>
      <c r="S37" s="159">
        <v>11279</v>
      </c>
      <c r="T37" s="157"/>
      <c r="U37" s="157"/>
      <c r="V37" s="157"/>
      <c r="W37" s="184"/>
      <c r="X37" s="157" t="s">
        <v>153</v>
      </c>
      <c r="Y37" s="159">
        <v>18510</v>
      </c>
      <c r="Z37" s="159">
        <v>19521</v>
      </c>
      <c r="AA37" s="159">
        <v>20367</v>
      </c>
      <c r="AB37" s="159">
        <v>23093</v>
      </c>
      <c r="AC37" s="159">
        <v>24623</v>
      </c>
      <c r="AD37" s="159">
        <v>26801</v>
      </c>
    </row>
    <row r="38" spans="1:30" x14ac:dyDescent="0.3">
      <c r="A38" s="184"/>
      <c r="B38" s="157" t="s">
        <v>154</v>
      </c>
      <c r="C38" s="159">
        <v>3567</v>
      </c>
      <c r="D38" s="159">
        <v>3927</v>
      </c>
      <c r="E38" s="159">
        <v>4102</v>
      </c>
      <c r="F38" s="159">
        <v>4563</v>
      </c>
      <c r="G38" s="159">
        <v>4706</v>
      </c>
      <c r="H38" s="159">
        <v>5242</v>
      </c>
      <c r="I38" s="157"/>
      <c r="J38" s="157"/>
      <c r="K38" s="157"/>
      <c r="L38" s="184"/>
      <c r="M38" s="157" t="s">
        <v>154</v>
      </c>
      <c r="N38" s="159">
        <v>6657</v>
      </c>
      <c r="O38" s="159">
        <v>7567</v>
      </c>
      <c r="P38" s="159">
        <v>7871</v>
      </c>
      <c r="Q38" s="159">
        <v>9154</v>
      </c>
      <c r="R38" s="159">
        <v>9782</v>
      </c>
      <c r="S38" s="159">
        <v>10878</v>
      </c>
      <c r="T38" s="157"/>
      <c r="U38" s="157"/>
      <c r="V38" s="157"/>
      <c r="W38" s="184"/>
      <c r="X38" s="157" t="s">
        <v>154</v>
      </c>
      <c r="Y38" s="159">
        <v>17525</v>
      </c>
      <c r="Z38" s="159">
        <v>19305</v>
      </c>
      <c r="AA38" s="159">
        <v>19938</v>
      </c>
      <c r="AB38" s="159">
        <v>22157</v>
      </c>
      <c r="AC38" s="159">
        <v>23128</v>
      </c>
      <c r="AD38" s="159">
        <v>25789</v>
      </c>
    </row>
    <row r="39" spans="1:30" x14ac:dyDescent="0.3">
      <c r="A39" s="184"/>
      <c r="B39" s="157" t="s">
        <v>155</v>
      </c>
      <c r="C39" s="159">
        <v>3518</v>
      </c>
      <c r="D39" s="159">
        <v>3905</v>
      </c>
      <c r="E39" s="159">
        <v>3904</v>
      </c>
      <c r="F39" s="159">
        <v>4561</v>
      </c>
      <c r="G39" s="159">
        <v>4668</v>
      </c>
      <c r="H39" s="159">
        <v>5151</v>
      </c>
      <c r="I39" s="157"/>
      <c r="J39" s="157"/>
      <c r="K39" s="157"/>
      <c r="L39" s="184"/>
      <c r="M39" s="157" t="s">
        <v>155</v>
      </c>
      <c r="N39" s="159">
        <v>6603</v>
      </c>
      <c r="O39" s="159">
        <v>7598</v>
      </c>
      <c r="P39" s="159">
        <v>7546</v>
      </c>
      <c r="Q39" s="159">
        <v>9216</v>
      </c>
      <c r="R39" s="159">
        <v>9681</v>
      </c>
      <c r="S39" s="159">
        <v>10594</v>
      </c>
      <c r="T39" s="157"/>
      <c r="U39" s="157"/>
      <c r="V39" s="157"/>
      <c r="W39" s="184"/>
      <c r="X39" s="157" t="s">
        <v>155</v>
      </c>
      <c r="Y39" s="159">
        <v>17288</v>
      </c>
      <c r="Z39" s="159">
        <v>19333</v>
      </c>
      <c r="AA39" s="159">
        <v>19125</v>
      </c>
      <c r="AB39" s="159">
        <v>22256</v>
      </c>
      <c r="AC39" s="159">
        <v>22914</v>
      </c>
      <c r="AD39" s="159">
        <v>25074</v>
      </c>
    </row>
    <row r="40" spans="1:30" x14ac:dyDescent="0.3">
      <c r="A40" s="185" t="s">
        <v>6</v>
      </c>
      <c r="B40" s="160" t="s">
        <v>144</v>
      </c>
      <c r="C40" s="161">
        <v>3199</v>
      </c>
      <c r="D40" s="161">
        <v>3096</v>
      </c>
      <c r="E40" s="161">
        <v>3299</v>
      </c>
      <c r="F40" s="161">
        <v>3232</v>
      </c>
      <c r="G40" s="161">
        <v>3832</v>
      </c>
      <c r="H40" s="161">
        <v>4190</v>
      </c>
      <c r="I40" s="157"/>
      <c r="J40" s="157"/>
      <c r="K40" s="157"/>
      <c r="L40" s="185" t="s">
        <v>6</v>
      </c>
      <c r="M40" s="160" t="s">
        <v>144</v>
      </c>
      <c r="N40" s="161">
        <v>5554</v>
      </c>
      <c r="O40" s="161">
        <v>5784</v>
      </c>
      <c r="P40" s="161">
        <v>6338</v>
      </c>
      <c r="Q40" s="161">
        <v>6025</v>
      </c>
      <c r="R40" s="161">
        <v>7777</v>
      </c>
      <c r="S40" s="161">
        <v>8419</v>
      </c>
      <c r="T40" s="157"/>
      <c r="U40" s="157"/>
      <c r="V40" s="157"/>
      <c r="W40" s="185" t="s">
        <v>6</v>
      </c>
      <c r="X40" s="160" t="s">
        <v>144</v>
      </c>
      <c r="Y40" s="161">
        <v>14975</v>
      </c>
      <c r="Z40" s="161">
        <v>15200</v>
      </c>
      <c r="AA40" s="161">
        <v>16300</v>
      </c>
      <c r="AB40" s="161">
        <v>15423</v>
      </c>
      <c r="AC40" s="161">
        <v>18437</v>
      </c>
      <c r="AD40" s="161">
        <v>19851</v>
      </c>
    </row>
    <row r="41" spans="1:30" x14ac:dyDescent="0.3">
      <c r="A41" s="185"/>
      <c r="B41" s="160" t="s">
        <v>145</v>
      </c>
      <c r="C41" s="161">
        <v>3023</v>
      </c>
      <c r="D41" s="161">
        <v>3262</v>
      </c>
      <c r="E41" s="161">
        <v>3329</v>
      </c>
      <c r="F41" s="161">
        <v>3280</v>
      </c>
      <c r="G41" s="161">
        <v>3961</v>
      </c>
      <c r="H41" s="161">
        <v>4398</v>
      </c>
      <c r="I41" s="157"/>
      <c r="J41" s="157"/>
      <c r="K41" s="157"/>
      <c r="L41" s="185"/>
      <c r="M41" s="160" t="s">
        <v>145</v>
      </c>
      <c r="N41" s="161">
        <v>5223</v>
      </c>
      <c r="O41" s="161">
        <v>6059</v>
      </c>
      <c r="P41" s="161">
        <v>6260</v>
      </c>
      <c r="Q41" s="161">
        <v>6095</v>
      </c>
      <c r="R41" s="161">
        <v>7975</v>
      </c>
      <c r="S41" s="161">
        <v>8942</v>
      </c>
      <c r="T41" s="157"/>
      <c r="U41" s="157"/>
      <c r="V41" s="157"/>
      <c r="W41" s="185"/>
      <c r="X41" s="160" t="s">
        <v>145</v>
      </c>
      <c r="Y41" s="161">
        <v>14087</v>
      </c>
      <c r="Z41" s="161">
        <v>15960</v>
      </c>
      <c r="AA41" s="161">
        <v>16400</v>
      </c>
      <c r="AB41" s="161">
        <v>15586</v>
      </c>
      <c r="AC41" s="161">
        <v>18922</v>
      </c>
      <c r="AD41" s="161">
        <v>20940</v>
      </c>
    </row>
    <row r="42" spans="1:30" x14ac:dyDescent="0.3">
      <c r="A42" s="185"/>
      <c r="B42" s="160" t="s">
        <v>146</v>
      </c>
      <c r="C42" s="161">
        <v>3137</v>
      </c>
      <c r="D42" s="161">
        <v>3284</v>
      </c>
      <c r="E42" s="161">
        <v>3460</v>
      </c>
      <c r="F42" s="161">
        <v>3516</v>
      </c>
      <c r="G42" s="161">
        <v>4187</v>
      </c>
      <c r="H42" s="161">
        <v>4701</v>
      </c>
      <c r="I42" s="157"/>
      <c r="J42" s="157"/>
      <c r="K42" s="157"/>
      <c r="L42" s="185"/>
      <c r="M42" s="160" t="s">
        <v>146</v>
      </c>
      <c r="N42" s="161">
        <v>5371</v>
      </c>
      <c r="O42" s="161">
        <v>6050</v>
      </c>
      <c r="P42" s="161">
        <v>6411</v>
      </c>
      <c r="Q42" s="161">
        <v>6403</v>
      </c>
      <c r="R42" s="161">
        <v>8397</v>
      </c>
      <c r="S42" s="161">
        <v>9449</v>
      </c>
      <c r="T42" s="157"/>
      <c r="U42" s="157"/>
      <c r="V42" s="157"/>
      <c r="W42" s="185"/>
      <c r="X42" s="160" t="s">
        <v>146</v>
      </c>
      <c r="Y42" s="161">
        <v>14565</v>
      </c>
      <c r="Z42" s="161">
        <v>16008</v>
      </c>
      <c r="AA42" s="161">
        <v>16778</v>
      </c>
      <c r="AB42" s="161">
        <v>16455</v>
      </c>
      <c r="AC42" s="161">
        <v>19900</v>
      </c>
      <c r="AD42" s="161">
        <v>22094</v>
      </c>
    </row>
    <row r="43" spans="1:30" x14ac:dyDescent="0.3">
      <c r="A43" s="185"/>
      <c r="B43" s="160" t="s">
        <v>147</v>
      </c>
      <c r="C43" s="161">
        <v>3049</v>
      </c>
      <c r="D43" s="161">
        <v>3341</v>
      </c>
      <c r="E43" s="161">
        <v>3629</v>
      </c>
      <c r="F43" s="161">
        <v>3831</v>
      </c>
      <c r="G43" s="161">
        <v>4413</v>
      </c>
      <c r="H43" s="161">
        <v>4973</v>
      </c>
      <c r="I43" s="157"/>
      <c r="J43" s="157"/>
      <c r="K43" s="157"/>
      <c r="L43" s="185"/>
      <c r="M43" s="160" t="s">
        <v>147</v>
      </c>
      <c r="N43" s="161">
        <v>5420</v>
      </c>
      <c r="O43" s="161">
        <v>6109</v>
      </c>
      <c r="P43" s="161">
        <v>6554</v>
      </c>
      <c r="Q43" s="161">
        <v>6768</v>
      </c>
      <c r="R43" s="161">
        <v>8731</v>
      </c>
      <c r="S43" s="161">
        <v>9887</v>
      </c>
      <c r="T43" s="157"/>
      <c r="U43" s="157"/>
      <c r="V43" s="157"/>
      <c r="W43" s="185"/>
      <c r="X43" s="160" t="s">
        <v>147</v>
      </c>
      <c r="Y43" s="161">
        <v>14506</v>
      </c>
      <c r="Z43" s="161">
        <v>16139</v>
      </c>
      <c r="AA43" s="161">
        <v>17270</v>
      </c>
      <c r="AB43" s="161">
        <v>17488</v>
      </c>
      <c r="AC43" s="161">
        <v>20648</v>
      </c>
      <c r="AD43" s="161">
        <v>23115</v>
      </c>
    </row>
    <row r="44" spans="1:30" x14ac:dyDescent="0.3">
      <c r="A44" s="185"/>
      <c r="B44" s="160" t="s">
        <v>148</v>
      </c>
      <c r="C44" s="161">
        <v>3199</v>
      </c>
      <c r="D44" s="161">
        <v>3392</v>
      </c>
      <c r="E44" s="161">
        <v>3692</v>
      </c>
      <c r="F44" s="161">
        <v>3935</v>
      </c>
      <c r="G44" s="161">
        <v>4618</v>
      </c>
      <c r="H44" s="161">
        <v>5127</v>
      </c>
      <c r="I44" s="157"/>
      <c r="J44" s="157"/>
      <c r="K44" s="157"/>
      <c r="L44" s="185"/>
      <c r="M44" s="160" t="s">
        <v>148</v>
      </c>
      <c r="N44" s="161">
        <v>5707</v>
      </c>
      <c r="O44" s="161">
        <v>6223</v>
      </c>
      <c r="P44" s="161">
        <v>6583</v>
      </c>
      <c r="Q44" s="161">
        <v>6996</v>
      </c>
      <c r="R44" s="161">
        <v>9079</v>
      </c>
      <c r="S44" s="161">
        <v>10171</v>
      </c>
      <c r="T44" s="157"/>
      <c r="U44" s="157"/>
      <c r="V44" s="157"/>
      <c r="W44" s="185"/>
      <c r="X44" s="160" t="s">
        <v>148</v>
      </c>
      <c r="Y44" s="161">
        <v>15097</v>
      </c>
      <c r="Z44" s="161">
        <v>16394</v>
      </c>
      <c r="AA44" s="161">
        <v>17265</v>
      </c>
      <c r="AB44" s="161">
        <v>18019</v>
      </c>
      <c r="AC44" s="161">
        <v>21505</v>
      </c>
      <c r="AD44" s="161">
        <v>23724</v>
      </c>
    </row>
    <row r="45" spans="1:30" x14ac:dyDescent="0.3">
      <c r="A45" s="185"/>
      <c r="B45" s="160" t="s">
        <v>149</v>
      </c>
      <c r="C45" s="161">
        <v>3362</v>
      </c>
      <c r="D45" s="161">
        <v>3653</v>
      </c>
      <c r="E45" s="161">
        <v>3916</v>
      </c>
      <c r="F45" s="161">
        <v>4533</v>
      </c>
      <c r="G45" s="161">
        <v>4807</v>
      </c>
      <c r="H45" s="161">
        <v>5325</v>
      </c>
      <c r="I45" s="157"/>
      <c r="J45" s="157"/>
      <c r="K45" s="157"/>
      <c r="L45" s="185"/>
      <c r="M45" s="160" t="s">
        <v>149</v>
      </c>
      <c r="N45" s="161">
        <v>5924</v>
      </c>
      <c r="O45" s="161">
        <v>6656</v>
      </c>
      <c r="P45" s="161">
        <v>6929</v>
      </c>
      <c r="Q45" s="161">
        <v>7712</v>
      </c>
      <c r="R45" s="161">
        <v>9515</v>
      </c>
      <c r="S45" s="161">
        <v>10462</v>
      </c>
      <c r="T45" s="157"/>
      <c r="U45" s="157"/>
      <c r="V45" s="157"/>
      <c r="W45" s="185"/>
      <c r="X45" s="160" t="s">
        <v>149</v>
      </c>
      <c r="Y45" s="161">
        <v>15860</v>
      </c>
      <c r="Z45" s="161">
        <v>17509</v>
      </c>
      <c r="AA45" s="161">
        <v>18047</v>
      </c>
      <c r="AB45" s="161">
        <v>19792</v>
      </c>
      <c r="AC45" s="161">
        <v>22140</v>
      </c>
      <c r="AD45" s="161">
        <v>24389</v>
      </c>
    </row>
    <row r="46" spans="1:30" x14ac:dyDescent="0.3">
      <c r="A46" s="185"/>
      <c r="B46" s="160" t="s">
        <v>150</v>
      </c>
      <c r="C46" s="161">
        <v>3522</v>
      </c>
      <c r="D46" s="161">
        <v>3740</v>
      </c>
      <c r="E46" s="161">
        <v>4000</v>
      </c>
      <c r="F46" s="161">
        <v>4708</v>
      </c>
      <c r="G46" s="161">
        <v>5059</v>
      </c>
      <c r="H46" s="161">
        <v>5596</v>
      </c>
      <c r="I46" s="157"/>
      <c r="J46" s="157"/>
      <c r="K46" s="157"/>
      <c r="L46" s="185"/>
      <c r="M46" s="160" t="s">
        <v>150</v>
      </c>
      <c r="N46" s="161">
        <v>6170</v>
      </c>
      <c r="O46" s="161">
        <v>6652</v>
      </c>
      <c r="P46" s="161">
        <v>7060</v>
      </c>
      <c r="Q46" s="161">
        <v>8989</v>
      </c>
      <c r="R46" s="161">
        <v>9921</v>
      </c>
      <c r="S46" s="161">
        <v>10959</v>
      </c>
      <c r="T46" s="157"/>
      <c r="U46" s="157"/>
      <c r="V46" s="157"/>
      <c r="W46" s="185"/>
      <c r="X46" s="160" t="s">
        <v>150</v>
      </c>
      <c r="Y46" s="161">
        <v>16590</v>
      </c>
      <c r="Z46" s="161">
        <v>17596</v>
      </c>
      <c r="AA46" s="161">
        <v>18330</v>
      </c>
      <c r="AB46" s="161">
        <v>21740</v>
      </c>
      <c r="AC46" s="161">
        <v>23172</v>
      </c>
      <c r="AD46" s="161">
        <v>25513</v>
      </c>
    </row>
    <row r="47" spans="1:30" x14ac:dyDescent="0.3">
      <c r="A47" s="185"/>
      <c r="B47" s="160" t="s">
        <v>151</v>
      </c>
      <c r="C47" s="161">
        <v>3565</v>
      </c>
      <c r="D47" s="161">
        <v>3849</v>
      </c>
      <c r="E47" s="161">
        <v>3870</v>
      </c>
      <c r="F47" s="161">
        <v>4479</v>
      </c>
      <c r="G47" s="161">
        <v>4952</v>
      </c>
      <c r="H47" s="161">
        <v>5602</v>
      </c>
      <c r="I47" s="157"/>
      <c r="J47" s="157"/>
      <c r="K47" s="157"/>
      <c r="L47" s="185"/>
      <c r="M47" s="160" t="s">
        <v>151</v>
      </c>
      <c r="N47" s="161">
        <v>6218</v>
      </c>
      <c r="O47" s="161">
        <v>6792</v>
      </c>
      <c r="P47" s="161">
        <v>6874</v>
      </c>
      <c r="Q47" s="161">
        <v>8649</v>
      </c>
      <c r="R47" s="161">
        <v>9793</v>
      </c>
      <c r="S47" s="161">
        <v>11002</v>
      </c>
      <c r="T47" s="157"/>
      <c r="U47" s="157"/>
      <c r="V47" s="157"/>
      <c r="W47" s="185"/>
      <c r="X47" s="160" t="s">
        <v>151</v>
      </c>
      <c r="Y47" s="161">
        <v>16763</v>
      </c>
      <c r="Z47" s="161">
        <v>17895</v>
      </c>
      <c r="AA47" s="161">
        <v>17802</v>
      </c>
      <c r="AB47" s="161">
        <v>20427</v>
      </c>
      <c r="AC47" s="161">
        <v>22584</v>
      </c>
      <c r="AD47" s="161">
        <v>25539</v>
      </c>
    </row>
    <row r="48" spans="1:30" x14ac:dyDescent="0.3">
      <c r="A48" s="185"/>
      <c r="B48" s="160" t="s">
        <v>152</v>
      </c>
      <c r="C48" s="161">
        <v>3524</v>
      </c>
      <c r="D48" s="161">
        <v>3859</v>
      </c>
      <c r="E48" s="161">
        <v>3896</v>
      </c>
      <c r="F48" s="161">
        <v>4390</v>
      </c>
      <c r="G48" s="161">
        <v>4905</v>
      </c>
      <c r="H48" s="161">
        <v>5590</v>
      </c>
      <c r="I48" s="157"/>
      <c r="J48" s="157"/>
      <c r="K48" s="157"/>
      <c r="L48" s="185"/>
      <c r="M48" s="160" t="s">
        <v>152</v>
      </c>
      <c r="N48" s="161">
        <v>6231</v>
      </c>
      <c r="O48" s="161">
        <v>6879</v>
      </c>
      <c r="P48" s="161">
        <v>6879</v>
      </c>
      <c r="Q48" s="161">
        <v>8500</v>
      </c>
      <c r="R48" s="161">
        <v>9715</v>
      </c>
      <c r="S48" s="161">
        <v>10913</v>
      </c>
      <c r="T48" s="157"/>
      <c r="U48" s="157"/>
      <c r="V48" s="157"/>
      <c r="W48" s="185"/>
      <c r="X48" s="160" t="s">
        <v>152</v>
      </c>
      <c r="Y48" s="161">
        <v>16670</v>
      </c>
      <c r="Z48" s="161">
        <v>18077</v>
      </c>
      <c r="AA48" s="161">
        <v>17898</v>
      </c>
      <c r="AB48" s="161">
        <v>20020</v>
      </c>
      <c r="AC48" s="161">
        <v>22435</v>
      </c>
      <c r="AD48" s="161">
        <v>25337</v>
      </c>
    </row>
    <row r="49" spans="1:30" x14ac:dyDescent="0.3">
      <c r="A49" s="185"/>
      <c r="B49" s="160" t="s">
        <v>153</v>
      </c>
      <c r="C49" s="161">
        <v>3329</v>
      </c>
      <c r="D49" s="161">
        <v>3462</v>
      </c>
      <c r="E49" s="161">
        <v>3631</v>
      </c>
      <c r="F49" s="161">
        <v>4157</v>
      </c>
      <c r="G49" s="161">
        <v>4610</v>
      </c>
      <c r="H49" s="161">
        <v>5208</v>
      </c>
      <c r="I49" s="157"/>
      <c r="J49" s="157"/>
      <c r="K49" s="157"/>
      <c r="L49" s="185"/>
      <c r="M49" s="160" t="s">
        <v>153</v>
      </c>
      <c r="N49" s="161">
        <v>5989</v>
      </c>
      <c r="O49" s="161">
        <v>6340</v>
      </c>
      <c r="P49" s="161">
        <v>6529</v>
      </c>
      <c r="Q49" s="161">
        <v>8149</v>
      </c>
      <c r="R49" s="161">
        <v>9173</v>
      </c>
      <c r="S49" s="161">
        <v>10347</v>
      </c>
      <c r="T49" s="157"/>
      <c r="U49" s="157"/>
      <c r="V49" s="157"/>
      <c r="W49" s="185"/>
      <c r="X49" s="160" t="s">
        <v>153</v>
      </c>
      <c r="Y49" s="161">
        <v>15908</v>
      </c>
      <c r="Z49" s="161">
        <v>16709</v>
      </c>
      <c r="AA49" s="161">
        <v>16872</v>
      </c>
      <c r="AB49" s="161">
        <v>19258</v>
      </c>
      <c r="AC49" s="161">
        <v>21260</v>
      </c>
      <c r="AD49" s="161">
        <v>24072</v>
      </c>
    </row>
    <row r="50" spans="1:30" x14ac:dyDescent="0.3">
      <c r="A50" s="185"/>
      <c r="B50" s="160" t="s">
        <v>154</v>
      </c>
      <c r="C50" s="161">
        <v>2984</v>
      </c>
      <c r="D50" s="161">
        <v>3075</v>
      </c>
      <c r="E50" s="161">
        <v>3070</v>
      </c>
      <c r="F50" s="161">
        <v>3593</v>
      </c>
      <c r="G50" s="161">
        <v>3873</v>
      </c>
      <c r="H50" s="161">
        <v>4463</v>
      </c>
      <c r="I50" s="157"/>
      <c r="J50" s="157"/>
      <c r="K50" s="157"/>
      <c r="L50" s="185"/>
      <c r="M50" s="160" t="s">
        <v>154</v>
      </c>
      <c r="N50" s="161">
        <v>5510</v>
      </c>
      <c r="O50" s="161">
        <v>5848</v>
      </c>
      <c r="P50" s="161">
        <v>5839</v>
      </c>
      <c r="Q50" s="161">
        <v>7260</v>
      </c>
      <c r="R50" s="161">
        <v>7949</v>
      </c>
      <c r="S50" s="161">
        <v>9150</v>
      </c>
      <c r="T50" s="157"/>
      <c r="U50" s="157"/>
      <c r="V50" s="157"/>
      <c r="W50" s="185"/>
      <c r="X50" s="160" t="s">
        <v>154</v>
      </c>
      <c r="Y50" s="161">
        <v>14571</v>
      </c>
      <c r="Z50" s="161">
        <v>15176</v>
      </c>
      <c r="AA50" s="161">
        <v>14903</v>
      </c>
      <c r="AB50" s="161">
        <v>17424</v>
      </c>
      <c r="AC50" s="161">
        <v>18806</v>
      </c>
      <c r="AD50" s="161">
        <v>21458</v>
      </c>
    </row>
    <row r="51" spans="1:30" x14ac:dyDescent="0.3">
      <c r="A51" s="185"/>
      <c r="B51" s="160" t="s">
        <v>155</v>
      </c>
      <c r="C51" s="161">
        <v>2966</v>
      </c>
      <c r="D51" s="161">
        <v>3091</v>
      </c>
      <c r="E51" s="161">
        <v>2982</v>
      </c>
      <c r="F51" s="161">
        <v>3612</v>
      </c>
      <c r="G51" s="161">
        <v>3919</v>
      </c>
      <c r="H51" s="161">
        <v>4404</v>
      </c>
      <c r="I51" s="157"/>
      <c r="J51" s="157"/>
      <c r="K51" s="157"/>
      <c r="L51" s="185"/>
      <c r="M51" s="160" t="s">
        <v>155</v>
      </c>
      <c r="N51" s="161">
        <v>5564</v>
      </c>
      <c r="O51" s="161">
        <v>5962</v>
      </c>
      <c r="P51" s="161">
        <v>5651</v>
      </c>
      <c r="Q51" s="161">
        <v>7309</v>
      </c>
      <c r="R51" s="161">
        <v>7895</v>
      </c>
      <c r="S51" s="161">
        <v>8984</v>
      </c>
      <c r="T51" s="157"/>
      <c r="U51" s="157"/>
      <c r="V51" s="157"/>
      <c r="W51" s="185"/>
      <c r="X51" s="160" t="s">
        <v>155</v>
      </c>
      <c r="Y51" s="161">
        <v>14593</v>
      </c>
      <c r="Z51" s="161">
        <v>15389</v>
      </c>
      <c r="AA51" s="161">
        <v>14475</v>
      </c>
      <c r="AB51" s="161">
        <v>17587</v>
      </c>
      <c r="AC51" s="161">
        <v>18734</v>
      </c>
      <c r="AD51" s="161">
        <v>21145</v>
      </c>
    </row>
    <row r="52" spans="1:30" x14ac:dyDescent="0.3">
      <c r="A52" s="184" t="s">
        <v>3</v>
      </c>
      <c r="B52" s="157" t="s">
        <v>144</v>
      </c>
      <c r="C52" s="159">
        <v>238</v>
      </c>
      <c r="D52" s="159">
        <v>264</v>
      </c>
      <c r="E52" s="159">
        <v>291</v>
      </c>
      <c r="F52" s="159">
        <v>252</v>
      </c>
      <c r="G52" s="159">
        <v>308</v>
      </c>
      <c r="H52" s="159">
        <v>300</v>
      </c>
      <c r="I52" s="157"/>
      <c r="J52" s="157"/>
      <c r="K52" s="157"/>
      <c r="L52" s="184" t="s">
        <v>3</v>
      </c>
      <c r="M52" s="157" t="s">
        <v>144</v>
      </c>
      <c r="N52" s="159">
        <v>393</v>
      </c>
      <c r="O52" s="159">
        <v>426</v>
      </c>
      <c r="P52" s="159">
        <v>483</v>
      </c>
      <c r="Q52" s="159">
        <v>428</v>
      </c>
      <c r="R52" s="159">
        <v>580</v>
      </c>
      <c r="S52" s="159">
        <v>569</v>
      </c>
      <c r="T52" s="157"/>
      <c r="U52" s="157"/>
      <c r="V52" s="157"/>
      <c r="W52" s="184" t="s">
        <v>3</v>
      </c>
      <c r="X52" s="157" t="s">
        <v>144</v>
      </c>
      <c r="Y52" s="159">
        <v>1004</v>
      </c>
      <c r="Z52" s="159">
        <v>1148</v>
      </c>
      <c r="AA52" s="159">
        <v>1230</v>
      </c>
      <c r="AB52" s="159">
        <v>1092</v>
      </c>
      <c r="AC52" s="159">
        <v>1312</v>
      </c>
      <c r="AD52" s="159">
        <v>1305</v>
      </c>
    </row>
    <row r="53" spans="1:30" x14ac:dyDescent="0.3">
      <c r="A53" s="184"/>
      <c r="B53" s="157" t="s">
        <v>145</v>
      </c>
      <c r="C53" s="159">
        <v>230</v>
      </c>
      <c r="D53" s="159">
        <v>274</v>
      </c>
      <c r="E53" s="159">
        <v>289</v>
      </c>
      <c r="F53" s="159">
        <v>264</v>
      </c>
      <c r="G53" s="159">
        <v>314</v>
      </c>
      <c r="H53" s="159">
        <v>325</v>
      </c>
      <c r="I53" s="157"/>
      <c r="J53" s="157"/>
      <c r="K53" s="157"/>
      <c r="L53" s="184"/>
      <c r="M53" s="157" t="s">
        <v>145</v>
      </c>
      <c r="N53" s="159">
        <v>373</v>
      </c>
      <c r="O53" s="159">
        <v>441</v>
      </c>
      <c r="P53" s="159">
        <v>481</v>
      </c>
      <c r="Q53" s="159">
        <v>449</v>
      </c>
      <c r="R53" s="159">
        <v>588</v>
      </c>
      <c r="S53" s="159">
        <v>620</v>
      </c>
      <c r="T53" s="157"/>
      <c r="U53" s="157"/>
      <c r="V53" s="157"/>
      <c r="W53" s="184"/>
      <c r="X53" s="157" t="s">
        <v>145</v>
      </c>
      <c r="Y53" s="159">
        <v>974</v>
      </c>
      <c r="Z53" s="159">
        <v>1183</v>
      </c>
      <c r="AA53" s="159">
        <v>1231</v>
      </c>
      <c r="AB53" s="159">
        <v>1141</v>
      </c>
      <c r="AC53" s="159">
        <v>1333</v>
      </c>
      <c r="AD53" s="159">
        <v>1396</v>
      </c>
    </row>
    <row r="54" spans="1:30" x14ac:dyDescent="0.3">
      <c r="A54" s="184"/>
      <c r="B54" s="157" t="s">
        <v>146</v>
      </c>
      <c r="C54" s="159">
        <v>237</v>
      </c>
      <c r="D54" s="159">
        <v>285</v>
      </c>
      <c r="E54" s="159">
        <v>301</v>
      </c>
      <c r="F54" s="159">
        <v>277</v>
      </c>
      <c r="G54" s="159">
        <v>325</v>
      </c>
      <c r="H54" s="159">
        <v>348</v>
      </c>
      <c r="I54" s="157"/>
      <c r="J54" s="157"/>
      <c r="K54" s="157"/>
      <c r="L54" s="184"/>
      <c r="M54" s="157" t="s">
        <v>146</v>
      </c>
      <c r="N54" s="159">
        <v>385</v>
      </c>
      <c r="O54" s="159">
        <v>455</v>
      </c>
      <c r="P54" s="159">
        <v>494</v>
      </c>
      <c r="Q54" s="159">
        <v>467</v>
      </c>
      <c r="R54" s="159">
        <v>612</v>
      </c>
      <c r="S54" s="159">
        <v>662</v>
      </c>
      <c r="T54" s="157"/>
      <c r="U54" s="157"/>
      <c r="V54" s="157"/>
      <c r="W54" s="184"/>
      <c r="X54" s="157" t="s">
        <v>146</v>
      </c>
      <c r="Y54" s="159">
        <v>997</v>
      </c>
      <c r="Z54" s="159">
        <v>1211</v>
      </c>
      <c r="AA54" s="159">
        <v>1273</v>
      </c>
      <c r="AB54" s="159">
        <v>1182</v>
      </c>
      <c r="AC54" s="159">
        <v>1368</v>
      </c>
      <c r="AD54" s="159">
        <v>1471</v>
      </c>
    </row>
    <row r="55" spans="1:30" x14ac:dyDescent="0.3">
      <c r="A55" s="184"/>
      <c r="B55" s="157" t="s">
        <v>147</v>
      </c>
      <c r="C55" s="159">
        <v>246</v>
      </c>
      <c r="D55" s="159">
        <v>283</v>
      </c>
      <c r="E55" s="159">
        <v>333</v>
      </c>
      <c r="F55" s="159">
        <v>305</v>
      </c>
      <c r="G55" s="159">
        <v>358</v>
      </c>
      <c r="H55" s="159">
        <v>372</v>
      </c>
      <c r="I55" s="157"/>
      <c r="J55" s="157"/>
      <c r="K55" s="157"/>
      <c r="L55" s="184"/>
      <c r="M55" s="157" t="s">
        <v>147</v>
      </c>
      <c r="N55" s="159">
        <v>405</v>
      </c>
      <c r="O55" s="159">
        <v>452</v>
      </c>
      <c r="P55" s="159">
        <v>535</v>
      </c>
      <c r="Q55" s="159">
        <v>491</v>
      </c>
      <c r="R55" s="159">
        <v>660</v>
      </c>
      <c r="S55" s="159">
        <v>696</v>
      </c>
      <c r="T55" s="157"/>
      <c r="U55" s="157"/>
      <c r="V55" s="157"/>
      <c r="W55" s="184"/>
      <c r="X55" s="157" t="s">
        <v>147</v>
      </c>
      <c r="Y55" s="159">
        <v>1052</v>
      </c>
      <c r="Z55" s="159">
        <v>1198</v>
      </c>
      <c r="AA55" s="159">
        <v>1384</v>
      </c>
      <c r="AB55" s="159">
        <v>1240</v>
      </c>
      <c r="AC55" s="159">
        <v>1476</v>
      </c>
      <c r="AD55" s="159">
        <v>1545</v>
      </c>
    </row>
    <row r="56" spans="1:30" x14ac:dyDescent="0.3">
      <c r="A56" s="184"/>
      <c r="B56" s="157" t="s">
        <v>148</v>
      </c>
      <c r="C56" s="159">
        <v>258</v>
      </c>
      <c r="D56" s="159">
        <v>289</v>
      </c>
      <c r="E56" s="159">
        <v>336</v>
      </c>
      <c r="F56" s="159">
        <v>322</v>
      </c>
      <c r="G56" s="159">
        <v>368</v>
      </c>
      <c r="H56" s="159">
        <v>395</v>
      </c>
      <c r="I56" s="157"/>
      <c r="J56" s="157"/>
      <c r="K56" s="157"/>
      <c r="L56" s="184"/>
      <c r="M56" s="157" t="s">
        <v>148</v>
      </c>
      <c r="N56" s="159">
        <v>414</v>
      </c>
      <c r="O56" s="159">
        <v>468</v>
      </c>
      <c r="P56" s="159">
        <v>524</v>
      </c>
      <c r="Q56" s="159">
        <v>517</v>
      </c>
      <c r="R56" s="159">
        <v>675</v>
      </c>
      <c r="S56" s="159">
        <v>720</v>
      </c>
      <c r="T56" s="157"/>
      <c r="U56" s="157"/>
      <c r="V56" s="157"/>
      <c r="W56" s="184"/>
      <c r="X56" s="157" t="s">
        <v>148</v>
      </c>
      <c r="Y56" s="159">
        <v>1088</v>
      </c>
      <c r="Z56" s="159">
        <v>1230</v>
      </c>
      <c r="AA56" s="159">
        <v>1378</v>
      </c>
      <c r="AB56" s="159">
        <v>1298</v>
      </c>
      <c r="AC56" s="159">
        <v>1510</v>
      </c>
      <c r="AD56" s="159">
        <v>1620</v>
      </c>
    </row>
    <row r="57" spans="1:30" x14ac:dyDescent="0.3">
      <c r="A57" s="184"/>
      <c r="B57" s="157" t="s">
        <v>149</v>
      </c>
      <c r="C57" s="159">
        <v>275</v>
      </c>
      <c r="D57" s="159">
        <v>305</v>
      </c>
      <c r="E57" s="159">
        <v>345</v>
      </c>
      <c r="F57" s="159">
        <v>347</v>
      </c>
      <c r="G57" s="159">
        <v>379</v>
      </c>
      <c r="H57" s="159">
        <v>404</v>
      </c>
      <c r="I57" s="157"/>
      <c r="J57" s="157"/>
      <c r="K57" s="157"/>
      <c r="L57" s="184"/>
      <c r="M57" s="157" t="s">
        <v>149</v>
      </c>
      <c r="N57" s="159">
        <v>435</v>
      </c>
      <c r="O57" s="159">
        <v>497</v>
      </c>
      <c r="P57" s="159">
        <v>535</v>
      </c>
      <c r="Q57" s="159">
        <v>562</v>
      </c>
      <c r="R57" s="159">
        <v>692</v>
      </c>
      <c r="S57" s="159">
        <v>738</v>
      </c>
      <c r="T57" s="157"/>
      <c r="U57" s="157"/>
      <c r="V57" s="157"/>
      <c r="W57" s="184"/>
      <c r="X57" s="157" t="s">
        <v>149</v>
      </c>
      <c r="Y57" s="159">
        <v>1150</v>
      </c>
      <c r="Z57" s="159">
        <v>1302</v>
      </c>
      <c r="AA57" s="159">
        <v>1401</v>
      </c>
      <c r="AB57" s="159">
        <v>1400</v>
      </c>
      <c r="AC57" s="159">
        <v>1536</v>
      </c>
      <c r="AD57" s="159">
        <v>1657</v>
      </c>
    </row>
    <row r="58" spans="1:30" x14ac:dyDescent="0.3">
      <c r="A58" s="184"/>
      <c r="B58" s="157" t="s">
        <v>150</v>
      </c>
      <c r="C58" s="159">
        <v>292</v>
      </c>
      <c r="D58" s="159">
        <v>336</v>
      </c>
      <c r="E58" s="159">
        <v>341</v>
      </c>
      <c r="F58" s="159">
        <v>366</v>
      </c>
      <c r="G58" s="159">
        <v>402</v>
      </c>
      <c r="H58" s="159">
        <v>407</v>
      </c>
      <c r="I58" s="157"/>
      <c r="J58" s="157"/>
      <c r="K58" s="157"/>
      <c r="L58" s="184"/>
      <c r="M58" s="157" t="s">
        <v>150</v>
      </c>
      <c r="N58" s="159">
        <v>461</v>
      </c>
      <c r="O58" s="159">
        <v>541</v>
      </c>
      <c r="P58" s="159">
        <v>532</v>
      </c>
      <c r="Q58" s="159">
        <v>650</v>
      </c>
      <c r="R58" s="159">
        <v>727</v>
      </c>
      <c r="S58" s="159">
        <v>743</v>
      </c>
      <c r="T58" s="157"/>
      <c r="U58" s="157"/>
      <c r="V58" s="157"/>
      <c r="W58" s="184"/>
      <c r="X58" s="157" t="s">
        <v>150</v>
      </c>
      <c r="Y58" s="159">
        <v>1203</v>
      </c>
      <c r="Z58" s="159">
        <v>1400</v>
      </c>
      <c r="AA58" s="159">
        <v>1401</v>
      </c>
      <c r="AB58" s="159">
        <v>1483</v>
      </c>
      <c r="AC58" s="159">
        <v>1638</v>
      </c>
      <c r="AD58" s="159">
        <v>1670</v>
      </c>
    </row>
    <row r="59" spans="1:30" x14ac:dyDescent="0.3">
      <c r="A59" s="184"/>
      <c r="B59" s="157" t="s">
        <v>151</v>
      </c>
      <c r="C59" s="159">
        <v>298</v>
      </c>
      <c r="D59" s="159">
        <v>342</v>
      </c>
      <c r="E59" s="159">
        <v>329</v>
      </c>
      <c r="F59" s="159">
        <v>373</v>
      </c>
      <c r="G59" s="159">
        <v>397</v>
      </c>
      <c r="H59" s="159">
        <v>404</v>
      </c>
      <c r="I59" s="157"/>
      <c r="J59" s="157"/>
      <c r="K59" s="157"/>
      <c r="L59" s="184"/>
      <c r="M59" s="157" t="s">
        <v>151</v>
      </c>
      <c r="N59" s="159">
        <v>477</v>
      </c>
      <c r="O59" s="159">
        <v>542</v>
      </c>
      <c r="P59" s="159">
        <v>523</v>
      </c>
      <c r="Q59" s="159">
        <v>661</v>
      </c>
      <c r="R59" s="159">
        <v>721</v>
      </c>
      <c r="S59" s="159">
        <v>734</v>
      </c>
      <c r="T59" s="157"/>
      <c r="U59" s="157"/>
      <c r="V59" s="157"/>
      <c r="W59" s="184"/>
      <c r="X59" s="157" t="s">
        <v>151</v>
      </c>
      <c r="Y59" s="159">
        <v>1234</v>
      </c>
      <c r="Z59" s="159">
        <v>1409</v>
      </c>
      <c r="AA59" s="159">
        <v>1358</v>
      </c>
      <c r="AB59" s="159">
        <v>1499</v>
      </c>
      <c r="AC59" s="159">
        <v>1616</v>
      </c>
      <c r="AD59" s="159">
        <v>1648</v>
      </c>
    </row>
    <row r="60" spans="1:30" x14ac:dyDescent="0.3">
      <c r="A60" s="184"/>
      <c r="B60" s="157" t="s">
        <v>152</v>
      </c>
      <c r="C60" s="159">
        <v>294</v>
      </c>
      <c r="D60" s="159">
        <v>344</v>
      </c>
      <c r="E60" s="159">
        <v>336</v>
      </c>
      <c r="F60" s="159">
        <v>347</v>
      </c>
      <c r="G60" s="159">
        <v>401</v>
      </c>
      <c r="H60" s="159">
        <v>396</v>
      </c>
      <c r="I60" s="157"/>
      <c r="J60" s="157"/>
      <c r="K60" s="157"/>
      <c r="L60" s="184"/>
      <c r="M60" s="157" t="s">
        <v>152</v>
      </c>
      <c r="N60" s="159">
        <v>470</v>
      </c>
      <c r="O60" s="159">
        <v>550</v>
      </c>
      <c r="P60" s="159">
        <v>528</v>
      </c>
      <c r="Q60" s="159">
        <v>627</v>
      </c>
      <c r="R60" s="159">
        <v>720</v>
      </c>
      <c r="S60" s="159">
        <v>720</v>
      </c>
      <c r="T60" s="157"/>
      <c r="U60" s="157"/>
      <c r="V60" s="157"/>
      <c r="W60" s="184"/>
      <c r="X60" s="157" t="s">
        <v>152</v>
      </c>
      <c r="Y60" s="159">
        <v>1229</v>
      </c>
      <c r="Z60" s="159">
        <v>1423</v>
      </c>
      <c r="AA60" s="159">
        <v>1378</v>
      </c>
      <c r="AB60" s="159">
        <v>1410</v>
      </c>
      <c r="AC60" s="159">
        <v>1627</v>
      </c>
      <c r="AD60" s="159">
        <v>1613</v>
      </c>
    </row>
    <row r="61" spans="1:30" x14ac:dyDescent="0.3">
      <c r="A61" s="184"/>
      <c r="B61" s="157" t="s">
        <v>153</v>
      </c>
      <c r="C61" s="159">
        <v>287</v>
      </c>
      <c r="D61" s="159">
        <v>325</v>
      </c>
      <c r="E61" s="159">
        <v>302</v>
      </c>
      <c r="F61" s="159">
        <v>331</v>
      </c>
      <c r="G61" s="159">
        <v>380</v>
      </c>
      <c r="H61" s="159">
        <v>375</v>
      </c>
      <c r="I61" s="157"/>
      <c r="J61" s="157"/>
      <c r="K61" s="157"/>
      <c r="L61" s="184"/>
      <c r="M61" s="157" t="s">
        <v>153</v>
      </c>
      <c r="N61" s="159">
        <v>461</v>
      </c>
      <c r="O61" s="159">
        <v>528</v>
      </c>
      <c r="P61" s="159">
        <v>485</v>
      </c>
      <c r="Q61" s="159">
        <v>603</v>
      </c>
      <c r="R61" s="159">
        <v>687</v>
      </c>
      <c r="S61" s="159">
        <v>685</v>
      </c>
      <c r="T61" s="157"/>
      <c r="U61" s="157"/>
      <c r="V61" s="157"/>
      <c r="W61" s="184"/>
      <c r="X61" s="157" t="s">
        <v>153</v>
      </c>
      <c r="Y61" s="159">
        <v>1209</v>
      </c>
      <c r="Z61" s="159">
        <v>1350</v>
      </c>
      <c r="AA61" s="159">
        <v>1258</v>
      </c>
      <c r="AB61" s="159">
        <v>1369</v>
      </c>
      <c r="AC61" s="159">
        <v>1548</v>
      </c>
      <c r="AD61" s="159">
        <v>1530</v>
      </c>
    </row>
    <row r="62" spans="1:30" x14ac:dyDescent="0.3">
      <c r="A62" s="184"/>
      <c r="B62" s="157" t="s">
        <v>154</v>
      </c>
      <c r="C62" s="159">
        <v>269</v>
      </c>
      <c r="D62" s="159">
        <v>298</v>
      </c>
      <c r="E62" s="159">
        <v>253</v>
      </c>
      <c r="F62" s="159">
        <v>292</v>
      </c>
      <c r="G62" s="159">
        <v>307</v>
      </c>
      <c r="H62" s="159">
        <v>338</v>
      </c>
      <c r="I62" s="157"/>
      <c r="J62" s="157"/>
      <c r="K62" s="157"/>
      <c r="L62" s="184"/>
      <c r="M62" s="157" t="s">
        <v>154</v>
      </c>
      <c r="N62" s="159">
        <v>438</v>
      </c>
      <c r="O62" s="159">
        <v>492</v>
      </c>
      <c r="P62" s="159">
        <v>421</v>
      </c>
      <c r="Q62" s="159">
        <v>546</v>
      </c>
      <c r="R62" s="159">
        <v>566</v>
      </c>
      <c r="S62" s="159">
        <v>619</v>
      </c>
      <c r="T62" s="157"/>
      <c r="U62" s="157"/>
      <c r="V62" s="157"/>
      <c r="W62" s="184"/>
      <c r="X62" s="157" t="s">
        <v>154</v>
      </c>
      <c r="Y62" s="159">
        <v>1137</v>
      </c>
      <c r="Z62" s="159">
        <v>1255</v>
      </c>
      <c r="AA62" s="159">
        <v>1059</v>
      </c>
      <c r="AB62" s="159">
        <v>1239</v>
      </c>
      <c r="AC62" s="159">
        <v>1288</v>
      </c>
      <c r="AD62" s="159">
        <v>1398</v>
      </c>
    </row>
    <row r="63" spans="1:30" x14ac:dyDescent="0.3">
      <c r="A63" s="184"/>
      <c r="B63" s="157" t="s">
        <v>155</v>
      </c>
      <c r="C63" s="159">
        <v>258</v>
      </c>
      <c r="D63" s="159">
        <v>288</v>
      </c>
      <c r="E63" s="159">
        <v>234</v>
      </c>
      <c r="F63" s="159">
        <v>278</v>
      </c>
      <c r="G63" s="159">
        <v>285</v>
      </c>
      <c r="H63" s="159">
        <v>299</v>
      </c>
      <c r="I63" s="157"/>
      <c r="J63" s="157"/>
      <c r="K63" s="157"/>
      <c r="L63" s="184"/>
      <c r="M63" s="157" t="s">
        <v>155</v>
      </c>
      <c r="N63" s="159">
        <v>422</v>
      </c>
      <c r="O63" s="159">
        <v>485</v>
      </c>
      <c r="P63" s="159">
        <v>397</v>
      </c>
      <c r="Q63" s="159">
        <v>528</v>
      </c>
      <c r="R63" s="159">
        <v>538</v>
      </c>
      <c r="S63" s="159">
        <v>549</v>
      </c>
      <c r="T63" s="157"/>
      <c r="U63" s="157"/>
      <c r="V63" s="157"/>
      <c r="W63" s="184"/>
      <c r="X63" s="157" t="s">
        <v>155</v>
      </c>
      <c r="Y63" s="159">
        <v>1113</v>
      </c>
      <c r="Z63" s="159">
        <v>1225</v>
      </c>
      <c r="AA63" s="159">
        <v>1009</v>
      </c>
      <c r="AB63" s="159">
        <v>1200</v>
      </c>
      <c r="AC63" s="159">
        <v>1231</v>
      </c>
      <c r="AD63" s="159">
        <v>1247</v>
      </c>
    </row>
    <row r="64" spans="1:30" x14ac:dyDescent="0.3">
      <c r="A64" s="162" t="s">
        <v>163</v>
      </c>
      <c r="B64" s="157"/>
      <c r="C64" s="157"/>
      <c r="D64" s="157"/>
      <c r="E64" s="157"/>
      <c r="F64" s="157"/>
      <c r="G64" s="157"/>
      <c r="H64" s="157"/>
      <c r="I64" s="157"/>
      <c r="J64" s="157"/>
      <c r="K64" s="157"/>
      <c r="L64" s="162" t="s">
        <v>163</v>
      </c>
      <c r="M64" s="157"/>
      <c r="N64" s="157"/>
      <c r="O64" s="157"/>
      <c r="P64" s="157"/>
      <c r="Q64" s="157"/>
      <c r="R64" s="157"/>
      <c r="S64" s="157"/>
      <c r="T64" s="157"/>
      <c r="U64" s="157"/>
      <c r="V64" s="157"/>
      <c r="W64" s="162" t="s">
        <v>163</v>
      </c>
      <c r="X64" s="157"/>
      <c r="Y64" s="157"/>
      <c r="Z64" s="157"/>
      <c r="AA64" s="157"/>
      <c r="AB64" s="157"/>
      <c r="AC64" s="157"/>
      <c r="AD64" s="157"/>
    </row>
    <row r="65" spans="1:23" x14ac:dyDescent="0.3">
      <c r="A65" s="163" t="s">
        <v>157</v>
      </c>
      <c r="L65" s="163" t="s">
        <v>157</v>
      </c>
      <c r="W65" s="163" t="s">
        <v>157</v>
      </c>
    </row>
  </sheetData>
  <mergeCells count="18">
    <mergeCell ref="A40:A51"/>
    <mergeCell ref="W40:W51"/>
    <mergeCell ref="A52:A63"/>
    <mergeCell ref="W52:W63"/>
    <mergeCell ref="L28:L39"/>
    <mergeCell ref="L40:L51"/>
    <mergeCell ref="L52:L63"/>
    <mergeCell ref="A16:A27"/>
    <mergeCell ref="W16:W27"/>
    <mergeCell ref="L4:L15"/>
    <mergeCell ref="L16:L27"/>
    <mergeCell ref="A28:A39"/>
    <mergeCell ref="W28:W39"/>
    <mergeCell ref="W2:AD2"/>
    <mergeCell ref="L2:S2"/>
    <mergeCell ref="A2:H2"/>
    <mergeCell ref="A4:A15"/>
    <mergeCell ref="W4:W15"/>
  </mergeCells>
  <pageMargins left="0.7" right="0.7" top="0.75" bottom="0.75" header="0.3" footer="0.3"/>
  <ignoredErrors>
    <ignoredError sqref="X4:X63 B4:B63 M4: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E504C-47F8-4D84-927B-6C1755DB74DC}">
  <sheetPr>
    <tabColor theme="5" tint="-0.249977111117893"/>
  </sheetPr>
  <dimension ref="A3:H72"/>
  <sheetViews>
    <sheetView showGridLines="0" zoomScaleNormal="100" workbookViewId="0">
      <selection activeCell="I14" sqref="I14"/>
    </sheetView>
  </sheetViews>
  <sheetFormatPr defaultRowHeight="15" customHeight="1" x14ac:dyDescent="0.3"/>
  <cols>
    <col min="1" max="1" width="14.5546875" style="11" customWidth="1"/>
    <col min="2" max="2" width="11.5546875" style="11" customWidth="1"/>
    <col min="3" max="16384" width="8.88671875" style="11"/>
  </cols>
  <sheetData>
    <row r="3" spans="1:7" ht="15" customHeight="1" x14ac:dyDescent="0.3">
      <c r="A3" s="176" t="s">
        <v>99</v>
      </c>
      <c r="B3" s="176"/>
      <c r="C3" s="176"/>
      <c r="D3" s="176"/>
      <c r="E3" s="176"/>
      <c r="F3" s="176"/>
      <c r="G3" s="176"/>
    </row>
    <row r="4" spans="1:7" ht="15" customHeight="1" x14ac:dyDescent="0.3">
      <c r="A4" s="176" t="s">
        <v>106</v>
      </c>
      <c r="B4" s="176"/>
      <c r="C4" s="176"/>
      <c r="D4" s="176"/>
      <c r="E4" s="176"/>
      <c r="F4" s="176"/>
      <c r="G4" s="176"/>
    </row>
    <row r="5" spans="1:7" ht="15" customHeight="1" x14ac:dyDescent="0.3">
      <c r="A5" s="93" t="s">
        <v>119</v>
      </c>
      <c r="B5" s="94"/>
      <c r="C5" s="94" t="s">
        <v>71</v>
      </c>
      <c r="D5" s="94" t="s">
        <v>72</v>
      </c>
      <c r="E5" s="94" t="s">
        <v>73</v>
      </c>
      <c r="F5" s="94" t="s">
        <v>74</v>
      </c>
      <c r="G5" s="94" t="s">
        <v>1</v>
      </c>
    </row>
    <row r="6" spans="1:7" ht="15" customHeight="1" x14ac:dyDescent="0.3">
      <c r="A6" s="178" t="s">
        <v>4</v>
      </c>
      <c r="B6" s="11" t="s">
        <v>7</v>
      </c>
      <c r="C6" s="47">
        <v>71</v>
      </c>
      <c r="D6" s="47">
        <v>276</v>
      </c>
      <c r="E6" s="47">
        <v>636</v>
      </c>
      <c r="F6" s="47">
        <v>642</v>
      </c>
      <c r="G6" s="71">
        <f>SUM(C6:F6)</f>
        <v>1625</v>
      </c>
    </row>
    <row r="7" spans="1:7" ht="15" customHeight="1" x14ac:dyDescent="0.3">
      <c r="A7" s="178"/>
      <c r="B7" s="11" t="s">
        <v>8</v>
      </c>
      <c r="C7" s="47">
        <v>494</v>
      </c>
      <c r="D7" s="47">
        <v>1476</v>
      </c>
      <c r="E7" s="47">
        <v>3363</v>
      </c>
      <c r="F7" s="47">
        <v>2900</v>
      </c>
      <c r="G7" s="71">
        <f>SUM(C7:F7)</f>
        <v>8233</v>
      </c>
    </row>
    <row r="8" spans="1:7" ht="15" customHeight="1" x14ac:dyDescent="0.3">
      <c r="A8" s="178"/>
      <c r="B8" s="11" t="s">
        <v>9</v>
      </c>
      <c r="C8" s="47">
        <v>1333</v>
      </c>
      <c r="D8" s="47">
        <v>4058</v>
      </c>
      <c r="E8" s="47">
        <v>8709</v>
      </c>
      <c r="F8" s="47">
        <v>7536</v>
      </c>
      <c r="G8" s="71">
        <f>SUM(C8:F8)</f>
        <v>21636</v>
      </c>
    </row>
    <row r="9" spans="1:7" ht="15" customHeight="1" x14ac:dyDescent="0.3">
      <c r="A9" s="177" t="s">
        <v>2</v>
      </c>
      <c r="B9" s="16" t="s">
        <v>7</v>
      </c>
      <c r="C9" s="72">
        <v>54</v>
      </c>
      <c r="D9" s="72">
        <v>183</v>
      </c>
      <c r="E9" s="72">
        <v>481</v>
      </c>
      <c r="F9" s="72">
        <v>289</v>
      </c>
      <c r="G9" s="73">
        <f t="shared" ref="G9:G11" si="0">SUM(C9:F9)</f>
        <v>1007</v>
      </c>
    </row>
    <row r="10" spans="1:7" ht="15" customHeight="1" x14ac:dyDescent="0.3">
      <c r="A10" s="177"/>
      <c r="B10" s="16" t="s">
        <v>8</v>
      </c>
      <c r="C10" s="72">
        <v>557</v>
      </c>
      <c r="D10" s="72">
        <v>1630</v>
      </c>
      <c r="E10" s="72">
        <v>3480</v>
      </c>
      <c r="F10" s="72">
        <v>1912</v>
      </c>
      <c r="G10" s="73">
        <f t="shared" si="0"/>
        <v>7579</v>
      </c>
    </row>
    <row r="11" spans="1:7" ht="15" customHeight="1" x14ac:dyDescent="0.3">
      <c r="A11" s="177"/>
      <c r="B11" s="16" t="s">
        <v>9</v>
      </c>
      <c r="C11" s="72">
        <v>1306</v>
      </c>
      <c r="D11" s="72">
        <v>3643</v>
      </c>
      <c r="E11" s="72">
        <v>7587</v>
      </c>
      <c r="F11" s="72">
        <v>4051</v>
      </c>
      <c r="G11" s="73">
        <f t="shared" si="0"/>
        <v>16587</v>
      </c>
    </row>
    <row r="12" spans="1:7" ht="15" customHeight="1" x14ac:dyDescent="0.3">
      <c r="A12" s="178" t="s">
        <v>5</v>
      </c>
      <c r="B12" s="11" t="s">
        <v>7</v>
      </c>
      <c r="C12" s="47">
        <v>15</v>
      </c>
      <c r="D12" s="47">
        <v>150</v>
      </c>
      <c r="E12" s="47">
        <v>498</v>
      </c>
      <c r="F12" s="47">
        <v>118</v>
      </c>
      <c r="G12" s="71">
        <f>SUM(C12:F12)</f>
        <v>781</v>
      </c>
    </row>
    <row r="13" spans="1:7" ht="15" customHeight="1" x14ac:dyDescent="0.3">
      <c r="A13" s="178"/>
      <c r="B13" s="11" t="s">
        <v>8</v>
      </c>
      <c r="C13" s="47">
        <v>131</v>
      </c>
      <c r="D13" s="47">
        <v>1263</v>
      </c>
      <c r="E13" s="47">
        <v>3208</v>
      </c>
      <c r="F13" s="47">
        <v>713</v>
      </c>
      <c r="G13" s="71">
        <f t="shared" ref="G13:G14" si="1">SUM(C13:F13)</f>
        <v>5315</v>
      </c>
    </row>
    <row r="14" spans="1:7" ht="15" customHeight="1" x14ac:dyDescent="0.3">
      <c r="A14" s="178"/>
      <c r="B14" s="11" t="s">
        <v>9</v>
      </c>
      <c r="C14" s="47">
        <v>301</v>
      </c>
      <c r="D14" s="47">
        <v>3061</v>
      </c>
      <c r="E14" s="47">
        <v>7539</v>
      </c>
      <c r="F14" s="47">
        <v>1651</v>
      </c>
      <c r="G14" s="71">
        <f t="shared" si="1"/>
        <v>12552</v>
      </c>
    </row>
    <row r="15" spans="1:7" ht="15" customHeight="1" x14ac:dyDescent="0.3">
      <c r="A15" s="177" t="s">
        <v>6</v>
      </c>
      <c r="B15" s="16" t="s">
        <v>7</v>
      </c>
      <c r="C15" s="72">
        <v>17</v>
      </c>
      <c r="D15" s="72">
        <v>178</v>
      </c>
      <c r="E15" s="72">
        <v>371</v>
      </c>
      <c r="F15" s="72">
        <v>147</v>
      </c>
      <c r="G15" s="73">
        <f>SUM(C15:F15)</f>
        <v>713</v>
      </c>
    </row>
    <row r="16" spans="1:7" ht="15" customHeight="1" x14ac:dyDescent="0.3">
      <c r="A16" s="177"/>
      <c r="B16" s="16" t="s">
        <v>8</v>
      </c>
      <c r="C16" s="72">
        <v>138</v>
      </c>
      <c r="D16" s="72">
        <v>1271</v>
      </c>
      <c r="E16" s="72">
        <v>2049</v>
      </c>
      <c r="F16" s="72">
        <v>715</v>
      </c>
      <c r="G16" s="73">
        <f t="shared" ref="G16:G17" si="2">SUM(C16:F16)</f>
        <v>4173</v>
      </c>
    </row>
    <row r="17" spans="1:7" ht="15" customHeight="1" x14ac:dyDescent="0.3">
      <c r="A17" s="177"/>
      <c r="B17" s="16" t="s">
        <v>9</v>
      </c>
      <c r="C17" s="72">
        <v>356</v>
      </c>
      <c r="D17" s="72">
        <v>3320</v>
      </c>
      <c r="E17" s="72">
        <v>4711</v>
      </c>
      <c r="F17" s="72">
        <v>1619</v>
      </c>
      <c r="G17" s="73">
        <f t="shared" si="2"/>
        <v>10006</v>
      </c>
    </row>
    <row r="18" spans="1:7" ht="15" customHeight="1" x14ac:dyDescent="0.3">
      <c r="A18" s="178" t="s">
        <v>75</v>
      </c>
      <c r="B18" s="11" t="s">
        <v>7</v>
      </c>
      <c r="C18" s="47">
        <v>0</v>
      </c>
      <c r="D18" s="47">
        <v>25</v>
      </c>
      <c r="E18" s="47">
        <v>77</v>
      </c>
      <c r="F18" s="47">
        <v>26</v>
      </c>
      <c r="G18" s="71">
        <f>SUM(C18:F18)</f>
        <v>128</v>
      </c>
    </row>
    <row r="19" spans="1:7" ht="15" customHeight="1" x14ac:dyDescent="0.3">
      <c r="A19" s="178"/>
      <c r="B19" s="11" t="s">
        <v>8</v>
      </c>
      <c r="C19" s="47">
        <v>0</v>
      </c>
      <c r="D19" s="47">
        <v>127</v>
      </c>
      <c r="E19" s="47">
        <v>298</v>
      </c>
      <c r="F19" s="47">
        <v>91</v>
      </c>
      <c r="G19" s="71">
        <f>SUM(C19:F19)</f>
        <v>516</v>
      </c>
    </row>
    <row r="20" spans="1:7" ht="15" customHeight="1" x14ac:dyDescent="0.3">
      <c r="A20" s="178"/>
      <c r="B20" s="11" t="s">
        <v>9</v>
      </c>
      <c r="C20" s="47">
        <v>0</v>
      </c>
      <c r="D20" s="47">
        <v>329</v>
      </c>
      <c r="E20" s="47">
        <v>804</v>
      </c>
      <c r="F20" s="47">
        <v>210</v>
      </c>
      <c r="G20" s="71">
        <f>SUM(C20:F20)</f>
        <v>1343</v>
      </c>
    </row>
    <row r="21" spans="1:7" ht="15" customHeight="1" x14ac:dyDescent="0.3">
      <c r="A21" s="186" t="s">
        <v>1</v>
      </c>
      <c r="B21" s="95" t="s">
        <v>7</v>
      </c>
      <c r="C21" s="98">
        <f t="shared" ref="C21:G21" si="3">C9+C18+C6+C12+C15</f>
        <v>157</v>
      </c>
      <c r="D21" s="98">
        <f t="shared" si="3"/>
        <v>812</v>
      </c>
      <c r="E21" s="98">
        <f t="shared" si="3"/>
        <v>2063</v>
      </c>
      <c r="F21" s="98">
        <f t="shared" si="3"/>
        <v>1222</v>
      </c>
      <c r="G21" s="98">
        <f t="shared" si="3"/>
        <v>4254</v>
      </c>
    </row>
    <row r="22" spans="1:7" ht="15" customHeight="1" x14ac:dyDescent="0.3">
      <c r="A22" s="186"/>
      <c r="B22" s="95" t="s">
        <v>8</v>
      </c>
      <c r="C22" s="98">
        <f t="shared" ref="C22:G22" si="4">C10+C19+C7+C13+C16</f>
        <v>1320</v>
      </c>
      <c r="D22" s="98">
        <f t="shared" si="4"/>
        <v>5767</v>
      </c>
      <c r="E22" s="98">
        <f t="shared" si="4"/>
        <v>12398</v>
      </c>
      <c r="F22" s="98">
        <f t="shared" si="4"/>
        <v>6331</v>
      </c>
      <c r="G22" s="98">
        <f t="shared" si="4"/>
        <v>25816</v>
      </c>
    </row>
    <row r="23" spans="1:7" ht="15" customHeight="1" x14ac:dyDescent="0.3">
      <c r="A23" s="186"/>
      <c r="B23" s="95" t="s">
        <v>9</v>
      </c>
      <c r="C23" s="98">
        <f t="shared" ref="C23:G23" si="5">C11+C20+C8+C14+C17</f>
        <v>3296</v>
      </c>
      <c r="D23" s="98">
        <f t="shared" si="5"/>
        <v>14411</v>
      </c>
      <c r="E23" s="98">
        <f t="shared" si="5"/>
        <v>29350</v>
      </c>
      <c r="F23" s="98">
        <f t="shared" si="5"/>
        <v>15067</v>
      </c>
      <c r="G23" s="98">
        <f t="shared" si="5"/>
        <v>62124</v>
      </c>
    </row>
    <row r="24" spans="1:7" ht="15" customHeight="1" x14ac:dyDescent="0.3">
      <c r="A24" s="6" t="s">
        <v>130</v>
      </c>
      <c r="B24" s="7"/>
      <c r="C24" s="7"/>
      <c r="D24" s="7"/>
      <c r="E24" s="8"/>
      <c r="F24" s="8"/>
      <c r="G24" s="8"/>
    </row>
    <row r="27" spans="1:7" ht="15" customHeight="1" x14ac:dyDescent="0.3">
      <c r="A27" s="176" t="s">
        <v>99</v>
      </c>
      <c r="B27" s="176"/>
      <c r="C27" s="176"/>
      <c r="D27" s="176"/>
      <c r="E27" s="176"/>
      <c r="F27" s="176"/>
      <c r="G27" s="176"/>
    </row>
    <row r="28" spans="1:7" ht="15" customHeight="1" x14ac:dyDescent="0.3">
      <c r="A28" s="176" t="s">
        <v>103</v>
      </c>
      <c r="B28" s="176"/>
      <c r="C28" s="176"/>
      <c r="D28" s="176"/>
      <c r="E28" s="176"/>
      <c r="F28" s="176"/>
      <c r="G28" s="176"/>
    </row>
    <row r="29" spans="1:7" ht="15" customHeight="1" x14ac:dyDescent="0.3">
      <c r="A29" s="93" t="s">
        <v>119</v>
      </c>
      <c r="B29" s="94"/>
      <c r="C29" s="94" t="s">
        <v>71</v>
      </c>
      <c r="D29" s="94" t="s">
        <v>72</v>
      </c>
      <c r="E29" s="94" t="s">
        <v>73</v>
      </c>
      <c r="F29" s="94" t="s">
        <v>74</v>
      </c>
      <c r="G29" s="94" t="s">
        <v>1</v>
      </c>
    </row>
    <row r="30" spans="1:7" ht="15" customHeight="1" x14ac:dyDescent="0.3">
      <c r="A30" s="178" t="s">
        <v>4</v>
      </c>
      <c r="B30" s="11" t="s">
        <v>7</v>
      </c>
      <c r="C30" s="47">
        <v>71</v>
      </c>
      <c r="D30" s="47">
        <v>276</v>
      </c>
      <c r="E30" s="47">
        <v>636</v>
      </c>
      <c r="F30" s="47">
        <v>642</v>
      </c>
      <c r="G30" s="71">
        <f>SUM(C30:F30)</f>
        <v>1625</v>
      </c>
    </row>
    <row r="31" spans="1:7" ht="15" customHeight="1" x14ac:dyDescent="0.3">
      <c r="A31" s="178"/>
      <c r="B31" s="11" t="s">
        <v>8</v>
      </c>
      <c r="C31" s="47">
        <v>494</v>
      </c>
      <c r="D31" s="47">
        <v>1476</v>
      </c>
      <c r="E31" s="47">
        <v>3363</v>
      </c>
      <c r="F31" s="47">
        <v>2900</v>
      </c>
      <c r="G31" s="71">
        <f>SUM(C31:F31)</f>
        <v>8233</v>
      </c>
    </row>
    <row r="32" spans="1:7" ht="15" customHeight="1" x14ac:dyDescent="0.3">
      <c r="A32" s="178"/>
      <c r="B32" s="11" t="s">
        <v>9</v>
      </c>
      <c r="C32" s="47">
        <v>1333</v>
      </c>
      <c r="D32" s="47">
        <v>4058</v>
      </c>
      <c r="E32" s="47">
        <v>8709</v>
      </c>
      <c r="F32" s="47">
        <v>7536</v>
      </c>
      <c r="G32" s="71">
        <f>SUM(C32:F32)</f>
        <v>21636</v>
      </c>
    </row>
    <row r="33" spans="1:7" ht="15" customHeight="1" x14ac:dyDescent="0.3">
      <c r="A33" s="177" t="s">
        <v>2</v>
      </c>
      <c r="B33" s="16" t="s">
        <v>7</v>
      </c>
      <c r="C33" s="72">
        <v>54</v>
      </c>
      <c r="D33" s="72">
        <v>183</v>
      </c>
      <c r="E33" s="72">
        <v>484</v>
      </c>
      <c r="F33" s="72">
        <v>289</v>
      </c>
      <c r="G33" s="73">
        <f t="shared" ref="G33:G35" si="6">SUM(C33:F33)</f>
        <v>1010</v>
      </c>
    </row>
    <row r="34" spans="1:7" ht="15" customHeight="1" x14ac:dyDescent="0.3">
      <c r="A34" s="177"/>
      <c r="B34" s="16" t="s">
        <v>8</v>
      </c>
      <c r="C34" s="72">
        <v>557</v>
      </c>
      <c r="D34" s="72">
        <v>1630</v>
      </c>
      <c r="E34" s="72">
        <v>3498</v>
      </c>
      <c r="F34" s="72">
        <v>1912</v>
      </c>
      <c r="G34" s="73">
        <f t="shared" si="6"/>
        <v>7597</v>
      </c>
    </row>
    <row r="35" spans="1:7" ht="15" customHeight="1" x14ac:dyDescent="0.3">
      <c r="A35" s="177"/>
      <c r="B35" s="16" t="s">
        <v>9</v>
      </c>
      <c r="C35" s="72">
        <v>1306</v>
      </c>
      <c r="D35" s="72">
        <v>3643</v>
      </c>
      <c r="E35" s="72">
        <v>7631</v>
      </c>
      <c r="F35" s="72">
        <v>4051</v>
      </c>
      <c r="G35" s="73">
        <f t="shared" si="6"/>
        <v>16631</v>
      </c>
    </row>
    <row r="36" spans="1:7" ht="15" customHeight="1" x14ac:dyDescent="0.3">
      <c r="A36" s="178" t="s">
        <v>5</v>
      </c>
      <c r="B36" s="11" t="s">
        <v>7</v>
      </c>
      <c r="C36" s="47">
        <v>15</v>
      </c>
      <c r="D36" s="47">
        <v>152</v>
      </c>
      <c r="E36" s="47">
        <v>511</v>
      </c>
      <c r="F36" s="47">
        <v>122</v>
      </c>
      <c r="G36" s="71">
        <f>SUM(C36:F36)</f>
        <v>800</v>
      </c>
    </row>
    <row r="37" spans="1:7" ht="15" customHeight="1" x14ac:dyDescent="0.3">
      <c r="A37" s="178"/>
      <c r="B37" s="11" t="s">
        <v>8</v>
      </c>
      <c r="C37" s="47">
        <v>131</v>
      </c>
      <c r="D37" s="47">
        <v>1277</v>
      </c>
      <c r="E37" s="47">
        <v>3296</v>
      </c>
      <c r="F37" s="47">
        <v>729</v>
      </c>
      <c r="G37" s="71">
        <f t="shared" ref="G37:G38" si="7">SUM(C37:F37)</f>
        <v>5433</v>
      </c>
    </row>
    <row r="38" spans="1:7" ht="15" customHeight="1" x14ac:dyDescent="0.3">
      <c r="A38" s="178"/>
      <c r="B38" s="11" t="s">
        <v>9</v>
      </c>
      <c r="C38" s="47">
        <v>301</v>
      </c>
      <c r="D38" s="47">
        <v>3089</v>
      </c>
      <c r="E38" s="47">
        <v>7759</v>
      </c>
      <c r="F38" s="47">
        <v>1687</v>
      </c>
      <c r="G38" s="71">
        <f t="shared" si="7"/>
        <v>12836</v>
      </c>
    </row>
    <row r="39" spans="1:7" ht="15" customHeight="1" x14ac:dyDescent="0.3">
      <c r="A39" s="177" t="s">
        <v>6</v>
      </c>
      <c r="B39" s="16" t="s">
        <v>7</v>
      </c>
      <c r="C39" s="72">
        <v>17</v>
      </c>
      <c r="D39" s="72">
        <v>178</v>
      </c>
      <c r="E39" s="72">
        <v>371</v>
      </c>
      <c r="F39" s="72">
        <v>147</v>
      </c>
      <c r="G39" s="73">
        <f>SUM(C39:F39)</f>
        <v>713</v>
      </c>
    </row>
    <row r="40" spans="1:7" ht="15" customHeight="1" x14ac:dyDescent="0.3">
      <c r="A40" s="177"/>
      <c r="B40" s="16" t="s">
        <v>8</v>
      </c>
      <c r="C40" s="72">
        <v>138</v>
      </c>
      <c r="D40" s="72">
        <v>1271</v>
      </c>
      <c r="E40" s="72">
        <v>2049</v>
      </c>
      <c r="F40" s="72">
        <v>715</v>
      </c>
      <c r="G40" s="73">
        <f t="shared" ref="G40:G41" si="8">SUM(C40:F40)</f>
        <v>4173</v>
      </c>
    </row>
    <row r="41" spans="1:7" ht="15" customHeight="1" x14ac:dyDescent="0.3">
      <c r="A41" s="177"/>
      <c r="B41" s="16" t="s">
        <v>9</v>
      </c>
      <c r="C41" s="72">
        <v>356</v>
      </c>
      <c r="D41" s="72">
        <v>3320</v>
      </c>
      <c r="E41" s="72">
        <v>4711</v>
      </c>
      <c r="F41" s="72">
        <v>1619</v>
      </c>
      <c r="G41" s="73">
        <f t="shared" si="8"/>
        <v>10006</v>
      </c>
    </row>
    <row r="42" spans="1:7" ht="15" customHeight="1" x14ac:dyDescent="0.3">
      <c r="A42" s="178" t="s">
        <v>75</v>
      </c>
      <c r="B42" s="11" t="s">
        <v>7</v>
      </c>
      <c r="C42" s="47">
        <v>0</v>
      </c>
      <c r="D42" s="47">
        <v>25</v>
      </c>
      <c r="E42" s="47">
        <v>78</v>
      </c>
      <c r="F42" s="47">
        <v>26</v>
      </c>
      <c r="G42" s="71">
        <f>SUM(C42:F42)</f>
        <v>129</v>
      </c>
    </row>
    <row r="43" spans="1:7" ht="15" customHeight="1" x14ac:dyDescent="0.3">
      <c r="A43" s="178"/>
      <c r="B43" s="11" t="s">
        <v>8</v>
      </c>
      <c r="C43" s="47">
        <v>0</v>
      </c>
      <c r="D43" s="47">
        <v>127</v>
      </c>
      <c r="E43" s="47">
        <v>300</v>
      </c>
      <c r="F43" s="47">
        <v>91</v>
      </c>
      <c r="G43" s="71">
        <f>SUM(C43:F43)</f>
        <v>518</v>
      </c>
    </row>
    <row r="44" spans="1:7" ht="15" customHeight="1" x14ac:dyDescent="0.3">
      <c r="A44" s="178"/>
      <c r="B44" s="11" t="s">
        <v>9</v>
      </c>
      <c r="C44" s="47">
        <v>0</v>
      </c>
      <c r="D44" s="47">
        <v>329</v>
      </c>
      <c r="E44" s="47">
        <v>816</v>
      </c>
      <c r="F44" s="47">
        <v>210</v>
      </c>
      <c r="G44" s="71">
        <f>SUM(C44:F44)</f>
        <v>1355</v>
      </c>
    </row>
    <row r="45" spans="1:7" ht="15" customHeight="1" x14ac:dyDescent="0.3">
      <c r="A45" s="186" t="s">
        <v>1</v>
      </c>
      <c r="B45" s="95" t="s">
        <v>7</v>
      </c>
      <c r="C45" s="98">
        <f t="shared" ref="C45:G47" si="9">C33+C42+C30+C36+C39</f>
        <v>157</v>
      </c>
      <c r="D45" s="98">
        <f t="shared" si="9"/>
        <v>814</v>
      </c>
      <c r="E45" s="98">
        <f t="shared" si="9"/>
        <v>2080</v>
      </c>
      <c r="F45" s="98">
        <f t="shared" si="9"/>
        <v>1226</v>
      </c>
      <c r="G45" s="98">
        <f t="shared" si="9"/>
        <v>4277</v>
      </c>
    </row>
    <row r="46" spans="1:7" ht="15" customHeight="1" x14ac:dyDescent="0.3">
      <c r="A46" s="186"/>
      <c r="B46" s="95" t="s">
        <v>8</v>
      </c>
      <c r="C46" s="98">
        <f t="shared" si="9"/>
        <v>1320</v>
      </c>
      <c r="D46" s="98">
        <f t="shared" si="9"/>
        <v>5781</v>
      </c>
      <c r="E46" s="98">
        <f t="shared" si="9"/>
        <v>12506</v>
      </c>
      <c r="F46" s="98">
        <f t="shared" si="9"/>
        <v>6347</v>
      </c>
      <c r="G46" s="98">
        <f t="shared" si="9"/>
        <v>25954</v>
      </c>
    </row>
    <row r="47" spans="1:7" ht="15" customHeight="1" x14ac:dyDescent="0.3">
      <c r="A47" s="186"/>
      <c r="B47" s="95" t="s">
        <v>9</v>
      </c>
      <c r="C47" s="98">
        <f t="shared" si="9"/>
        <v>3296</v>
      </c>
      <c r="D47" s="98">
        <f t="shared" si="9"/>
        <v>14439</v>
      </c>
      <c r="E47" s="98">
        <f t="shared" si="9"/>
        <v>29626</v>
      </c>
      <c r="F47" s="98">
        <f t="shared" si="9"/>
        <v>15103</v>
      </c>
      <c r="G47" s="98">
        <f t="shared" si="9"/>
        <v>62464</v>
      </c>
    </row>
    <row r="48" spans="1:7" ht="15" customHeight="1" x14ac:dyDescent="0.3">
      <c r="A48" s="6" t="s">
        <v>130</v>
      </c>
      <c r="B48" s="7"/>
      <c r="C48" s="7"/>
      <c r="D48" s="7"/>
      <c r="E48" s="8"/>
      <c r="F48" s="8"/>
      <c r="G48" s="8"/>
    </row>
    <row r="51" spans="1:7" ht="15" customHeight="1" x14ac:dyDescent="0.3">
      <c r="A51" s="176" t="s">
        <v>99</v>
      </c>
      <c r="B51" s="176"/>
      <c r="C51" s="176"/>
      <c r="D51" s="176"/>
      <c r="E51" s="176"/>
      <c r="F51" s="176"/>
      <c r="G51" s="176"/>
    </row>
    <row r="52" spans="1:7" ht="15" customHeight="1" x14ac:dyDescent="0.3">
      <c r="A52" s="176" t="s">
        <v>100</v>
      </c>
      <c r="B52" s="176"/>
      <c r="C52" s="176"/>
      <c r="D52" s="176"/>
      <c r="E52" s="176"/>
      <c r="F52" s="176"/>
      <c r="G52" s="176"/>
    </row>
    <row r="53" spans="1:7" ht="15" customHeight="1" x14ac:dyDescent="0.3">
      <c r="A53" s="93" t="s">
        <v>119</v>
      </c>
      <c r="B53" s="94"/>
      <c r="C53" s="94" t="s">
        <v>71</v>
      </c>
      <c r="D53" s="94" t="s">
        <v>72</v>
      </c>
      <c r="E53" s="94" t="s">
        <v>73</v>
      </c>
      <c r="F53" s="94" t="s">
        <v>74</v>
      </c>
      <c r="G53" s="94" t="s">
        <v>1</v>
      </c>
    </row>
    <row r="54" spans="1:7" ht="15" customHeight="1" x14ac:dyDescent="0.3">
      <c r="A54" s="178" t="s">
        <v>4</v>
      </c>
      <c r="B54" s="11" t="s">
        <v>7</v>
      </c>
      <c r="C54" s="47">
        <v>68</v>
      </c>
      <c r="D54" s="47">
        <v>271</v>
      </c>
      <c r="E54" s="47">
        <v>618</v>
      </c>
      <c r="F54" s="47">
        <v>625</v>
      </c>
      <c r="G54" s="71">
        <f>SUM(C54:F54)</f>
        <v>1582</v>
      </c>
    </row>
    <row r="55" spans="1:7" ht="15" customHeight="1" x14ac:dyDescent="0.3">
      <c r="A55" s="178"/>
      <c r="B55" s="11" t="s">
        <v>8</v>
      </c>
      <c r="C55" s="47">
        <v>489</v>
      </c>
      <c r="D55" s="47">
        <v>1449</v>
      </c>
      <c r="E55" s="47">
        <v>3294</v>
      </c>
      <c r="F55" s="47">
        <v>2837</v>
      </c>
      <c r="G55" s="71">
        <f>SUM(C55:F55)</f>
        <v>8069</v>
      </c>
    </row>
    <row r="56" spans="1:7" ht="15" customHeight="1" x14ac:dyDescent="0.3">
      <c r="A56" s="178"/>
      <c r="B56" s="11" t="s">
        <v>9</v>
      </c>
      <c r="C56" s="47">
        <v>1317</v>
      </c>
      <c r="D56" s="47">
        <v>3984</v>
      </c>
      <c r="E56" s="47">
        <v>8543</v>
      </c>
      <c r="F56" s="47">
        <v>7336</v>
      </c>
      <c r="G56" s="71">
        <f>SUM(C56:F56)</f>
        <v>21180</v>
      </c>
    </row>
    <row r="57" spans="1:7" ht="15" customHeight="1" x14ac:dyDescent="0.3">
      <c r="A57" s="177" t="s">
        <v>2</v>
      </c>
      <c r="B57" s="16" t="s">
        <v>7</v>
      </c>
      <c r="C57" s="72">
        <v>54</v>
      </c>
      <c r="D57" s="72">
        <v>183</v>
      </c>
      <c r="E57" s="72">
        <v>484</v>
      </c>
      <c r="F57" s="72">
        <v>290</v>
      </c>
      <c r="G57" s="73">
        <f t="shared" ref="G57:G59" si="10">SUM(C57:F57)</f>
        <v>1011</v>
      </c>
    </row>
    <row r="58" spans="1:7" ht="15" customHeight="1" x14ac:dyDescent="0.3">
      <c r="A58" s="177"/>
      <c r="B58" s="16" t="s">
        <v>8</v>
      </c>
      <c r="C58" s="72">
        <v>557</v>
      </c>
      <c r="D58" s="72">
        <v>1630</v>
      </c>
      <c r="E58" s="72">
        <v>3498</v>
      </c>
      <c r="F58" s="72">
        <v>1918</v>
      </c>
      <c r="G58" s="73">
        <f t="shared" si="10"/>
        <v>7603</v>
      </c>
    </row>
    <row r="59" spans="1:7" ht="15" customHeight="1" x14ac:dyDescent="0.3">
      <c r="A59" s="177"/>
      <c r="B59" s="16" t="s">
        <v>9</v>
      </c>
      <c r="C59" s="72">
        <v>1306</v>
      </c>
      <c r="D59" s="72">
        <v>3643</v>
      </c>
      <c r="E59" s="72">
        <v>7631</v>
      </c>
      <c r="F59" s="72">
        <v>4063</v>
      </c>
      <c r="G59" s="73">
        <f t="shared" si="10"/>
        <v>16643</v>
      </c>
    </row>
    <row r="60" spans="1:7" ht="15" customHeight="1" x14ac:dyDescent="0.3">
      <c r="A60" s="178" t="s">
        <v>5</v>
      </c>
      <c r="B60" s="11" t="s">
        <v>7</v>
      </c>
      <c r="C60" s="47">
        <v>15</v>
      </c>
      <c r="D60" s="47">
        <v>151</v>
      </c>
      <c r="E60" s="47">
        <v>511</v>
      </c>
      <c r="F60" s="47">
        <v>122</v>
      </c>
      <c r="G60" s="71">
        <f>SUM(C60:F60)</f>
        <v>799</v>
      </c>
    </row>
    <row r="61" spans="1:7" ht="15" customHeight="1" x14ac:dyDescent="0.3">
      <c r="A61" s="178"/>
      <c r="B61" s="11" t="s">
        <v>8</v>
      </c>
      <c r="C61" s="47">
        <v>131</v>
      </c>
      <c r="D61" s="47">
        <v>1271</v>
      </c>
      <c r="E61" s="47">
        <v>3294</v>
      </c>
      <c r="F61" s="47">
        <v>729</v>
      </c>
      <c r="G61" s="71">
        <f t="shared" ref="G61:G62" si="11">SUM(C61:F61)</f>
        <v>5425</v>
      </c>
    </row>
    <row r="62" spans="1:7" ht="15" customHeight="1" x14ac:dyDescent="0.3">
      <c r="A62" s="178"/>
      <c r="B62" s="11" t="s">
        <v>9</v>
      </c>
      <c r="C62" s="47">
        <v>301</v>
      </c>
      <c r="D62" s="47">
        <v>3137</v>
      </c>
      <c r="E62" s="47">
        <v>7753</v>
      </c>
      <c r="F62" s="47">
        <v>1687</v>
      </c>
      <c r="G62" s="71">
        <f t="shared" si="11"/>
        <v>12878</v>
      </c>
    </row>
    <row r="63" spans="1:7" ht="15" customHeight="1" x14ac:dyDescent="0.3">
      <c r="A63" s="177" t="s">
        <v>6</v>
      </c>
      <c r="B63" s="16" t="s">
        <v>7</v>
      </c>
      <c r="C63" s="72">
        <v>17</v>
      </c>
      <c r="D63" s="72">
        <v>177</v>
      </c>
      <c r="E63" s="72">
        <v>366</v>
      </c>
      <c r="F63" s="72">
        <v>138</v>
      </c>
      <c r="G63" s="73">
        <f>SUM(C63:F63)</f>
        <v>698</v>
      </c>
    </row>
    <row r="64" spans="1:7" ht="15" customHeight="1" x14ac:dyDescent="0.3">
      <c r="A64" s="177"/>
      <c r="B64" s="16" t="s">
        <v>8</v>
      </c>
      <c r="C64" s="72">
        <v>138</v>
      </c>
      <c r="D64" s="72">
        <v>1267</v>
      </c>
      <c r="E64" s="72">
        <v>1997</v>
      </c>
      <c r="F64" s="72">
        <v>687</v>
      </c>
      <c r="G64" s="73">
        <f t="shared" ref="G64:G65" si="12">SUM(C64:F64)</f>
        <v>4089</v>
      </c>
    </row>
    <row r="65" spans="1:8" ht="15" customHeight="1" x14ac:dyDescent="0.3">
      <c r="A65" s="177"/>
      <c r="B65" s="16" t="s">
        <v>9</v>
      </c>
      <c r="C65" s="72">
        <v>356</v>
      </c>
      <c r="D65" s="72">
        <v>3303</v>
      </c>
      <c r="E65" s="72">
        <v>4606</v>
      </c>
      <c r="F65" s="72">
        <v>1515</v>
      </c>
      <c r="G65" s="73">
        <f t="shared" si="12"/>
        <v>9780</v>
      </c>
    </row>
    <row r="66" spans="1:8" ht="15" customHeight="1" x14ac:dyDescent="0.3">
      <c r="A66" s="178" t="s">
        <v>75</v>
      </c>
      <c r="B66" s="11" t="s">
        <v>7</v>
      </c>
      <c r="C66" s="47">
        <v>0</v>
      </c>
      <c r="D66" s="47">
        <v>24</v>
      </c>
      <c r="E66" s="47">
        <v>78</v>
      </c>
      <c r="F66" s="47">
        <v>26</v>
      </c>
      <c r="G66" s="71">
        <f>SUM(C66:F66)</f>
        <v>128</v>
      </c>
    </row>
    <row r="67" spans="1:8" ht="15" customHeight="1" x14ac:dyDescent="0.3">
      <c r="A67" s="178"/>
      <c r="B67" s="11" t="s">
        <v>8</v>
      </c>
      <c r="C67" s="47">
        <v>0</v>
      </c>
      <c r="D67" s="47">
        <v>119</v>
      </c>
      <c r="E67" s="47">
        <v>300</v>
      </c>
      <c r="F67" s="47">
        <v>91</v>
      </c>
      <c r="G67" s="71">
        <f>SUM(C67:F67)</f>
        <v>510</v>
      </c>
    </row>
    <row r="68" spans="1:8" ht="15" customHeight="1" x14ac:dyDescent="0.3">
      <c r="A68" s="178"/>
      <c r="B68" s="11" t="s">
        <v>9</v>
      </c>
      <c r="C68" s="47">
        <v>0</v>
      </c>
      <c r="D68" s="47">
        <v>305</v>
      </c>
      <c r="E68" s="47">
        <v>816</v>
      </c>
      <c r="F68" s="47">
        <v>210</v>
      </c>
      <c r="G68" s="71">
        <f>SUM(C68:F68)</f>
        <v>1331</v>
      </c>
    </row>
    <row r="69" spans="1:8" ht="15" customHeight="1" x14ac:dyDescent="0.3">
      <c r="A69" s="186" t="s">
        <v>1</v>
      </c>
      <c r="B69" s="95" t="s">
        <v>7</v>
      </c>
      <c r="C69" s="96">
        <f t="shared" ref="C69:G71" si="13">C57+C66+C54+C60+C63</f>
        <v>154</v>
      </c>
      <c r="D69" s="96">
        <f t="shared" si="13"/>
        <v>806</v>
      </c>
      <c r="E69" s="96">
        <f t="shared" si="13"/>
        <v>2057</v>
      </c>
      <c r="F69" s="96">
        <f t="shared" si="13"/>
        <v>1201</v>
      </c>
      <c r="G69" s="96">
        <f t="shared" si="13"/>
        <v>4218</v>
      </c>
    </row>
    <row r="70" spans="1:8" ht="15" customHeight="1" x14ac:dyDescent="0.3">
      <c r="A70" s="186"/>
      <c r="B70" s="95" t="s">
        <v>8</v>
      </c>
      <c r="C70" s="96">
        <f t="shared" si="13"/>
        <v>1315</v>
      </c>
      <c r="D70" s="96">
        <f t="shared" si="13"/>
        <v>5736</v>
      </c>
      <c r="E70" s="96">
        <f t="shared" si="13"/>
        <v>12383</v>
      </c>
      <c r="F70" s="96">
        <f t="shared" si="13"/>
        <v>6262</v>
      </c>
      <c r="G70" s="96">
        <f t="shared" si="13"/>
        <v>25696</v>
      </c>
    </row>
    <row r="71" spans="1:8" ht="15" customHeight="1" x14ac:dyDescent="0.3">
      <c r="A71" s="186"/>
      <c r="B71" s="95" t="s">
        <v>9</v>
      </c>
      <c r="C71" s="96">
        <f t="shared" si="13"/>
        <v>3280</v>
      </c>
      <c r="D71" s="96">
        <f t="shared" si="13"/>
        <v>14372</v>
      </c>
      <c r="E71" s="96">
        <f t="shared" si="13"/>
        <v>29349</v>
      </c>
      <c r="F71" s="96">
        <f t="shared" si="13"/>
        <v>14811</v>
      </c>
      <c r="G71" s="96">
        <f t="shared" si="13"/>
        <v>61812</v>
      </c>
    </row>
    <row r="72" spans="1:8" ht="15" customHeight="1" x14ac:dyDescent="0.3">
      <c r="A72" s="6" t="s">
        <v>130</v>
      </c>
      <c r="B72" s="8"/>
      <c r="C72" s="8"/>
      <c r="D72" s="8"/>
      <c r="E72" s="8"/>
      <c r="F72" s="8"/>
      <c r="G72" s="8"/>
      <c r="H72" s="8"/>
    </row>
  </sheetData>
  <mergeCells count="24">
    <mergeCell ref="A15:A17"/>
    <mergeCell ref="A18:A20"/>
    <mergeCell ref="A21:A23"/>
    <mergeCell ref="A3:G3"/>
    <mergeCell ref="A4:G4"/>
    <mergeCell ref="A6:A8"/>
    <mergeCell ref="A9:A11"/>
    <mergeCell ref="A12:A14"/>
    <mergeCell ref="A39:A41"/>
    <mergeCell ref="A42:A44"/>
    <mergeCell ref="A45:A47"/>
    <mergeCell ref="A27:G27"/>
    <mergeCell ref="A28:G28"/>
    <mergeCell ref="A30:A32"/>
    <mergeCell ref="A33:A35"/>
    <mergeCell ref="A36:A38"/>
    <mergeCell ref="A57:A59"/>
    <mergeCell ref="A66:A68"/>
    <mergeCell ref="A51:G51"/>
    <mergeCell ref="A52:G52"/>
    <mergeCell ref="A69:A71"/>
    <mergeCell ref="A54:A56"/>
    <mergeCell ref="A60:A62"/>
    <mergeCell ref="A63:A65"/>
  </mergeCells>
  <pageMargins left="0.70866141732283472" right="0.70866141732283472" top="0.74803149606299213" bottom="0.74803149606299213" header="0.31496062992125984" footer="0.31496062992125984"/>
  <pageSetup paperSize="9" orientation="landscape" r:id="rId1"/>
  <headerFooter>
    <oddFooter>&amp;L&amp;F&amp;C&amp;P&amp;R&amp;A</oddFooter>
  </headerFooter>
  <rowBreaks count="2" manualBreakCount="2">
    <brk id="24" max="16383" man="1"/>
    <brk id="48"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8"/>
  <sheetViews>
    <sheetView showGridLines="0" zoomScaleNormal="100" workbookViewId="0">
      <pane xSplit="1" topLeftCell="B1" activePane="topRight" state="frozen"/>
      <selection pane="topRight" activeCell="Q5" sqref="Q5:Q34"/>
    </sheetView>
  </sheetViews>
  <sheetFormatPr defaultRowHeight="15" customHeight="1" x14ac:dyDescent="0.3"/>
  <cols>
    <col min="1" max="1" width="14.5546875" style="11" customWidth="1"/>
    <col min="2" max="2" width="19.88671875" style="11" customWidth="1"/>
    <col min="3" max="8" width="10.109375" style="11" customWidth="1"/>
    <col min="9" max="10" width="11.6640625" style="11" bestFit="1" customWidth="1"/>
    <col min="11" max="11" width="13.109375" style="11" bestFit="1" customWidth="1"/>
    <col min="12" max="17" width="11" style="11" customWidth="1"/>
    <col min="18" max="16384" width="8.88671875" style="11"/>
  </cols>
  <sheetData>
    <row r="3" spans="1:17" ht="15" customHeight="1" x14ac:dyDescent="0.3">
      <c r="A3" s="176" t="s">
        <v>167</v>
      </c>
      <c r="B3" s="176"/>
      <c r="C3" s="176"/>
      <c r="D3" s="176"/>
      <c r="E3" s="176"/>
      <c r="F3" s="176"/>
      <c r="G3" s="176"/>
      <c r="H3" s="176"/>
      <c r="I3" s="176"/>
      <c r="J3" s="176"/>
      <c r="K3" s="176"/>
      <c r="L3" s="176"/>
      <c r="M3" s="176"/>
      <c r="N3" s="176"/>
      <c r="O3" s="176"/>
      <c r="P3" s="176"/>
      <c r="Q3" s="176"/>
    </row>
    <row r="4" spans="1:17" ht="15" customHeight="1" x14ac:dyDescent="0.3">
      <c r="A4" s="93" t="s">
        <v>119</v>
      </c>
      <c r="B4" s="94"/>
      <c r="C4" s="99">
        <v>2010</v>
      </c>
      <c r="D4" s="99">
        <v>2011</v>
      </c>
      <c r="E4" s="99">
        <v>2012</v>
      </c>
      <c r="F4" s="99">
        <v>2013</v>
      </c>
      <c r="G4" s="99">
        <v>2014</v>
      </c>
      <c r="H4" s="99">
        <v>2015</v>
      </c>
      <c r="I4" s="99">
        <v>2016</v>
      </c>
      <c r="J4" s="99">
        <v>2017</v>
      </c>
      <c r="K4" s="99">
        <v>2018</v>
      </c>
      <c r="L4" s="99">
        <v>2019</v>
      </c>
      <c r="M4" s="99">
        <v>2020</v>
      </c>
      <c r="N4" s="99">
        <v>2021</v>
      </c>
      <c r="O4" s="99">
        <v>2022</v>
      </c>
      <c r="P4" s="99">
        <v>2023</v>
      </c>
      <c r="Q4" s="99">
        <v>2024</v>
      </c>
    </row>
    <row r="5" spans="1:17" ht="15" customHeight="1" x14ac:dyDescent="0.3">
      <c r="A5" s="180" t="s">
        <v>2</v>
      </c>
      <c r="B5" s="66" t="s">
        <v>77</v>
      </c>
      <c r="C5" s="44">
        <v>275576</v>
      </c>
      <c r="D5" s="44">
        <v>305038</v>
      </c>
      <c r="E5" s="44">
        <v>304028</v>
      </c>
      <c r="F5" s="44">
        <v>328243</v>
      </c>
      <c r="G5" s="44">
        <v>378269</v>
      </c>
      <c r="H5" s="44">
        <v>373602</v>
      </c>
      <c r="I5" s="44">
        <v>411474</v>
      </c>
      <c r="J5" s="44">
        <v>500662</v>
      </c>
      <c r="K5" s="44">
        <v>644605</v>
      </c>
      <c r="L5" s="44">
        <v>639510</v>
      </c>
      <c r="M5" s="44">
        <v>177154</v>
      </c>
      <c r="N5" s="44">
        <v>367553</v>
      </c>
      <c r="O5" s="44">
        <v>580561</v>
      </c>
      <c r="P5" s="44">
        <v>699635</v>
      </c>
      <c r="Q5" s="44">
        <v>733218</v>
      </c>
    </row>
    <row r="6" spans="1:17" ht="15" customHeight="1" x14ac:dyDescent="0.3">
      <c r="A6" s="180"/>
      <c r="B6" s="66" t="s">
        <v>78</v>
      </c>
      <c r="C6" s="44">
        <v>66183</v>
      </c>
      <c r="D6" s="44">
        <v>57422</v>
      </c>
      <c r="E6" s="44">
        <v>45257</v>
      </c>
      <c r="F6" s="44">
        <v>43327</v>
      </c>
      <c r="G6" s="44">
        <v>39694</v>
      </c>
      <c r="H6" s="44">
        <v>42750</v>
      </c>
      <c r="I6" s="44">
        <v>45642</v>
      </c>
      <c r="J6" s="44">
        <v>51646</v>
      </c>
      <c r="K6" s="44">
        <v>80884</v>
      </c>
      <c r="L6" s="44">
        <v>81424</v>
      </c>
      <c r="M6" s="44">
        <v>32794</v>
      </c>
      <c r="N6" s="44">
        <v>39978</v>
      </c>
      <c r="O6" s="44">
        <v>66698</v>
      </c>
      <c r="P6" s="44">
        <v>76441</v>
      </c>
      <c r="Q6" s="44">
        <v>75705</v>
      </c>
    </row>
    <row r="7" spans="1:17" ht="15" customHeight="1" x14ac:dyDescent="0.3">
      <c r="A7" s="180"/>
      <c r="B7" s="66" t="s">
        <v>11</v>
      </c>
      <c r="C7" s="44">
        <v>2114385</v>
      </c>
      <c r="D7" s="44">
        <v>2317685</v>
      </c>
      <c r="E7" s="44">
        <v>2279006</v>
      </c>
      <c r="F7" s="44">
        <v>2476566</v>
      </c>
      <c r="G7" s="44">
        <v>2654772</v>
      </c>
      <c r="H7" s="44">
        <v>2773256</v>
      </c>
      <c r="I7" s="44">
        <v>2956961</v>
      </c>
      <c r="J7" s="44">
        <v>3268612</v>
      </c>
      <c r="K7" s="44">
        <v>4213486</v>
      </c>
      <c r="L7" s="44">
        <v>4176911</v>
      </c>
      <c r="M7" s="44">
        <v>1057282</v>
      </c>
      <c r="N7" s="44">
        <v>2232004</v>
      </c>
      <c r="O7" s="44">
        <v>3783153</v>
      </c>
      <c r="P7" s="44">
        <v>4467268</v>
      </c>
      <c r="Q7" s="44">
        <v>4755720</v>
      </c>
    </row>
    <row r="8" spans="1:17" ht="15" customHeight="1" x14ac:dyDescent="0.3">
      <c r="A8" s="180"/>
      <c r="B8" s="66" t="s">
        <v>12</v>
      </c>
      <c r="C8" s="44">
        <v>243482</v>
      </c>
      <c r="D8" s="44">
        <v>214407</v>
      </c>
      <c r="E8" s="44">
        <v>158225</v>
      </c>
      <c r="F8" s="44">
        <v>144605</v>
      </c>
      <c r="G8" s="44">
        <v>125686</v>
      </c>
      <c r="H8" s="44">
        <v>148562</v>
      </c>
      <c r="I8" s="44">
        <v>152791</v>
      </c>
      <c r="J8" s="44">
        <v>180016</v>
      </c>
      <c r="K8" s="44">
        <v>238211</v>
      </c>
      <c r="L8" s="44">
        <v>245061</v>
      </c>
      <c r="M8" s="44">
        <v>101191</v>
      </c>
      <c r="N8" s="44">
        <v>153946</v>
      </c>
      <c r="O8" s="44">
        <v>193898</v>
      </c>
      <c r="P8" s="44">
        <v>212644</v>
      </c>
      <c r="Q8" s="44">
        <v>217799</v>
      </c>
    </row>
    <row r="9" spans="1:17" ht="15" customHeight="1" x14ac:dyDescent="0.3">
      <c r="A9" s="180"/>
      <c r="B9" s="66" t="s">
        <v>13</v>
      </c>
      <c r="C9" s="67">
        <v>0.62</v>
      </c>
      <c r="D9" s="67">
        <v>0.63200000000000001</v>
      </c>
      <c r="E9" s="67">
        <v>0.58899999999999997</v>
      </c>
      <c r="F9" s="67">
        <v>0.61899999999999999</v>
      </c>
      <c r="G9" s="67">
        <v>0.66200000000000003</v>
      </c>
      <c r="H9" s="67">
        <v>0.65700000000000003</v>
      </c>
      <c r="I9" s="67">
        <v>0.65200000000000002</v>
      </c>
      <c r="J9" s="67">
        <v>0.68100000000000005</v>
      </c>
      <c r="K9" s="67">
        <v>0.63400000000000001</v>
      </c>
      <c r="L9" s="67">
        <v>0.59</v>
      </c>
      <c r="M9" s="67">
        <v>0.42299999999999999</v>
      </c>
      <c r="N9" s="67">
        <v>0.54900000000000004</v>
      </c>
      <c r="O9" s="67">
        <v>0.59</v>
      </c>
      <c r="P9" s="67">
        <v>0.63400000000000001</v>
      </c>
      <c r="Q9" s="67">
        <v>0.58099999999999996</v>
      </c>
    </row>
    <row r="10" spans="1:17" ht="15" customHeight="1" x14ac:dyDescent="0.3">
      <c r="A10" s="188" t="s">
        <v>4</v>
      </c>
      <c r="B10" s="68" t="s">
        <v>79</v>
      </c>
      <c r="C10" s="69">
        <v>437404</v>
      </c>
      <c r="D10" s="69">
        <v>469952</v>
      </c>
      <c r="E10" s="69">
        <v>469946</v>
      </c>
      <c r="F10" s="69">
        <v>505210</v>
      </c>
      <c r="G10" s="69">
        <v>572118</v>
      </c>
      <c r="H10" s="69">
        <v>695294</v>
      </c>
      <c r="I10" s="69">
        <v>751222</v>
      </c>
      <c r="J10" s="69">
        <v>859791</v>
      </c>
      <c r="K10" s="69">
        <v>1076863</v>
      </c>
      <c r="L10" s="69">
        <v>1101466</v>
      </c>
      <c r="M10" s="69">
        <v>261444</v>
      </c>
      <c r="N10" s="69">
        <v>664354</v>
      </c>
      <c r="O10" s="69">
        <v>1040393</v>
      </c>
      <c r="P10" s="69">
        <v>1271197</v>
      </c>
      <c r="Q10" s="69">
        <v>1345529</v>
      </c>
    </row>
    <row r="11" spans="1:17" ht="15" customHeight="1" x14ac:dyDescent="0.3">
      <c r="A11" s="188"/>
      <c r="B11" s="68" t="s">
        <v>80</v>
      </c>
      <c r="C11" s="69">
        <v>166034</v>
      </c>
      <c r="D11" s="69">
        <v>135938</v>
      </c>
      <c r="E11" s="69">
        <v>87924</v>
      </c>
      <c r="F11" s="69">
        <v>78814</v>
      </c>
      <c r="G11" s="69">
        <v>78512</v>
      </c>
      <c r="H11" s="69">
        <v>75868</v>
      </c>
      <c r="I11" s="69">
        <v>92324</v>
      </c>
      <c r="J11" s="69">
        <v>91954</v>
      </c>
      <c r="K11" s="69">
        <v>139911</v>
      </c>
      <c r="L11" s="69">
        <v>145331</v>
      </c>
      <c r="M11" s="69">
        <v>48604</v>
      </c>
      <c r="N11" s="69">
        <v>87437</v>
      </c>
      <c r="O11" s="69">
        <v>134557</v>
      </c>
      <c r="P11" s="69">
        <v>153788</v>
      </c>
      <c r="Q11" s="69">
        <v>180529</v>
      </c>
    </row>
    <row r="12" spans="1:17" ht="15" customHeight="1" x14ac:dyDescent="0.3">
      <c r="A12" s="188"/>
      <c r="B12" s="68" t="s">
        <v>11</v>
      </c>
      <c r="C12" s="69">
        <v>3252653</v>
      </c>
      <c r="D12" s="69">
        <v>3533674</v>
      </c>
      <c r="E12" s="69">
        <v>3514533</v>
      </c>
      <c r="F12" s="69">
        <v>3802764</v>
      </c>
      <c r="G12" s="69">
        <v>3941518</v>
      </c>
      <c r="H12" s="69">
        <v>4193280</v>
      </c>
      <c r="I12" s="69">
        <v>4660605</v>
      </c>
      <c r="J12" s="69">
        <v>4949987</v>
      </c>
      <c r="K12" s="69">
        <v>6250361</v>
      </c>
      <c r="L12" s="69">
        <v>6269235</v>
      </c>
      <c r="M12" s="69">
        <v>1576462</v>
      </c>
      <c r="N12" s="69">
        <v>3367119</v>
      </c>
      <c r="O12" s="69">
        <v>6099756</v>
      </c>
      <c r="P12" s="69">
        <v>6881986</v>
      </c>
      <c r="Q12" s="69">
        <v>7058108</v>
      </c>
    </row>
    <row r="13" spans="1:17" ht="15" customHeight="1" x14ac:dyDescent="0.3">
      <c r="A13" s="188"/>
      <c r="B13" s="68" t="s">
        <v>12</v>
      </c>
      <c r="C13" s="69">
        <v>652578</v>
      </c>
      <c r="D13" s="69">
        <v>509088</v>
      </c>
      <c r="E13" s="69">
        <v>301544</v>
      </c>
      <c r="F13" s="69">
        <v>270727</v>
      </c>
      <c r="G13" s="69">
        <v>256574</v>
      </c>
      <c r="H13" s="69">
        <v>245076</v>
      </c>
      <c r="I13" s="69">
        <v>304074</v>
      </c>
      <c r="J13" s="69">
        <v>284455</v>
      </c>
      <c r="K13" s="69">
        <v>420257</v>
      </c>
      <c r="L13" s="69">
        <v>422555</v>
      </c>
      <c r="M13" s="69">
        <v>135676</v>
      </c>
      <c r="N13" s="69">
        <v>268162</v>
      </c>
      <c r="O13" s="69">
        <v>399729</v>
      </c>
      <c r="P13" s="69">
        <v>468329</v>
      </c>
      <c r="Q13" s="69">
        <v>497194</v>
      </c>
    </row>
    <row r="14" spans="1:17" ht="15" customHeight="1" x14ac:dyDescent="0.3">
      <c r="A14" s="188"/>
      <c r="B14" s="68" t="s">
        <v>13</v>
      </c>
      <c r="C14" s="70">
        <v>0.61299999999999999</v>
      </c>
      <c r="D14" s="70">
        <v>0.61699999999999999</v>
      </c>
      <c r="E14" s="70">
        <v>0.56699999999999995</v>
      </c>
      <c r="F14" s="70">
        <v>0.59599999999999997</v>
      </c>
      <c r="G14" s="70">
        <v>0.54100000000000004</v>
      </c>
      <c r="H14" s="70">
        <v>0.628</v>
      </c>
      <c r="I14" s="70">
        <v>0.66</v>
      </c>
      <c r="J14" s="70">
        <v>0.66300000000000003</v>
      </c>
      <c r="K14" s="70">
        <v>0.623</v>
      </c>
      <c r="L14" s="70">
        <v>0.61</v>
      </c>
      <c r="M14" s="70">
        <v>0.45800000000000002</v>
      </c>
      <c r="N14" s="70">
        <v>0.58399999999999996</v>
      </c>
      <c r="O14" s="70">
        <v>0.65700000000000003</v>
      </c>
      <c r="P14" s="70">
        <v>0.69599999999999995</v>
      </c>
      <c r="Q14" s="70">
        <v>0.66300000000000003</v>
      </c>
    </row>
    <row r="15" spans="1:17" ht="15" customHeight="1" x14ac:dyDescent="0.3">
      <c r="A15" s="180" t="s">
        <v>3</v>
      </c>
      <c r="B15" s="66" t="s">
        <v>77</v>
      </c>
      <c r="C15" s="44">
        <v>1627</v>
      </c>
      <c r="D15" s="44">
        <v>1711</v>
      </c>
      <c r="E15" s="44">
        <v>1233</v>
      </c>
      <c r="F15" s="44">
        <v>1518</v>
      </c>
      <c r="G15" s="44">
        <v>1696</v>
      </c>
      <c r="H15" s="44">
        <v>2193</v>
      </c>
      <c r="I15" s="44">
        <v>2217</v>
      </c>
      <c r="J15" s="44">
        <v>2706</v>
      </c>
      <c r="K15" s="44">
        <v>3582</v>
      </c>
      <c r="L15" s="44">
        <v>3408</v>
      </c>
      <c r="M15" s="44">
        <v>1322</v>
      </c>
      <c r="N15" s="44">
        <v>1914</v>
      </c>
      <c r="O15" s="44">
        <v>3747</v>
      </c>
      <c r="P15" s="44">
        <v>4155</v>
      </c>
      <c r="Q15" s="44">
        <v>3794</v>
      </c>
    </row>
    <row r="16" spans="1:17" ht="15" customHeight="1" x14ac:dyDescent="0.3">
      <c r="A16" s="180"/>
      <c r="B16" s="66" t="s">
        <v>78</v>
      </c>
      <c r="C16" s="44">
        <v>4445</v>
      </c>
      <c r="D16" s="44">
        <v>4181</v>
      </c>
      <c r="E16" s="44">
        <v>3137</v>
      </c>
      <c r="F16" s="44">
        <v>3217</v>
      </c>
      <c r="G16" s="44">
        <v>2478</v>
      </c>
      <c r="H16" s="44">
        <v>2928</v>
      </c>
      <c r="I16" s="44">
        <v>2893</v>
      </c>
      <c r="J16" s="44">
        <v>3183</v>
      </c>
      <c r="K16" s="44">
        <v>3800</v>
      </c>
      <c r="L16" s="44">
        <v>4027</v>
      </c>
      <c r="M16" s="44">
        <v>3174</v>
      </c>
      <c r="N16" s="44">
        <v>2987</v>
      </c>
      <c r="O16" s="44">
        <v>3258</v>
      </c>
      <c r="P16" s="44">
        <v>3367</v>
      </c>
      <c r="Q16" s="44">
        <v>3589</v>
      </c>
    </row>
    <row r="17" spans="1:17" ht="15" customHeight="1" x14ac:dyDescent="0.3">
      <c r="A17" s="180"/>
      <c r="B17" s="66" t="s">
        <v>11</v>
      </c>
      <c r="C17" s="44">
        <v>4416</v>
      </c>
      <c r="D17" s="44">
        <v>4529</v>
      </c>
      <c r="E17" s="44">
        <v>4170</v>
      </c>
      <c r="F17" s="44">
        <v>4574</v>
      </c>
      <c r="G17" s="44">
        <v>5455</v>
      </c>
      <c r="H17" s="44">
        <v>6755</v>
      </c>
      <c r="I17" s="44">
        <v>9968</v>
      </c>
      <c r="J17" s="44">
        <v>11867</v>
      </c>
      <c r="K17" s="44">
        <v>12508</v>
      </c>
      <c r="L17" s="44">
        <v>10716</v>
      </c>
      <c r="M17" s="44">
        <v>3301</v>
      </c>
      <c r="N17" s="44">
        <v>7550</v>
      </c>
      <c r="O17" s="44">
        <v>14167</v>
      </c>
      <c r="P17" s="44">
        <v>17220</v>
      </c>
      <c r="Q17" s="44">
        <v>17656</v>
      </c>
    </row>
    <row r="18" spans="1:17" ht="15" customHeight="1" x14ac:dyDescent="0.3">
      <c r="A18" s="180"/>
      <c r="B18" s="66" t="s">
        <v>12</v>
      </c>
      <c r="C18" s="44">
        <v>9607</v>
      </c>
      <c r="D18" s="44">
        <v>9055</v>
      </c>
      <c r="E18" s="44">
        <v>7827</v>
      </c>
      <c r="F18" s="44">
        <v>7449</v>
      </c>
      <c r="G18" s="44">
        <v>6122</v>
      </c>
      <c r="H18" s="44">
        <v>7008</v>
      </c>
      <c r="I18" s="44">
        <v>7040</v>
      </c>
      <c r="J18" s="44">
        <v>8601</v>
      </c>
      <c r="K18" s="44">
        <v>10240</v>
      </c>
      <c r="L18" s="44">
        <v>9916</v>
      </c>
      <c r="M18" s="44">
        <v>7527</v>
      </c>
      <c r="N18" s="44">
        <v>8127</v>
      </c>
      <c r="O18" s="44">
        <v>7494</v>
      </c>
      <c r="P18" s="44">
        <v>8255</v>
      </c>
      <c r="Q18" s="44">
        <v>9110</v>
      </c>
    </row>
    <row r="19" spans="1:17" ht="15" customHeight="1" x14ac:dyDescent="0.3">
      <c r="A19" s="180"/>
      <c r="B19" s="66" t="s">
        <v>13</v>
      </c>
      <c r="C19" s="67">
        <v>0.28499999999999998</v>
      </c>
      <c r="D19" s="67">
        <v>0.27100000000000002</v>
      </c>
      <c r="E19" s="67">
        <v>0.23899999999999999</v>
      </c>
      <c r="F19" s="67">
        <v>0.24</v>
      </c>
      <c r="G19" s="67">
        <v>0.23300000000000001</v>
      </c>
      <c r="H19" s="67">
        <v>0.26400000000000001</v>
      </c>
      <c r="I19" s="67">
        <v>0.32700000000000001</v>
      </c>
      <c r="J19" s="67">
        <v>0.39300000000000002</v>
      </c>
      <c r="K19" s="67">
        <v>0.33100000000000002</v>
      </c>
      <c r="L19" s="67">
        <v>0.28100000000000003</v>
      </c>
      <c r="M19" s="67">
        <v>0.218</v>
      </c>
      <c r="N19" s="67">
        <v>0.32</v>
      </c>
      <c r="O19" s="67">
        <v>0.33300000000000002</v>
      </c>
      <c r="P19" s="67">
        <v>0.35599999999999998</v>
      </c>
      <c r="Q19" s="67">
        <v>0.376</v>
      </c>
    </row>
    <row r="20" spans="1:17" ht="15" customHeight="1" x14ac:dyDescent="0.3">
      <c r="A20" s="188" t="s">
        <v>5</v>
      </c>
      <c r="B20" s="68" t="s">
        <v>77</v>
      </c>
      <c r="C20" s="69">
        <v>62472</v>
      </c>
      <c r="D20" s="69">
        <v>70429</v>
      </c>
      <c r="E20" s="69">
        <v>64785</v>
      </c>
      <c r="F20" s="69">
        <v>83214</v>
      </c>
      <c r="G20" s="69">
        <v>86108</v>
      </c>
      <c r="H20" s="69">
        <v>91158</v>
      </c>
      <c r="I20" s="69">
        <v>100893</v>
      </c>
      <c r="J20" s="69">
        <v>112144</v>
      </c>
      <c r="K20" s="69">
        <v>164654</v>
      </c>
      <c r="L20" s="69">
        <v>174755</v>
      </c>
      <c r="M20" s="69">
        <v>27255</v>
      </c>
      <c r="N20" s="69">
        <v>67862</v>
      </c>
      <c r="O20" s="69">
        <v>174600</v>
      </c>
      <c r="P20" s="69">
        <v>191132</v>
      </c>
      <c r="Q20" s="69">
        <v>182630</v>
      </c>
    </row>
    <row r="21" spans="1:17" ht="15" customHeight="1" x14ac:dyDescent="0.3">
      <c r="A21" s="188"/>
      <c r="B21" s="68" t="s">
        <v>81</v>
      </c>
      <c r="C21" s="69">
        <v>46898</v>
      </c>
      <c r="D21" s="69">
        <v>41447</v>
      </c>
      <c r="E21" s="69">
        <v>31118</v>
      </c>
      <c r="F21" s="69">
        <v>31091</v>
      </c>
      <c r="G21" s="69">
        <v>22877</v>
      </c>
      <c r="H21" s="69">
        <v>25698</v>
      </c>
      <c r="I21" s="69">
        <v>27508</v>
      </c>
      <c r="J21" s="69">
        <v>33950</v>
      </c>
      <c r="K21" s="69">
        <v>36135</v>
      </c>
      <c r="L21" s="69">
        <v>44514</v>
      </c>
      <c r="M21" s="69">
        <v>17281</v>
      </c>
      <c r="N21" s="69">
        <v>29175</v>
      </c>
      <c r="O21" s="69">
        <v>39031</v>
      </c>
      <c r="P21" s="69">
        <v>42638</v>
      </c>
      <c r="Q21" s="69">
        <v>44435</v>
      </c>
    </row>
    <row r="22" spans="1:17" ht="15" customHeight="1" x14ac:dyDescent="0.3">
      <c r="A22" s="188"/>
      <c r="B22" s="68" t="s">
        <v>47</v>
      </c>
      <c r="C22" s="69">
        <v>445509</v>
      </c>
      <c r="D22" s="69">
        <v>511954</v>
      </c>
      <c r="E22" s="69">
        <v>465765</v>
      </c>
      <c r="F22" s="69">
        <v>600708</v>
      </c>
      <c r="G22" s="69">
        <v>604511</v>
      </c>
      <c r="H22" s="69">
        <v>650746</v>
      </c>
      <c r="I22" s="69">
        <v>690238</v>
      </c>
      <c r="J22" s="69">
        <v>759709</v>
      </c>
      <c r="K22" s="69">
        <v>1024884</v>
      </c>
      <c r="L22" s="69">
        <v>1070186</v>
      </c>
      <c r="M22" s="69">
        <v>166151</v>
      </c>
      <c r="N22" s="69">
        <v>369667</v>
      </c>
      <c r="O22" s="69">
        <v>1027364</v>
      </c>
      <c r="P22" s="69">
        <v>1130950</v>
      </c>
      <c r="Q22" s="69">
        <v>1102222</v>
      </c>
    </row>
    <row r="23" spans="1:17" ht="15" customHeight="1" x14ac:dyDescent="0.3">
      <c r="A23" s="188"/>
      <c r="B23" s="68" t="s">
        <v>12</v>
      </c>
      <c r="C23" s="69">
        <v>163023</v>
      </c>
      <c r="D23" s="69">
        <v>151744</v>
      </c>
      <c r="E23" s="69">
        <v>108654</v>
      </c>
      <c r="F23" s="69">
        <v>114696</v>
      </c>
      <c r="G23" s="69">
        <v>79620</v>
      </c>
      <c r="H23" s="69">
        <v>91931</v>
      </c>
      <c r="I23" s="69">
        <v>79755</v>
      </c>
      <c r="J23" s="69">
        <v>101471</v>
      </c>
      <c r="K23" s="69">
        <v>95361</v>
      </c>
      <c r="L23" s="69">
        <v>126816</v>
      </c>
      <c r="M23" s="69">
        <v>50321</v>
      </c>
      <c r="N23" s="69">
        <v>93686</v>
      </c>
      <c r="O23" s="69">
        <v>101770</v>
      </c>
      <c r="P23" s="69">
        <v>108749</v>
      </c>
      <c r="Q23" s="69">
        <v>119493</v>
      </c>
    </row>
    <row r="24" spans="1:17" ht="15" customHeight="1" x14ac:dyDescent="0.3">
      <c r="A24" s="188"/>
      <c r="B24" s="68" t="s">
        <v>158</v>
      </c>
      <c r="C24" s="70">
        <v>0.442</v>
      </c>
      <c r="D24" s="70">
        <v>0.45100000000000001</v>
      </c>
      <c r="E24" s="70">
        <v>0.38300000000000001</v>
      </c>
      <c r="F24" s="70">
        <v>0.46700000000000003</v>
      </c>
      <c r="G24" s="70">
        <v>0.36599999999999999</v>
      </c>
      <c r="H24" s="70">
        <v>0.46400000000000002</v>
      </c>
      <c r="I24" s="70">
        <v>0.50700000000000001</v>
      </c>
      <c r="J24" s="70">
        <v>0.52100000000000002</v>
      </c>
      <c r="K24" s="70">
        <v>0.49099999999999999</v>
      </c>
      <c r="L24" s="70">
        <v>0.48599999999999999</v>
      </c>
      <c r="M24" s="70">
        <v>0.27400000000000002</v>
      </c>
      <c r="N24" s="70">
        <v>0.34200000000000003</v>
      </c>
      <c r="O24" s="70">
        <v>0.54400000000000004</v>
      </c>
      <c r="P24" s="70">
        <v>0.61499999999999999</v>
      </c>
      <c r="Q24" s="70">
        <v>0.52900000000000003</v>
      </c>
    </row>
    <row r="25" spans="1:17" ht="15" customHeight="1" x14ac:dyDescent="0.3">
      <c r="A25" s="180" t="s">
        <v>6</v>
      </c>
      <c r="B25" s="66" t="s">
        <v>79</v>
      </c>
      <c r="C25" s="44">
        <v>17980</v>
      </c>
      <c r="D25" s="44">
        <v>19168</v>
      </c>
      <c r="E25" s="44">
        <v>22017</v>
      </c>
      <c r="F25" s="44">
        <v>28593</v>
      </c>
      <c r="G25" s="44">
        <v>23624</v>
      </c>
      <c r="H25" s="44">
        <v>28682</v>
      </c>
      <c r="I25" s="44">
        <v>29403</v>
      </c>
      <c r="J25" s="44">
        <v>38823</v>
      </c>
      <c r="K25" s="44">
        <v>68088</v>
      </c>
      <c r="L25" s="44">
        <v>68865</v>
      </c>
      <c r="M25" s="44">
        <v>29722</v>
      </c>
      <c r="N25" s="44">
        <v>41114</v>
      </c>
      <c r="O25" s="44">
        <v>64902</v>
      </c>
      <c r="P25" s="44">
        <v>77128</v>
      </c>
      <c r="Q25" s="44">
        <v>77259</v>
      </c>
    </row>
    <row r="26" spans="1:17" ht="15" customHeight="1" x14ac:dyDescent="0.3">
      <c r="A26" s="180"/>
      <c r="B26" s="66" t="s">
        <v>80</v>
      </c>
      <c r="C26" s="44">
        <v>61528</v>
      </c>
      <c r="D26" s="44">
        <v>60149</v>
      </c>
      <c r="E26" s="44">
        <v>38117</v>
      </c>
      <c r="F26" s="44">
        <v>43846</v>
      </c>
      <c r="G26" s="44">
        <v>39176</v>
      </c>
      <c r="H26" s="44">
        <v>37306</v>
      </c>
      <c r="I26" s="44">
        <v>27280</v>
      </c>
      <c r="J26" s="44">
        <v>22947</v>
      </c>
      <c r="K26" s="44">
        <v>30829</v>
      </c>
      <c r="L26" s="44">
        <v>26910</v>
      </c>
      <c r="M26" s="44">
        <v>28678</v>
      </c>
      <c r="N26" s="44">
        <v>23012</v>
      </c>
      <c r="O26" s="44">
        <v>21562</v>
      </c>
      <c r="P26" s="44">
        <v>25433</v>
      </c>
      <c r="Q26" s="44">
        <v>28085</v>
      </c>
    </row>
    <row r="27" spans="1:17" ht="15" customHeight="1" x14ac:dyDescent="0.3">
      <c r="A27" s="180"/>
      <c r="B27" s="66" t="s">
        <v>11</v>
      </c>
      <c r="C27" s="44">
        <v>107234</v>
      </c>
      <c r="D27" s="44">
        <v>119707</v>
      </c>
      <c r="E27" s="44">
        <v>144039</v>
      </c>
      <c r="F27" s="44">
        <v>182798</v>
      </c>
      <c r="G27" s="44">
        <v>155071</v>
      </c>
      <c r="H27" s="44">
        <v>176110</v>
      </c>
      <c r="I27" s="44">
        <v>187711</v>
      </c>
      <c r="J27" s="44">
        <v>244952</v>
      </c>
      <c r="K27" s="44">
        <v>415583</v>
      </c>
      <c r="L27" s="44">
        <v>382363</v>
      </c>
      <c r="M27" s="44">
        <v>150928</v>
      </c>
      <c r="N27" s="44">
        <v>202973</v>
      </c>
      <c r="O27" s="44">
        <v>362272</v>
      </c>
      <c r="P27" s="44">
        <v>435241</v>
      </c>
      <c r="Q27" s="44">
        <v>470270</v>
      </c>
    </row>
    <row r="28" spans="1:17" ht="15" customHeight="1" x14ac:dyDescent="0.3">
      <c r="A28" s="180"/>
      <c r="B28" s="66" t="s">
        <v>12</v>
      </c>
      <c r="C28" s="44">
        <v>172754</v>
      </c>
      <c r="D28" s="44">
        <v>174864</v>
      </c>
      <c r="E28" s="44">
        <v>107892</v>
      </c>
      <c r="F28" s="44">
        <v>118457</v>
      </c>
      <c r="G28" s="44">
        <v>103289</v>
      </c>
      <c r="H28" s="44">
        <v>102107</v>
      </c>
      <c r="I28" s="44">
        <v>85410</v>
      </c>
      <c r="J28" s="44">
        <v>75363</v>
      </c>
      <c r="K28" s="44">
        <v>91520</v>
      </c>
      <c r="L28" s="44">
        <v>76670</v>
      </c>
      <c r="M28" s="44">
        <v>83293</v>
      </c>
      <c r="N28" s="44">
        <v>65811</v>
      </c>
      <c r="O28" s="44">
        <v>68626</v>
      </c>
      <c r="P28" s="44">
        <v>78698</v>
      </c>
      <c r="Q28" s="44">
        <v>80325</v>
      </c>
    </row>
    <row r="29" spans="1:17" ht="15" customHeight="1" x14ac:dyDescent="0.3">
      <c r="A29" s="180"/>
      <c r="B29" s="66" t="s">
        <v>57</v>
      </c>
      <c r="C29" s="67">
        <v>0.42599999999999999</v>
      </c>
      <c r="D29" s="67">
        <v>0.40699999999999997</v>
      </c>
      <c r="E29" s="67">
        <v>0.34100000000000003</v>
      </c>
      <c r="F29" s="67">
        <v>0.39900000000000002</v>
      </c>
      <c r="G29" s="67">
        <v>0.34100000000000003</v>
      </c>
      <c r="H29" s="67">
        <v>0.34200000000000003</v>
      </c>
      <c r="I29" s="67">
        <v>0.32600000000000001</v>
      </c>
      <c r="J29" s="67">
        <v>0.37</v>
      </c>
      <c r="K29" s="67">
        <v>0.39100000000000001</v>
      </c>
      <c r="L29" s="67">
        <v>0.35</v>
      </c>
      <c r="M29" s="67">
        <v>0.33</v>
      </c>
      <c r="N29" s="67">
        <v>0.38500000000000001</v>
      </c>
      <c r="O29" s="67">
        <v>0.40100000000000002</v>
      </c>
      <c r="P29" s="67">
        <v>0.47699999999999998</v>
      </c>
      <c r="Q29" s="67">
        <v>0.48699999999999999</v>
      </c>
    </row>
    <row r="30" spans="1:17" ht="15" customHeight="1" x14ac:dyDescent="0.3">
      <c r="A30" s="182" t="s">
        <v>1</v>
      </c>
      <c r="B30" s="100" t="s">
        <v>79</v>
      </c>
      <c r="C30" s="101">
        <v>795059</v>
      </c>
      <c r="D30" s="101">
        <v>866298</v>
      </c>
      <c r="E30" s="101">
        <v>862009</v>
      </c>
      <c r="F30" s="101">
        <v>946778</v>
      </c>
      <c r="G30" s="101">
        <v>1061815</v>
      </c>
      <c r="H30" s="101">
        <v>1190929</v>
      </c>
      <c r="I30" s="101">
        <v>1295209</v>
      </c>
      <c r="J30" s="101">
        <v>1514126</v>
      </c>
      <c r="K30" s="101">
        <v>1957792</v>
      </c>
      <c r="L30" s="101">
        <v>1988004</v>
      </c>
      <c r="M30" s="101">
        <v>496897</v>
      </c>
      <c r="N30" s="101">
        <v>1142797</v>
      </c>
      <c r="O30" s="101">
        <v>1864203</v>
      </c>
      <c r="P30" s="101">
        <v>2243247</v>
      </c>
      <c r="Q30" s="101">
        <v>2342430</v>
      </c>
    </row>
    <row r="31" spans="1:17" ht="15" customHeight="1" x14ac:dyDescent="0.3">
      <c r="A31" s="182"/>
      <c r="B31" s="100" t="s">
        <v>78</v>
      </c>
      <c r="C31" s="101">
        <v>345088</v>
      </c>
      <c r="D31" s="101">
        <v>299137</v>
      </c>
      <c r="E31" s="101">
        <v>205553</v>
      </c>
      <c r="F31" s="101">
        <v>200295</v>
      </c>
      <c r="G31" s="101">
        <v>182737</v>
      </c>
      <c r="H31" s="101">
        <v>184550</v>
      </c>
      <c r="I31" s="101">
        <v>195647</v>
      </c>
      <c r="J31" s="101">
        <v>203680</v>
      </c>
      <c r="K31" s="101">
        <v>291559</v>
      </c>
      <c r="L31" s="101">
        <v>302206</v>
      </c>
      <c r="M31" s="101">
        <v>130531</v>
      </c>
      <c r="N31" s="101">
        <v>182589</v>
      </c>
      <c r="O31" s="101">
        <v>265106</v>
      </c>
      <c r="P31" s="101">
        <v>301667</v>
      </c>
      <c r="Q31" s="101">
        <v>332343</v>
      </c>
    </row>
    <row r="32" spans="1:17" ht="15" customHeight="1" x14ac:dyDescent="0.3">
      <c r="A32" s="182"/>
      <c r="B32" s="100" t="s">
        <v>11</v>
      </c>
      <c r="C32" s="101">
        <v>5924197</v>
      </c>
      <c r="D32" s="101">
        <v>6487549</v>
      </c>
      <c r="E32" s="101">
        <v>6407513</v>
      </c>
      <c r="F32" s="101">
        <v>7067410</v>
      </c>
      <c r="G32" s="101">
        <v>7361327</v>
      </c>
      <c r="H32" s="101">
        <v>7800147</v>
      </c>
      <c r="I32" s="101">
        <v>8505483</v>
      </c>
      <c r="J32" s="101">
        <v>9235127</v>
      </c>
      <c r="K32" s="101">
        <v>11916822</v>
      </c>
      <c r="L32" s="101">
        <v>11909411</v>
      </c>
      <c r="M32" s="101">
        <v>2954124</v>
      </c>
      <c r="N32" s="101">
        <v>6179313</v>
      </c>
      <c r="O32" s="101">
        <v>11286712</v>
      </c>
      <c r="P32" s="101">
        <v>12932665</v>
      </c>
      <c r="Q32" s="101">
        <v>13403976</v>
      </c>
    </row>
    <row r="33" spans="1:21" ht="15" customHeight="1" x14ac:dyDescent="0.3">
      <c r="A33" s="182"/>
      <c r="B33" s="100" t="s">
        <v>12</v>
      </c>
      <c r="C33" s="101">
        <v>1241444</v>
      </c>
      <c r="D33" s="101">
        <v>1059158</v>
      </c>
      <c r="E33" s="101">
        <v>684142</v>
      </c>
      <c r="F33" s="101">
        <v>655934</v>
      </c>
      <c r="G33" s="101">
        <v>571291</v>
      </c>
      <c r="H33" s="101">
        <v>594684</v>
      </c>
      <c r="I33" s="101">
        <v>629070</v>
      </c>
      <c r="J33" s="101">
        <v>649906</v>
      </c>
      <c r="K33" s="101">
        <v>855589</v>
      </c>
      <c r="L33" s="101">
        <v>881018</v>
      </c>
      <c r="M33" s="101">
        <v>378008</v>
      </c>
      <c r="N33" s="101">
        <v>589732</v>
      </c>
      <c r="O33" s="101">
        <v>771517</v>
      </c>
      <c r="P33" s="101">
        <v>876675</v>
      </c>
      <c r="Q33" s="101">
        <v>923921</v>
      </c>
    </row>
    <row r="34" spans="1:21" ht="15" customHeight="1" x14ac:dyDescent="0.3">
      <c r="A34" s="182"/>
      <c r="B34" s="100" t="s">
        <v>13</v>
      </c>
      <c r="C34" s="102">
        <v>0.58499999999999996</v>
      </c>
      <c r="D34" s="102">
        <v>0.58899999999999997</v>
      </c>
      <c r="E34" s="102">
        <v>0.53900000000000003</v>
      </c>
      <c r="F34" s="102">
        <v>0.57599999999999996</v>
      </c>
      <c r="G34" s="102">
        <v>0.54200000000000004</v>
      </c>
      <c r="H34" s="102">
        <v>0.6</v>
      </c>
      <c r="I34" s="102">
        <v>0.621</v>
      </c>
      <c r="J34" s="102">
        <v>0.63700000000000001</v>
      </c>
      <c r="K34" s="102">
        <v>0.59799999999999998</v>
      </c>
      <c r="L34" s="102">
        <v>0.57299999999999995</v>
      </c>
      <c r="M34" s="102">
        <v>0.41499999999999998</v>
      </c>
      <c r="N34" s="102">
        <v>0.53400000000000003</v>
      </c>
      <c r="O34" s="102">
        <v>0.60699999999999998</v>
      </c>
      <c r="P34" s="102">
        <v>0.65400000000000003</v>
      </c>
      <c r="Q34" s="102">
        <v>0.61099999999999999</v>
      </c>
    </row>
    <row r="35" spans="1:21" ht="15" customHeight="1" x14ac:dyDescent="0.3">
      <c r="A35" s="187" t="s">
        <v>131</v>
      </c>
      <c r="B35" s="187"/>
      <c r="C35" s="187"/>
      <c r="D35" s="187"/>
      <c r="E35" s="187"/>
      <c r="F35" s="187"/>
      <c r="G35" s="187"/>
      <c r="H35" s="187"/>
      <c r="I35" s="187"/>
      <c r="J35" s="187"/>
      <c r="K35" s="187"/>
      <c r="L35" s="187"/>
      <c r="M35" s="187"/>
      <c r="N35" s="152"/>
      <c r="O35" s="152"/>
      <c r="P35" s="152"/>
      <c r="Q35" s="152"/>
      <c r="R35" s="4"/>
      <c r="S35" s="4"/>
      <c r="T35" s="4"/>
      <c r="U35" s="4"/>
    </row>
    <row r="36" spans="1:21" ht="15" customHeight="1" x14ac:dyDescent="0.3">
      <c r="A36" s="187"/>
      <c r="B36" s="187"/>
      <c r="C36" s="187"/>
      <c r="D36" s="187"/>
      <c r="E36" s="187"/>
      <c r="F36" s="187"/>
      <c r="G36" s="187"/>
      <c r="H36" s="187"/>
      <c r="I36" s="187"/>
      <c r="J36" s="187"/>
      <c r="K36" s="187"/>
      <c r="L36" s="187"/>
      <c r="M36" s="187"/>
      <c r="N36" s="152"/>
      <c r="O36" s="152"/>
      <c r="P36" s="152"/>
      <c r="Q36" s="152"/>
    </row>
    <row r="37" spans="1:21" ht="15" customHeight="1" x14ac:dyDescent="0.3">
      <c r="A37" s="5"/>
      <c r="B37" s="5"/>
      <c r="C37" s="5"/>
      <c r="D37" s="5"/>
      <c r="E37" s="5"/>
      <c r="F37" s="5"/>
      <c r="G37" s="5"/>
      <c r="H37" s="5"/>
      <c r="I37" s="5"/>
    </row>
    <row r="38" spans="1:21" ht="15" customHeight="1" x14ac:dyDescent="0.3">
      <c r="A38" s="5"/>
      <c r="B38" s="5"/>
      <c r="C38" s="5"/>
      <c r="D38" s="5"/>
      <c r="E38" s="5"/>
      <c r="F38" s="5"/>
      <c r="G38" s="5"/>
      <c r="H38" s="5"/>
      <c r="I38" s="5"/>
    </row>
  </sheetData>
  <mergeCells count="8">
    <mergeCell ref="A3:Q3"/>
    <mergeCell ref="A35:M36"/>
    <mergeCell ref="A5:A9"/>
    <mergeCell ref="A10:A14"/>
    <mergeCell ref="A20:A24"/>
    <mergeCell ref="A25:A29"/>
    <mergeCell ref="A30:A34"/>
    <mergeCell ref="A15:A19"/>
  </mergeCells>
  <pageMargins left="0.70866141732283472" right="0.70866141732283472" top="0.74803149606299213" bottom="0.74803149606299213" header="0.31496062992125984" footer="0.31496062992125984"/>
  <pageSetup paperSize="9" scale="88" orientation="landscape" r:id="rId1"/>
  <headerFooter>
    <oddFooter>&amp;L&amp;F&amp;C&amp;P / &amp;N&amp;R&amp;A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D3D74-40EA-417F-AF7D-59E29CD3F120}">
  <sheetPr>
    <tabColor theme="7" tint="-0.499984740745262"/>
    <pageSetUpPr fitToPage="1"/>
  </sheetPr>
  <dimension ref="A3:K32"/>
  <sheetViews>
    <sheetView showGridLines="0" zoomScaleNormal="100" workbookViewId="0">
      <pane xSplit="1" topLeftCell="B1" activePane="topRight" state="frozen"/>
      <selection pane="topRight" activeCell="G5" sqref="G5:G28"/>
    </sheetView>
  </sheetViews>
  <sheetFormatPr defaultRowHeight="15" customHeight="1" x14ac:dyDescent="0.3"/>
  <cols>
    <col min="1" max="1" width="14.5546875" style="11" customWidth="1"/>
    <col min="2" max="2" width="19.88671875" style="11" customWidth="1"/>
    <col min="3" max="7" width="11" style="11" customWidth="1"/>
    <col min="8" max="16384" width="8.88671875" style="11"/>
  </cols>
  <sheetData>
    <row r="3" spans="1:7" ht="25.8" customHeight="1" x14ac:dyDescent="0.3">
      <c r="A3" s="189" t="s">
        <v>168</v>
      </c>
      <c r="B3" s="189"/>
      <c r="C3" s="189"/>
      <c r="D3" s="189"/>
      <c r="E3" s="189"/>
      <c r="F3" s="189"/>
      <c r="G3" s="189"/>
    </row>
    <row r="4" spans="1:7" ht="15" customHeight="1" x14ac:dyDescent="0.3">
      <c r="A4" s="93" t="s">
        <v>119</v>
      </c>
      <c r="B4" s="94"/>
      <c r="C4" s="99">
        <v>2020</v>
      </c>
      <c r="D4" s="99">
        <v>2021</v>
      </c>
      <c r="E4" s="99">
        <v>2022</v>
      </c>
      <c r="F4" s="99">
        <v>2023</v>
      </c>
      <c r="G4" s="99">
        <v>2024</v>
      </c>
    </row>
    <row r="5" spans="1:7" ht="15" customHeight="1" x14ac:dyDescent="0.3">
      <c r="A5" s="180" t="s">
        <v>2</v>
      </c>
      <c r="B5" s="66" t="s">
        <v>77</v>
      </c>
      <c r="C5" s="44">
        <v>32875</v>
      </c>
      <c r="D5" s="44">
        <v>89869</v>
      </c>
      <c r="E5" s="44">
        <v>143637</v>
      </c>
      <c r="F5" s="44">
        <v>162760</v>
      </c>
      <c r="G5" s="44">
        <v>195307</v>
      </c>
    </row>
    <row r="6" spans="1:7" ht="15" customHeight="1" x14ac:dyDescent="0.3">
      <c r="A6" s="180"/>
      <c r="B6" s="66" t="s">
        <v>78</v>
      </c>
      <c r="C6" s="44">
        <v>3898</v>
      </c>
      <c r="D6" s="44">
        <v>2519</v>
      </c>
      <c r="E6" s="44">
        <v>4739</v>
      </c>
      <c r="F6" s="44">
        <v>5454</v>
      </c>
      <c r="G6" s="44">
        <v>10395</v>
      </c>
    </row>
    <row r="7" spans="1:7" ht="15" customHeight="1" x14ac:dyDescent="0.3">
      <c r="A7" s="180"/>
      <c r="B7" s="66" t="s">
        <v>11</v>
      </c>
      <c r="C7" s="44">
        <v>243865</v>
      </c>
      <c r="D7" s="44">
        <v>691618</v>
      </c>
      <c r="E7" s="44">
        <v>1107643</v>
      </c>
      <c r="F7" s="44">
        <v>1190464</v>
      </c>
      <c r="G7" s="44">
        <v>1394058</v>
      </c>
    </row>
    <row r="8" spans="1:7" ht="15" customHeight="1" x14ac:dyDescent="0.3">
      <c r="A8" s="180"/>
      <c r="B8" s="66" t="s">
        <v>12</v>
      </c>
      <c r="C8" s="44">
        <v>21634</v>
      </c>
      <c r="D8" s="44">
        <v>12419</v>
      </c>
      <c r="E8" s="44">
        <v>35665</v>
      </c>
      <c r="F8" s="44">
        <v>40828</v>
      </c>
      <c r="G8" s="44">
        <v>57257</v>
      </c>
    </row>
    <row r="9" spans="1:7" ht="15" customHeight="1" x14ac:dyDescent="0.3">
      <c r="A9" s="188" t="s">
        <v>4</v>
      </c>
      <c r="B9" s="68" t="s">
        <v>79</v>
      </c>
      <c r="C9" s="69">
        <v>43693</v>
      </c>
      <c r="D9" s="69">
        <v>148480</v>
      </c>
      <c r="E9" s="69">
        <v>226151</v>
      </c>
      <c r="F9" s="69">
        <v>311588</v>
      </c>
      <c r="G9" s="69">
        <v>344490</v>
      </c>
    </row>
    <row r="10" spans="1:7" ht="15" customHeight="1" x14ac:dyDescent="0.3">
      <c r="A10" s="188"/>
      <c r="B10" s="68" t="s">
        <v>80</v>
      </c>
      <c r="C10" s="69">
        <v>1990</v>
      </c>
      <c r="D10" s="69">
        <v>3215</v>
      </c>
      <c r="E10" s="69">
        <v>1487</v>
      </c>
      <c r="F10" s="69">
        <v>12260</v>
      </c>
      <c r="G10" s="69">
        <v>14959</v>
      </c>
    </row>
    <row r="11" spans="1:7" ht="15" customHeight="1" x14ac:dyDescent="0.3">
      <c r="A11" s="188"/>
      <c r="B11" s="68" t="s">
        <v>11</v>
      </c>
      <c r="C11" s="69">
        <v>339940</v>
      </c>
      <c r="D11" s="69">
        <v>831704</v>
      </c>
      <c r="E11" s="69">
        <v>1379803</v>
      </c>
      <c r="F11" s="69">
        <v>2610701</v>
      </c>
      <c r="G11" s="69">
        <v>2640374</v>
      </c>
    </row>
    <row r="12" spans="1:7" ht="15" customHeight="1" x14ac:dyDescent="0.3">
      <c r="A12" s="188"/>
      <c r="B12" s="68" t="s">
        <v>12</v>
      </c>
      <c r="C12" s="69">
        <v>11845</v>
      </c>
      <c r="D12" s="69">
        <v>17117</v>
      </c>
      <c r="E12" s="69">
        <v>5462</v>
      </c>
      <c r="F12" s="69">
        <v>73152</v>
      </c>
      <c r="G12" s="69">
        <v>107842</v>
      </c>
    </row>
    <row r="13" spans="1:7" ht="15" customHeight="1" x14ac:dyDescent="0.3">
      <c r="A13" s="180" t="s">
        <v>5</v>
      </c>
      <c r="B13" s="66" t="s">
        <v>77</v>
      </c>
      <c r="C13" s="44">
        <v>37757</v>
      </c>
      <c r="D13" s="44">
        <v>55458</v>
      </c>
      <c r="E13" s="44">
        <v>100844</v>
      </c>
      <c r="F13" s="44">
        <v>135884</v>
      </c>
      <c r="G13" s="44">
        <v>102153</v>
      </c>
    </row>
    <row r="14" spans="1:7" ht="15" customHeight="1" x14ac:dyDescent="0.3">
      <c r="A14" s="180"/>
      <c r="B14" s="66" t="s">
        <v>81</v>
      </c>
      <c r="C14" s="44">
        <v>4722</v>
      </c>
      <c r="D14" s="44">
        <v>5255</v>
      </c>
      <c r="E14" s="44">
        <v>5355</v>
      </c>
      <c r="F14" s="44">
        <v>11233</v>
      </c>
      <c r="G14" s="44">
        <v>12138</v>
      </c>
    </row>
    <row r="15" spans="1:7" ht="15" customHeight="1" x14ac:dyDescent="0.3">
      <c r="A15" s="180"/>
      <c r="B15" s="66" t="s">
        <v>47</v>
      </c>
      <c r="C15" s="44">
        <v>237898</v>
      </c>
      <c r="D15" s="44">
        <v>316271</v>
      </c>
      <c r="E15" s="44">
        <v>539715</v>
      </c>
      <c r="F15" s="44">
        <v>830388</v>
      </c>
      <c r="G15" s="44">
        <v>690978</v>
      </c>
    </row>
    <row r="16" spans="1:7" ht="15" customHeight="1" x14ac:dyDescent="0.3">
      <c r="A16" s="180"/>
      <c r="B16" s="66" t="s">
        <v>12</v>
      </c>
      <c r="C16" s="44">
        <v>20981</v>
      </c>
      <c r="D16" s="44">
        <v>18663</v>
      </c>
      <c r="E16" s="44">
        <v>24895</v>
      </c>
      <c r="F16" s="44">
        <v>47519</v>
      </c>
      <c r="G16" s="44">
        <v>74968</v>
      </c>
    </row>
    <row r="17" spans="1:11" ht="15" customHeight="1" x14ac:dyDescent="0.3">
      <c r="A17" s="188" t="s">
        <v>6</v>
      </c>
      <c r="B17" s="68" t="s">
        <v>79</v>
      </c>
      <c r="C17" s="69">
        <v>11326</v>
      </c>
      <c r="D17" s="69">
        <v>37040</v>
      </c>
      <c r="E17" s="69">
        <v>120647</v>
      </c>
      <c r="F17" s="69">
        <v>88086</v>
      </c>
      <c r="G17" s="69">
        <v>111137</v>
      </c>
    </row>
    <row r="18" spans="1:11" ht="15" customHeight="1" x14ac:dyDescent="0.3">
      <c r="A18" s="188"/>
      <c r="B18" s="68" t="s">
        <v>80</v>
      </c>
      <c r="C18" s="69">
        <v>16622</v>
      </c>
      <c r="D18" s="69">
        <v>20405</v>
      </c>
      <c r="E18" s="69">
        <v>24773</v>
      </c>
      <c r="F18" s="69">
        <v>26054</v>
      </c>
      <c r="G18" s="69">
        <v>21977</v>
      </c>
    </row>
    <row r="19" spans="1:11" ht="15" customHeight="1" x14ac:dyDescent="0.3">
      <c r="A19" s="188"/>
      <c r="B19" s="68" t="s">
        <v>11</v>
      </c>
      <c r="C19" s="69">
        <v>102969</v>
      </c>
      <c r="D19" s="69">
        <v>353169</v>
      </c>
      <c r="E19" s="69">
        <v>1049102</v>
      </c>
      <c r="F19" s="69">
        <v>804680</v>
      </c>
      <c r="G19" s="69">
        <v>952321</v>
      </c>
    </row>
    <row r="20" spans="1:11" ht="15" customHeight="1" x14ac:dyDescent="0.3">
      <c r="A20" s="188"/>
      <c r="B20" s="68" t="s">
        <v>12</v>
      </c>
      <c r="C20" s="69">
        <v>130450</v>
      </c>
      <c r="D20" s="69">
        <v>169722</v>
      </c>
      <c r="E20" s="69">
        <v>183876</v>
      </c>
      <c r="F20" s="69">
        <v>206312</v>
      </c>
      <c r="G20" s="69">
        <v>147235</v>
      </c>
    </row>
    <row r="21" spans="1:11" ht="15" customHeight="1" x14ac:dyDescent="0.3">
      <c r="A21" s="180" t="s">
        <v>3</v>
      </c>
      <c r="B21" s="66" t="s">
        <v>77</v>
      </c>
      <c r="C21" s="44">
        <v>1225</v>
      </c>
      <c r="D21" s="44">
        <v>965</v>
      </c>
      <c r="E21" s="44">
        <v>5057</v>
      </c>
      <c r="F21" s="44">
        <v>5905</v>
      </c>
      <c r="G21" s="44">
        <v>5064</v>
      </c>
    </row>
    <row r="22" spans="1:11" ht="15" customHeight="1" x14ac:dyDescent="0.3">
      <c r="A22" s="180"/>
      <c r="B22" s="66" t="s">
        <v>81</v>
      </c>
      <c r="C22" s="44">
        <v>2433</v>
      </c>
      <c r="D22" s="44">
        <v>790</v>
      </c>
      <c r="E22" s="44">
        <v>464</v>
      </c>
      <c r="F22" s="44">
        <v>2423</v>
      </c>
      <c r="G22" s="44">
        <v>1896</v>
      </c>
    </row>
    <row r="23" spans="1:11" ht="15" customHeight="1" x14ac:dyDescent="0.3">
      <c r="A23" s="180"/>
      <c r="B23" s="66" t="s">
        <v>47</v>
      </c>
      <c r="C23" s="44">
        <v>6326</v>
      </c>
      <c r="D23" s="44">
        <v>3471</v>
      </c>
      <c r="E23" s="44">
        <v>15694</v>
      </c>
      <c r="F23" s="44">
        <v>19086</v>
      </c>
      <c r="G23" s="44">
        <v>19948</v>
      </c>
    </row>
    <row r="24" spans="1:11" ht="15" customHeight="1" x14ac:dyDescent="0.3">
      <c r="A24" s="180"/>
      <c r="B24" s="66" t="s">
        <v>12</v>
      </c>
      <c r="C24" s="44">
        <v>8949</v>
      </c>
      <c r="D24" s="44">
        <v>1617</v>
      </c>
      <c r="E24" s="44">
        <v>378</v>
      </c>
      <c r="F24" s="44">
        <v>6910</v>
      </c>
      <c r="G24" s="44">
        <v>7412</v>
      </c>
    </row>
    <row r="25" spans="1:11" ht="15" customHeight="1" x14ac:dyDescent="0.3">
      <c r="A25" s="182" t="s">
        <v>1</v>
      </c>
      <c r="B25" s="100" t="s">
        <v>79</v>
      </c>
      <c r="C25" s="101">
        <v>126876</v>
      </c>
      <c r="D25" s="101">
        <v>331812</v>
      </c>
      <c r="E25" s="101">
        <v>596336</v>
      </c>
      <c r="F25" s="101">
        <v>704223</v>
      </c>
      <c r="G25" s="101">
        <v>758151</v>
      </c>
    </row>
    <row r="26" spans="1:11" ht="15" customHeight="1" x14ac:dyDescent="0.3">
      <c r="A26" s="182"/>
      <c r="B26" s="100" t="s">
        <v>78</v>
      </c>
      <c r="C26" s="101">
        <v>29665</v>
      </c>
      <c r="D26" s="101">
        <v>32184</v>
      </c>
      <c r="E26" s="101">
        <v>36818</v>
      </c>
      <c r="F26" s="101">
        <v>57424</v>
      </c>
      <c r="G26" s="101">
        <v>61365</v>
      </c>
    </row>
    <row r="27" spans="1:11" ht="15" customHeight="1" x14ac:dyDescent="0.3">
      <c r="A27" s="182"/>
      <c r="B27" s="100" t="s">
        <v>11</v>
      </c>
      <c r="C27" s="101">
        <v>930998</v>
      </c>
      <c r="D27" s="101">
        <v>2196233</v>
      </c>
      <c r="E27" s="101">
        <v>4091957</v>
      </c>
      <c r="F27" s="101">
        <v>5455319</v>
      </c>
      <c r="G27" s="101">
        <v>5697679</v>
      </c>
    </row>
    <row r="28" spans="1:11" ht="15" customHeight="1" x14ac:dyDescent="0.3">
      <c r="A28" s="182"/>
      <c r="B28" s="100" t="s">
        <v>12</v>
      </c>
      <c r="C28" s="101">
        <v>193859</v>
      </c>
      <c r="D28" s="101">
        <v>219538</v>
      </c>
      <c r="E28" s="101">
        <v>250276</v>
      </c>
      <c r="F28" s="101">
        <v>374721</v>
      </c>
      <c r="G28" s="101">
        <v>394714</v>
      </c>
    </row>
    <row r="29" spans="1:11" ht="15" customHeight="1" x14ac:dyDescent="0.3">
      <c r="A29" s="97" t="s">
        <v>137</v>
      </c>
      <c r="B29" s="97"/>
      <c r="C29" s="97"/>
      <c r="D29" s="152"/>
      <c r="E29" s="152"/>
      <c r="F29" s="152"/>
      <c r="G29" s="152"/>
      <c r="H29" s="4"/>
      <c r="I29" s="4"/>
      <c r="J29" s="4"/>
      <c r="K29" s="4"/>
    </row>
    <row r="30" spans="1:11" ht="15" customHeight="1" x14ac:dyDescent="0.3">
      <c r="A30" s="97"/>
      <c r="B30" s="97"/>
      <c r="C30" s="97"/>
      <c r="D30" s="152"/>
      <c r="E30" s="152"/>
      <c r="F30" s="152"/>
      <c r="G30" s="152"/>
    </row>
    <row r="31" spans="1:11" ht="15" customHeight="1" x14ac:dyDescent="0.3">
      <c r="A31" s="5"/>
      <c r="B31" s="5"/>
    </row>
    <row r="32" spans="1:11" ht="15" customHeight="1" x14ac:dyDescent="0.3">
      <c r="A32" s="5"/>
      <c r="B32" s="5"/>
    </row>
  </sheetData>
  <mergeCells count="7">
    <mergeCell ref="A3:G3"/>
    <mergeCell ref="A25:A28"/>
    <mergeCell ref="A21:A24"/>
    <mergeCell ref="A5:A8"/>
    <mergeCell ref="A9:A12"/>
    <mergeCell ref="A13:A16"/>
    <mergeCell ref="A17:A20"/>
  </mergeCells>
  <pageMargins left="0.70866141732283472" right="0.70866141732283472" top="0.74803149606299213" bottom="0.74803149606299213" header="0.31496062992125984" footer="0.31496062992125984"/>
  <pageSetup paperSize="9" scale="88" orientation="landscape" r:id="rId1"/>
  <headerFooter>
    <oddFooter>&amp;L&amp;F&amp;C&amp;P / &amp;N&amp;R&amp;A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L213"/>
  <sheetViews>
    <sheetView showGridLines="0" zoomScaleNormal="100" workbookViewId="0">
      <selection activeCell="G6" sqref="G6:G17"/>
    </sheetView>
  </sheetViews>
  <sheetFormatPr defaultRowHeight="15" customHeight="1" x14ac:dyDescent="0.3"/>
  <cols>
    <col min="1" max="1" width="10.44140625" style="66" bestFit="1" customWidth="1"/>
    <col min="2" max="2" width="10.6640625" style="66" bestFit="1" customWidth="1"/>
    <col min="3" max="3" width="10.6640625" style="11" bestFit="1" customWidth="1"/>
    <col min="4" max="4" width="12.88671875" style="11" bestFit="1" customWidth="1"/>
    <col min="5" max="5" width="10.6640625" style="11" bestFit="1" customWidth="1"/>
    <col min="6" max="6" width="10.88671875" style="11" customWidth="1"/>
    <col min="7" max="7" width="10.44140625" style="11" bestFit="1" customWidth="1"/>
    <col min="8" max="8" width="7.77734375" style="11" bestFit="1" customWidth="1"/>
    <col min="9" max="9" width="9.5546875" style="11" bestFit="1" customWidth="1"/>
    <col min="10" max="10" width="10.6640625" style="11" bestFit="1" customWidth="1"/>
    <col min="11" max="11" width="10.5546875" style="11" bestFit="1" customWidth="1"/>
    <col min="12" max="12" width="10.6640625" style="11" bestFit="1" customWidth="1"/>
    <col min="13" max="16384" width="8.88671875" style="11"/>
  </cols>
  <sheetData>
    <row r="3" spans="1:12" ht="15" customHeight="1" x14ac:dyDescent="0.3">
      <c r="A3" s="190" t="s">
        <v>55</v>
      </c>
      <c r="B3" s="190"/>
      <c r="C3" s="190"/>
      <c r="D3" s="190"/>
      <c r="E3" s="190"/>
      <c r="F3" s="190"/>
      <c r="G3" s="190" t="s">
        <v>56</v>
      </c>
      <c r="H3" s="190"/>
      <c r="I3" s="190"/>
      <c r="J3" s="190"/>
      <c r="K3" s="190"/>
      <c r="L3" s="190"/>
    </row>
    <row r="4" spans="1:12" ht="15" customHeight="1" x14ac:dyDescent="0.3">
      <c r="A4" s="103"/>
      <c r="B4" s="104" t="s">
        <v>48</v>
      </c>
      <c r="C4" s="104" t="s">
        <v>2</v>
      </c>
      <c r="D4" s="104" t="s">
        <v>4</v>
      </c>
      <c r="E4" s="104" t="s">
        <v>5</v>
      </c>
      <c r="F4" s="104" t="s">
        <v>1</v>
      </c>
      <c r="G4" s="103"/>
      <c r="H4" s="104" t="s">
        <v>48</v>
      </c>
      <c r="I4" s="104" t="s">
        <v>2</v>
      </c>
      <c r="J4" s="104" t="s">
        <v>4</v>
      </c>
      <c r="K4" s="104" t="s">
        <v>5</v>
      </c>
      <c r="L4" s="104" t="s">
        <v>1</v>
      </c>
    </row>
    <row r="5" spans="1:12" ht="15" customHeight="1" x14ac:dyDescent="0.3">
      <c r="A5" s="105">
        <v>2025</v>
      </c>
      <c r="B5" s="104">
        <v>423265</v>
      </c>
      <c r="C5" s="104">
        <v>1084260</v>
      </c>
      <c r="D5" s="104">
        <v>2077665</v>
      </c>
      <c r="E5" s="104">
        <v>376837</v>
      </c>
      <c r="F5" s="104">
        <v>3962027</v>
      </c>
      <c r="G5" s="105">
        <v>2025</v>
      </c>
      <c r="H5" s="104">
        <v>2575</v>
      </c>
      <c r="I5" s="104">
        <v>48656</v>
      </c>
      <c r="J5" s="104">
        <v>219279</v>
      </c>
      <c r="K5" s="104">
        <v>59472</v>
      </c>
      <c r="L5" s="104">
        <v>329982</v>
      </c>
    </row>
    <row r="6" spans="1:12" ht="15" customHeight="1" x14ac:dyDescent="0.3">
      <c r="A6" s="64" t="s">
        <v>35</v>
      </c>
      <c r="B6" s="65">
        <v>0</v>
      </c>
      <c r="C6" s="65">
        <v>0</v>
      </c>
      <c r="D6" s="65">
        <v>0</v>
      </c>
      <c r="E6" s="65">
        <v>0</v>
      </c>
      <c r="F6" s="65">
        <v>0</v>
      </c>
      <c r="G6" s="64" t="s">
        <v>35</v>
      </c>
      <c r="H6" s="65">
        <v>70</v>
      </c>
      <c r="I6" s="65">
        <v>1843</v>
      </c>
      <c r="J6" s="65">
        <v>4883</v>
      </c>
      <c r="K6" s="65">
        <v>1780</v>
      </c>
      <c r="L6" s="65">
        <v>8576</v>
      </c>
    </row>
    <row r="7" spans="1:12" ht="15" customHeight="1" x14ac:dyDescent="0.3">
      <c r="A7" s="64" t="s">
        <v>36</v>
      </c>
      <c r="B7" s="65">
        <v>0</v>
      </c>
      <c r="C7" s="65">
        <v>0</v>
      </c>
      <c r="D7" s="65">
        <v>0</v>
      </c>
      <c r="E7" s="65">
        <v>0</v>
      </c>
      <c r="F7" s="65">
        <v>0</v>
      </c>
      <c r="G7" s="64" t="s">
        <v>36</v>
      </c>
      <c r="H7" s="65">
        <v>52</v>
      </c>
      <c r="I7" s="65">
        <v>544</v>
      </c>
      <c r="J7" s="65">
        <v>11357</v>
      </c>
      <c r="K7" s="65">
        <v>1456</v>
      </c>
      <c r="L7" s="65">
        <v>13409</v>
      </c>
    </row>
    <row r="8" spans="1:12" ht="15" customHeight="1" x14ac:dyDescent="0.3">
      <c r="A8" s="64" t="s">
        <v>37</v>
      </c>
      <c r="B8" s="65">
        <v>162</v>
      </c>
      <c r="C8" s="65">
        <v>276</v>
      </c>
      <c r="D8" s="65">
        <v>3002</v>
      </c>
      <c r="E8" s="65">
        <v>0</v>
      </c>
      <c r="F8" s="65">
        <v>3440</v>
      </c>
      <c r="G8" s="64" t="s">
        <v>37</v>
      </c>
      <c r="H8" s="65">
        <v>89</v>
      </c>
      <c r="I8" s="65">
        <v>1923</v>
      </c>
      <c r="J8" s="65">
        <v>13249</v>
      </c>
      <c r="K8" s="65">
        <v>1878</v>
      </c>
      <c r="L8" s="65">
        <v>17139</v>
      </c>
    </row>
    <row r="9" spans="1:12" ht="15" customHeight="1" x14ac:dyDescent="0.3">
      <c r="A9" s="64" t="s">
        <v>38</v>
      </c>
      <c r="B9" s="65">
        <v>5653</v>
      </c>
      <c r="C9" s="65">
        <v>16965</v>
      </c>
      <c r="D9" s="65">
        <v>79358</v>
      </c>
      <c r="E9" s="65">
        <v>5022</v>
      </c>
      <c r="F9" s="65">
        <v>106998</v>
      </c>
      <c r="G9" s="64" t="s">
        <v>38</v>
      </c>
      <c r="H9" s="65">
        <v>191</v>
      </c>
      <c r="I9" s="65">
        <v>3724</v>
      </c>
      <c r="J9" s="65">
        <v>16421</v>
      </c>
      <c r="K9" s="65">
        <v>3214</v>
      </c>
      <c r="L9" s="65">
        <v>23550</v>
      </c>
    </row>
    <row r="10" spans="1:12" ht="15" customHeight="1" x14ac:dyDescent="0.3">
      <c r="A10" s="64" t="s">
        <v>39</v>
      </c>
      <c r="B10" s="65">
        <v>46507</v>
      </c>
      <c r="C10" s="65">
        <v>122374</v>
      </c>
      <c r="D10" s="65">
        <v>224272</v>
      </c>
      <c r="E10" s="65">
        <v>43812</v>
      </c>
      <c r="F10" s="65">
        <v>436965</v>
      </c>
      <c r="G10" s="64" t="s">
        <v>39</v>
      </c>
      <c r="H10" s="65">
        <v>140</v>
      </c>
      <c r="I10" s="65">
        <v>4571</v>
      </c>
      <c r="J10" s="65">
        <v>18390</v>
      </c>
      <c r="K10" s="65">
        <v>4153</v>
      </c>
      <c r="L10" s="65">
        <v>27254</v>
      </c>
    </row>
    <row r="11" spans="1:12" ht="15" customHeight="1" x14ac:dyDescent="0.3">
      <c r="A11" s="64" t="s">
        <v>40</v>
      </c>
      <c r="B11" s="65">
        <v>79959</v>
      </c>
      <c r="C11" s="65">
        <v>203620</v>
      </c>
      <c r="D11" s="65">
        <v>359087</v>
      </c>
      <c r="E11" s="65">
        <v>72283</v>
      </c>
      <c r="F11" s="65">
        <v>714949</v>
      </c>
      <c r="G11" s="64" t="s">
        <v>40</v>
      </c>
      <c r="H11" s="65">
        <v>305</v>
      </c>
      <c r="I11" s="65">
        <v>7145</v>
      </c>
      <c r="J11" s="65">
        <v>27127</v>
      </c>
      <c r="K11" s="65">
        <v>9112</v>
      </c>
      <c r="L11" s="65">
        <v>43689</v>
      </c>
    </row>
    <row r="12" spans="1:12" ht="15" customHeight="1" x14ac:dyDescent="0.3">
      <c r="A12" s="64" t="s">
        <v>41</v>
      </c>
      <c r="B12" s="65">
        <v>100413</v>
      </c>
      <c r="C12" s="65">
        <v>256636</v>
      </c>
      <c r="D12" s="65">
        <v>449126</v>
      </c>
      <c r="E12" s="65">
        <v>93248</v>
      </c>
      <c r="F12" s="65">
        <v>899423</v>
      </c>
      <c r="G12" s="64" t="s">
        <v>41</v>
      </c>
      <c r="H12" s="65">
        <v>461</v>
      </c>
      <c r="I12" s="65">
        <v>7526</v>
      </c>
      <c r="J12" s="65">
        <v>29503</v>
      </c>
      <c r="K12" s="65">
        <v>11776</v>
      </c>
      <c r="L12" s="65">
        <v>49266</v>
      </c>
    </row>
    <row r="13" spans="1:12" ht="15" customHeight="1" x14ac:dyDescent="0.3">
      <c r="A13" s="64" t="s">
        <v>42</v>
      </c>
      <c r="B13" s="65">
        <v>94813</v>
      </c>
      <c r="C13" s="65">
        <v>249510</v>
      </c>
      <c r="D13" s="65">
        <v>442977</v>
      </c>
      <c r="E13" s="65">
        <v>89131</v>
      </c>
      <c r="F13" s="65">
        <v>876431</v>
      </c>
      <c r="G13" s="64" t="s">
        <v>42</v>
      </c>
      <c r="H13" s="65">
        <v>504</v>
      </c>
      <c r="I13" s="65">
        <v>7441</v>
      </c>
      <c r="J13" s="65">
        <v>30449</v>
      </c>
      <c r="K13" s="65">
        <v>11276</v>
      </c>
      <c r="L13" s="65">
        <v>49670</v>
      </c>
    </row>
    <row r="14" spans="1:12" ht="15" customHeight="1" x14ac:dyDescent="0.3">
      <c r="A14" s="64" t="s">
        <v>43</v>
      </c>
      <c r="B14" s="65">
        <v>74688</v>
      </c>
      <c r="C14" s="65">
        <v>181054</v>
      </c>
      <c r="D14" s="65">
        <v>343211</v>
      </c>
      <c r="E14" s="65">
        <v>62023</v>
      </c>
      <c r="F14" s="65">
        <v>660976</v>
      </c>
      <c r="G14" s="64" t="s">
        <v>43</v>
      </c>
      <c r="H14" s="65">
        <v>391</v>
      </c>
      <c r="I14" s="65">
        <v>6186</v>
      </c>
      <c r="J14" s="65">
        <v>24680</v>
      </c>
      <c r="K14" s="65">
        <v>8471</v>
      </c>
      <c r="L14" s="65">
        <v>39728</v>
      </c>
    </row>
    <row r="15" spans="1:12" ht="15" customHeight="1" x14ac:dyDescent="0.3">
      <c r="A15" s="64" t="s">
        <v>44</v>
      </c>
      <c r="B15" s="65">
        <v>20983</v>
      </c>
      <c r="C15" s="65">
        <v>53567</v>
      </c>
      <c r="D15" s="65">
        <v>174804</v>
      </c>
      <c r="E15" s="65">
        <v>11190</v>
      </c>
      <c r="F15" s="65">
        <v>260544</v>
      </c>
      <c r="G15" s="64" t="s">
        <v>44</v>
      </c>
      <c r="H15" s="65">
        <v>178</v>
      </c>
      <c r="I15" s="65">
        <v>3490</v>
      </c>
      <c r="J15" s="65">
        <v>17816</v>
      </c>
      <c r="K15" s="65">
        <v>3407</v>
      </c>
      <c r="L15" s="65">
        <v>24891</v>
      </c>
    </row>
    <row r="16" spans="1:12" ht="15" customHeight="1" x14ac:dyDescent="0.3">
      <c r="A16" s="64" t="s">
        <v>45</v>
      </c>
      <c r="B16" s="65">
        <v>87</v>
      </c>
      <c r="C16" s="65">
        <v>258</v>
      </c>
      <c r="D16" s="65">
        <v>1828</v>
      </c>
      <c r="E16" s="65">
        <v>128</v>
      </c>
      <c r="F16" s="65">
        <v>2301</v>
      </c>
      <c r="G16" s="64" t="s">
        <v>45</v>
      </c>
      <c r="H16" s="65">
        <v>72</v>
      </c>
      <c r="I16" s="65">
        <v>2132</v>
      </c>
      <c r="J16" s="65">
        <v>11878</v>
      </c>
      <c r="K16" s="65">
        <v>1062</v>
      </c>
      <c r="L16" s="65">
        <v>15144</v>
      </c>
    </row>
    <row r="17" spans="1:12" ht="15" customHeight="1" x14ac:dyDescent="0.3">
      <c r="A17" s="64" t="s">
        <v>46</v>
      </c>
      <c r="B17" s="65">
        <v>0</v>
      </c>
      <c r="C17" s="65">
        <v>0</v>
      </c>
      <c r="D17" s="65">
        <v>0</v>
      </c>
      <c r="E17" s="65">
        <v>0</v>
      </c>
      <c r="F17" s="65">
        <v>0</v>
      </c>
      <c r="G17" s="64" t="s">
        <v>46</v>
      </c>
      <c r="H17" s="65">
        <v>122</v>
      </c>
      <c r="I17" s="65">
        <v>2131</v>
      </c>
      <c r="J17" s="65">
        <v>13526</v>
      </c>
      <c r="K17" s="65">
        <v>1887</v>
      </c>
      <c r="L17" s="65">
        <v>17666</v>
      </c>
    </row>
    <row r="18" spans="1:12" ht="15" customHeight="1" x14ac:dyDescent="0.3">
      <c r="A18" s="105">
        <v>2024</v>
      </c>
      <c r="B18" s="104">
        <v>396293</v>
      </c>
      <c r="C18" s="104">
        <v>1050818</v>
      </c>
      <c r="D18" s="104">
        <v>1957657</v>
      </c>
      <c r="E18" s="104">
        <v>371354</v>
      </c>
      <c r="F18" s="104">
        <v>3776122</v>
      </c>
      <c r="G18" s="105">
        <v>2024</v>
      </c>
      <c r="H18" s="104">
        <v>2567</v>
      </c>
      <c r="I18" s="104">
        <v>51869</v>
      </c>
      <c r="J18" s="104">
        <v>198036</v>
      </c>
      <c r="K18" s="104">
        <v>55217</v>
      </c>
      <c r="L18" s="104">
        <v>307689</v>
      </c>
    </row>
    <row r="19" spans="1:12" ht="15" customHeight="1" x14ac:dyDescent="0.3">
      <c r="A19" s="64" t="s">
        <v>35</v>
      </c>
      <c r="B19" s="65">
        <v>0</v>
      </c>
      <c r="C19" s="65">
        <v>0</v>
      </c>
      <c r="D19" s="65">
        <v>0</v>
      </c>
      <c r="E19" s="65">
        <v>0</v>
      </c>
      <c r="F19" s="65">
        <v>0</v>
      </c>
      <c r="G19" s="64" t="s">
        <v>35</v>
      </c>
      <c r="H19" s="65">
        <v>61</v>
      </c>
      <c r="I19" s="65">
        <v>1529</v>
      </c>
      <c r="J19" s="65">
        <v>6563</v>
      </c>
      <c r="K19" s="65">
        <v>1780</v>
      </c>
      <c r="L19" s="65">
        <v>9933</v>
      </c>
    </row>
    <row r="20" spans="1:12" ht="15" customHeight="1" x14ac:dyDescent="0.3">
      <c r="A20" s="64" t="s">
        <v>36</v>
      </c>
      <c r="B20" s="65">
        <v>0</v>
      </c>
      <c r="C20" s="65">
        <v>0</v>
      </c>
      <c r="D20" s="65">
        <v>0</v>
      </c>
      <c r="E20" s="65">
        <v>0</v>
      </c>
      <c r="F20" s="65">
        <v>0</v>
      </c>
      <c r="G20" s="64" t="s">
        <v>36</v>
      </c>
      <c r="H20" s="65">
        <v>99</v>
      </c>
      <c r="I20" s="65">
        <v>1516</v>
      </c>
      <c r="J20" s="65">
        <v>9837</v>
      </c>
      <c r="K20" s="65">
        <v>1592</v>
      </c>
      <c r="L20" s="65">
        <v>13044</v>
      </c>
    </row>
    <row r="21" spans="1:12" ht="15" customHeight="1" x14ac:dyDescent="0.3">
      <c r="A21" s="64" t="s">
        <v>37</v>
      </c>
      <c r="B21" s="65">
        <v>183</v>
      </c>
      <c r="C21" s="65">
        <v>224</v>
      </c>
      <c r="D21" s="65">
        <v>7840</v>
      </c>
      <c r="E21" s="65">
        <v>0</v>
      </c>
      <c r="F21" s="65">
        <v>8247</v>
      </c>
      <c r="G21" s="64" t="s">
        <v>37</v>
      </c>
      <c r="H21" s="65">
        <v>83</v>
      </c>
      <c r="I21" s="65">
        <v>1792</v>
      </c>
      <c r="J21" s="65">
        <v>12639</v>
      </c>
      <c r="K21" s="65">
        <v>1861</v>
      </c>
      <c r="L21" s="65">
        <v>16375</v>
      </c>
    </row>
    <row r="22" spans="1:12" ht="15" customHeight="1" x14ac:dyDescent="0.3">
      <c r="A22" s="64" t="s">
        <v>38</v>
      </c>
      <c r="B22" s="65">
        <v>5721</v>
      </c>
      <c r="C22" s="65">
        <v>16239</v>
      </c>
      <c r="D22" s="65">
        <v>75805</v>
      </c>
      <c r="E22" s="65">
        <v>3821</v>
      </c>
      <c r="F22" s="65">
        <v>101586</v>
      </c>
      <c r="G22" s="64" t="s">
        <v>38</v>
      </c>
      <c r="H22" s="65">
        <v>152</v>
      </c>
      <c r="I22" s="65">
        <v>3154</v>
      </c>
      <c r="J22" s="65">
        <v>13979</v>
      </c>
      <c r="K22" s="65">
        <v>2990</v>
      </c>
      <c r="L22" s="65">
        <v>20275</v>
      </c>
    </row>
    <row r="23" spans="1:12" ht="15" customHeight="1" x14ac:dyDescent="0.3">
      <c r="A23" s="64" t="s">
        <v>39</v>
      </c>
      <c r="B23" s="65">
        <v>42723</v>
      </c>
      <c r="C23" s="65">
        <v>120298</v>
      </c>
      <c r="D23" s="65">
        <v>207777</v>
      </c>
      <c r="E23" s="65">
        <v>39628</v>
      </c>
      <c r="F23" s="65">
        <v>410426</v>
      </c>
      <c r="G23" s="64" t="s">
        <v>39</v>
      </c>
      <c r="H23" s="65">
        <v>258</v>
      </c>
      <c r="I23" s="65">
        <v>5009</v>
      </c>
      <c r="J23" s="65">
        <v>18181</v>
      </c>
      <c r="K23" s="65">
        <v>4441</v>
      </c>
      <c r="L23" s="65">
        <v>27889</v>
      </c>
    </row>
    <row r="24" spans="1:12" ht="15" customHeight="1" x14ac:dyDescent="0.3">
      <c r="A24" s="64" t="s">
        <v>40</v>
      </c>
      <c r="B24" s="65">
        <v>77624</v>
      </c>
      <c r="C24" s="65">
        <v>190474</v>
      </c>
      <c r="D24" s="65">
        <v>341944</v>
      </c>
      <c r="E24" s="65">
        <v>72777</v>
      </c>
      <c r="F24" s="65">
        <v>682819</v>
      </c>
      <c r="G24" s="64" t="s">
        <v>40</v>
      </c>
      <c r="H24" s="65">
        <v>300</v>
      </c>
      <c r="I24" s="65">
        <v>7259</v>
      </c>
      <c r="J24" s="65">
        <v>25484</v>
      </c>
      <c r="K24" s="65">
        <v>8645</v>
      </c>
      <c r="L24" s="65">
        <v>41688</v>
      </c>
    </row>
    <row r="25" spans="1:12" ht="15" customHeight="1" x14ac:dyDescent="0.3">
      <c r="A25" s="64" t="s">
        <v>41</v>
      </c>
      <c r="B25" s="65">
        <v>95806</v>
      </c>
      <c r="C25" s="65">
        <v>248269</v>
      </c>
      <c r="D25" s="65">
        <v>430670</v>
      </c>
      <c r="E25" s="65">
        <v>91543</v>
      </c>
      <c r="F25" s="65">
        <v>866288</v>
      </c>
      <c r="G25" s="64" t="s">
        <v>41</v>
      </c>
      <c r="H25" s="65">
        <v>422</v>
      </c>
      <c r="I25" s="65">
        <v>8775</v>
      </c>
      <c r="J25" s="65">
        <v>27584</v>
      </c>
      <c r="K25" s="65">
        <v>10862</v>
      </c>
      <c r="L25" s="65">
        <v>47643</v>
      </c>
    </row>
    <row r="26" spans="1:12" ht="15" customHeight="1" x14ac:dyDescent="0.3">
      <c r="A26" s="64" t="s">
        <v>42</v>
      </c>
      <c r="B26" s="65">
        <v>85768</v>
      </c>
      <c r="C26" s="65">
        <v>241368</v>
      </c>
      <c r="D26" s="65">
        <v>420635</v>
      </c>
      <c r="E26" s="65">
        <v>91171</v>
      </c>
      <c r="F26" s="65">
        <v>838942</v>
      </c>
      <c r="G26" s="64" t="s">
        <v>42</v>
      </c>
      <c r="H26" s="65">
        <v>448</v>
      </c>
      <c r="I26" s="65">
        <v>8649</v>
      </c>
      <c r="J26" s="65">
        <v>27412</v>
      </c>
      <c r="K26" s="65">
        <v>10391</v>
      </c>
      <c r="L26" s="65">
        <v>46900</v>
      </c>
    </row>
    <row r="27" spans="1:12" ht="15" customHeight="1" x14ac:dyDescent="0.3">
      <c r="A27" s="64" t="s">
        <v>43</v>
      </c>
      <c r="B27" s="65">
        <v>68554</v>
      </c>
      <c r="C27" s="65">
        <v>180460</v>
      </c>
      <c r="D27" s="65">
        <v>315440</v>
      </c>
      <c r="E27" s="65">
        <v>60785</v>
      </c>
      <c r="F27" s="65">
        <v>625239</v>
      </c>
      <c r="G27" s="64" t="s">
        <v>43</v>
      </c>
      <c r="H27" s="65">
        <v>321</v>
      </c>
      <c r="I27" s="65">
        <v>6799</v>
      </c>
      <c r="J27" s="65">
        <v>23039</v>
      </c>
      <c r="K27" s="65">
        <v>6944</v>
      </c>
      <c r="L27" s="65">
        <v>37103</v>
      </c>
    </row>
    <row r="28" spans="1:12" ht="15" customHeight="1" x14ac:dyDescent="0.3">
      <c r="A28" s="64" t="s">
        <v>44</v>
      </c>
      <c r="B28" s="65">
        <v>19747</v>
      </c>
      <c r="C28" s="65">
        <v>53405</v>
      </c>
      <c r="D28" s="65">
        <v>154573</v>
      </c>
      <c r="E28" s="65">
        <v>11547</v>
      </c>
      <c r="F28" s="65">
        <v>239272</v>
      </c>
      <c r="G28" s="64" t="s">
        <v>44</v>
      </c>
      <c r="H28" s="65">
        <v>165</v>
      </c>
      <c r="I28" s="65">
        <v>3790</v>
      </c>
      <c r="J28" s="65">
        <v>16522</v>
      </c>
      <c r="K28" s="65">
        <v>3208</v>
      </c>
      <c r="L28" s="65">
        <v>23685</v>
      </c>
    </row>
    <row r="29" spans="1:12" ht="15" customHeight="1" x14ac:dyDescent="0.3">
      <c r="A29" s="64" t="s">
        <v>45</v>
      </c>
      <c r="B29" s="65">
        <v>167</v>
      </c>
      <c r="C29" s="65">
        <v>81</v>
      </c>
      <c r="D29" s="65">
        <v>2973</v>
      </c>
      <c r="E29" s="65">
        <v>82</v>
      </c>
      <c r="F29" s="65">
        <v>3303</v>
      </c>
      <c r="G29" s="64" t="s">
        <v>45</v>
      </c>
      <c r="H29" s="65">
        <v>83</v>
      </c>
      <c r="I29" s="65">
        <v>1755</v>
      </c>
      <c r="J29" s="65">
        <v>7269</v>
      </c>
      <c r="K29" s="65">
        <v>1437</v>
      </c>
      <c r="L29" s="65">
        <v>10544</v>
      </c>
    </row>
    <row r="30" spans="1:12" ht="15" customHeight="1" x14ac:dyDescent="0.3">
      <c r="A30" s="64" t="s">
        <v>46</v>
      </c>
      <c r="B30" s="65">
        <v>0</v>
      </c>
      <c r="C30" s="65">
        <v>0</v>
      </c>
      <c r="D30" s="65">
        <v>0</v>
      </c>
      <c r="E30" s="65">
        <v>0</v>
      </c>
      <c r="F30" s="65">
        <v>0</v>
      </c>
      <c r="G30" s="64" t="s">
        <v>46</v>
      </c>
      <c r="H30" s="65">
        <v>175</v>
      </c>
      <c r="I30" s="65">
        <v>1842</v>
      </c>
      <c r="J30" s="65">
        <v>9527</v>
      </c>
      <c r="K30" s="65">
        <v>1066</v>
      </c>
      <c r="L30" s="65">
        <v>12610</v>
      </c>
    </row>
    <row r="31" spans="1:12" ht="15" customHeight="1" x14ac:dyDescent="0.3">
      <c r="A31" s="105">
        <v>2023</v>
      </c>
      <c r="B31" s="104">
        <v>392070</v>
      </c>
      <c r="C31" s="104">
        <v>991030</v>
      </c>
      <c r="D31" s="104">
        <v>1832651</v>
      </c>
      <c r="E31" s="104">
        <v>361933</v>
      </c>
      <c r="F31" s="104">
        <v>3577684</v>
      </c>
      <c r="G31" s="105">
        <v>2023</v>
      </c>
      <c r="H31" s="104">
        <v>1933</v>
      </c>
      <c r="I31" s="104">
        <v>45657</v>
      </c>
      <c r="J31" s="104">
        <v>183363</v>
      </c>
      <c r="K31" s="104">
        <v>54026</v>
      </c>
      <c r="L31" s="104">
        <v>284979</v>
      </c>
    </row>
    <row r="32" spans="1:12" ht="15" customHeight="1" x14ac:dyDescent="0.3">
      <c r="A32" s="64" t="s">
        <v>35</v>
      </c>
      <c r="B32" s="65">
        <v>0</v>
      </c>
      <c r="C32" s="65">
        <v>0</v>
      </c>
      <c r="D32" s="65">
        <v>0</v>
      </c>
      <c r="E32" s="65">
        <v>0</v>
      </c>
      <c r="F32" s="65">
        <v>0</v>
      </c>
      <c r="G32" s="64" t="s">
        <v>35</v>
      </c>
      <c r="H32" s="65">
        <v>88</v>
      </c>
      <c r="I32" s="65">
        <v>1466</v>
      </c>
      <c r="J32" s="65">
        <v>6233</v>
      </c>
      <c r="K32" s="65">
        <v>1505</v>
      </c>
      <c r="L32" s="65">
        <v>9292</v>
      </c>
    </row>
    <row r="33" spans="1:12" ht="15" customHeight="1" x14ac:dyDescent="0.3">
      <c r="A33" s="64" t="s">
        <v>36</v>
      </c>
      <c r="B33" s="65">
        <v>0</v>
      </c>
      <c r="C33" s="65">
        <v>0</v>
      </c>
      <c r="D33" s="65">
        <v>0</v>
      </c>
      <c r="E33" s="65">
        <v>0</v>
      </c>
      <c r="F33" s="65">
        <v>0</v>
      </c>
      <c r="G33" s="64" t="s">
        <v>36</v>
      </c>
      <c r="H33" s="65">
        <v>53</v>
      </c>
      <c r="I33" s="65">
        <v>1400</v>
      </c>
      <c r="J33" s="65">
        <v>4600</v>
      </c>
      <c r="K33" s="65">
        <v>1401</v>
      </c>
      <c r="L33" s="65">
        <v>7454</v>
      </c>
    </row>
    <row r="34" spans="1:12" ht="15" customHeight="1" x14ac:dyDescent="0.3">
      <c r="A34" s="64" t="s">
        <v>37</v>
      </c>
      <c r="B34" s="65">
        <v>502</v>
      </c>
      <c r="C34" s="65">
        <v>99</v>
      </c>
      <c r="D34" s="65">
        <v>7587</v>
      </c>
      <c r="E34" s="65">
        <v>515</v>
      </c>
      <c r="F34" s="65">
        <v>8703</v>
      </c>
      <c r="G34" s="64" t="s">
        <v>37</v>
      </c>
      <c r="H34" s="65">
        <v>74</v>
      </c>
      <c r="I34" s="65">
        <v>1719</v>
      </c>
      <c r="J34" s="65">
        <v>10998</v>
      </c>
      <c r="K34" s="65">
        <v>1702</v>
      </c>
      <c r="L34" s="65">
        <v>14493</v>
      </c>
    </row>
    <row r="35" spans="1:12" ht="15" customHeight="1" x14ac:dyDescent="0.3">
      <c r="A35" s="64" t="s">
        <v>38</v>
      </c>
      <c r="B35" s="65">
        <v>5988</v>
      </c>
      <c r="C35" s="65">
        <v>14245</v>
      </c>
      <c r="D35" s="65">
        <v>67090</v>
      </c>
      <c r="E35" s="65">
        <v>4552</v>
      </c>
      <c r="F35" s="65">
        <v>91875</v>
      </c>
      <c r="G35" s="64" t="s">
        <v>38</v>
      </c>
      <c r="H35" s="65">
        <v>144</v>
      </c>
      <c r="I35" s="65">
        <v>2954</v>
      </c>
      <c r="J35" s="65">
        <v>14599</v>
      </c>
      <c r="K35" s="65">
        <v>2856</v>
      </c>
      <c r="L35" s="65">
        <v>20553</v>
      </c>
    </row>
    <row r="36" spans="1:12" ht="15" customHeight="1" x14ac:dyDescent="0.3">
      <c r="A36" s="64" t="s">
        <v>39</v>
      </c>
      <c r="B36" s="65">
        <v>40315</v>
      </c>
      <c r="C36" s="65">
        <v>104855</v>
      </c>
      <c r="D36" s="65">
        <v>182955</v>
      </c>
      <c r="E36" s="65">
        <v>37299</v>
      </c>
      <c r="F36" s="65">
        <v>365424</v>
      </c>
      <c r="G36" s="64" t="s">
        <v>39</v>
      </c>
      <c r="H36" s="65">
        <v>120</v>
      </c>
      <c r="I36" s="65">
        <v>4058</v>
      </c>
      <c r="J36" s="65">
        <v>17315</v>
      </c>
      <c r="K36" s="65">
        <v>3791</v>
      </c>
      <c r="L36" s="65">
        <v>25284</v>
      </c>
    </row>
    <row r="37" spans="1:12" ht="15" customHeight="1" x14ac:dyDescent="0.3">
      <c r="A37" s="64" t="s">
        <v>40</v>
      </c>
      <c r="B37" s="65">
        <v>73397</v>
      </c>
      <c r="C37" s="65">
        <v>187015</v>
      </c>
      <c r="D37" s="65">
        <v>327739</v>
      </c>
      <c r="E37" s="65">
        <v>71779</v>
      </c>
      <c r="F37" s="65">
        <v>659930</v>
      </c>
      <c r="G37" s="64" t="s">
        <v>40</v>
      </c>
      <c r="H37" s="65">
        <v>202</v>
      </c>
      <c r="I37" s="65">
        <v>6009</v>
      </c>
      <c r="J37" s="65">
        <v>23504</v>
      </c>
      <c r="K37" s="65">
        <v>7495</v>
      </c>
      <c r="L37" s="65">
        <v>37210</v>
      </c>
    </row>
    <row r="38" spans="1:12" ht="15" customHeight="1" x14ac:dyDescent="0.3">
      <c r="A38" s="64" t="s">
        <v>41</v>
      </c>
      <c r="B38" s="65">
        <v>99043</v>
      </c>
      <c r="C38" s="65">
        <v>237180</v>
      </c>
      <c r="D38" s="65">
        <v>414004</v>
      </c>
      <c r="E38" s="65">
        <v>89485</v>
      </c>
      <c r="F38" s="65">
        <v>839712</v>
      </c>
      <c r="G38" s="64" t="s">
        <v>41</v>
      </c>
      <c r="H38" s="65">
        <v>290</v>
      </c>
      <c r="I38" s="65">
        <v>7898</v>
      </c>
      <c r="J38" s="65">
        <v>24506</v>
      </c>
      <c r="K38" s="65">
        <v>10827</v>
      </c>
      <c r="L38" s="65">
        <v>43521</v>
      </c>
    </row>
    <row r="39" spans="1:12" ht="15" customHeight="1" x14ac:dyDescent="0.3">
      <c r="A39" s="64" t="s">
        <v>42</v>
      </c>
      <c r="B39" s="65">
        <v>84917</v>
      </c>
      <c r="C39" s="65">
        <v>230361</v>
      </c>
      <c r="D39" s="65">
        <v>395226</v>
      </c>
      <c r="E39" s="65">
        <v>87498</v>
      </c>
      <c r="F39" s="65">
        <v>798002</v>
      </c>
      <c r="G39" s="64" t="s">
        <v>42</v>
      </c>
      <c r="H39" s="65">
        <v>370</v>
      </c>
      <c r="I39" s="65">
        <v>7661</v>
      </c>
      <c r="J39" s="65">
        <v>25085</v>
      </c>
      <c r="K39" s="65">
        <v>10662</v>
      </c>
      <c r="L39" s="65">
        <v>43778</v>
      </c>
    </row>
    <row r="40" spans="1:12" ht="15" customHeight="1" x14ac:dyDescent="0.3">
      <c r="A40" s="64" t="s">
        <v>43</v>
      </c>
      <c r="B40" s="65">
        <v>67657</v>
      </c>
      <c r="C40" s="65">
        <v>172900</v>
      </c>
      <c r="D40" s="65">
        <v>304944</v>
      </c>
      <c r="E40" s="65">
        <v>60230</v>
      </c>
      <c r="F40" s="65">
        <v>605731</v>
      </c>
      <c r="G40" s="64" t="s">
        <v>43</v>
      </c>
      <c r="H40" s="65">
        <v>250</v>
      </c>
      <c r="I40" s="65">
        <v>5652</v>
      </c>
      <c r="J40" s="65">
        <v>22354</v>
      </c>
      <c r="K40" s="65">
        <v>6838</v>
      </c>
      <c r="L40" s="65">
        <v>35094</v>
      </c>
    </row>
    <row r="41" spans="1:12" ht="15" customHeight="1" x14ac:dyDescent="0.3">
      <c r="A41" s="64" t="s">
        <v>44</v>
      </c>
      <c r="B41" s="65">
        <v>20216</v>
      </c>
      <c r="C41" s="65">
        <v>44357</v>
      </c>
      <c r="D41" s="65">
        <v>132358</v>
      </c>
      <c r="E41" s="65">
        <v>10574</v>
      </c>
      <c r="F41" s="65">
        <v>207505</v>
      </c>
      <c r="G41" s="64" t="s">
        <v>44</v>
      </c>
      <c r="H41" s="65">
        <v>107</v>
      </c>
      <c r="I41" s="65">
        <v>3472</v>
      </c>
      <c r="J41" s="65">
        <v>15046</v>
      </c>
      <c r="K41" s="65">
        <v>3272</v>
      </c>
      <c r="L41" s="65">
        <v>21897</v>
      </c>
    </row>
    <row r="42" spans="1:12" ht="15" customHeight="1" x14ac:dyDescent="0.3">
      <c r="A42" s="64" t="s">
        <v>45</v>
      </c>
      <c r="B42" s="65">
        <v>29</v>
      </c>
      <c r="C42" s="65">
        <v>18</v>
      </c>
      <c r="D42" s="65">
        <v>736</v>
      </c>
      <c r="E42" s="65">
        <v>1</v>
      </c>
      <c r="F42" s="65">
        <v>784</v>
      </c>
      <c r="G42" s="64" t="s">
        <v>45</v>
      </c>
      <c r="H42" s="65">
        <v>62</v>
      </c>
      <c r="I42" s="65">
        <v>1603</v>
      </c>
      <c r="J42" s="65">
        <v>8553</v>
      </c>
      <c r="K42" s="65">
        <v>1812</v>
      </c>
      <c r="L42" s="65">
        <v>12030</v>
      </c>
    </row>
    <row r="43" spans="1:12" ht="15" customHeight="1" x14ac:dyDescent="0.3">
      <c r="A43" s="64" t="s">
        <v>46</v>
      </c>
      <c r="B43" s="65">
        <v>6</v>
      </c>
      <c r="C43" s="65">
        <v>0</v>
      </c>
      <c r="D43" s="65">
        <v>12</v>
      </c>
      <c r="E43" s="65">
        <v>0</v>
      </c>
      <c r="F43" s="65">
        <v>18</v>
      </c>
      <c r="G43" s="64" t="s">
        <v>46</v>
      </c>
      <c r="H43" s="65">
        <v>173</v>
      </c>
      <c r="I43" s="65">
        <v>1765</v>
      </c>
      <c r="J43" s="65">
        <v>10570</v>
      </c>
      <c r="K43" s="65">
        <v>1865</v>
      </c>
      <c r="L43" s="65">
        <v>14373</v>
      </c>
    </row>
    <row r="44" spans="1:12" ht="15" customHeight="1" x14ac:dyDescent="0.3">
      <c r="A44" s="105">
        <v>2022</v>
      </c>
      <c r="B44" s="104">
        <v>372103</v>
      </c>
      <c r="C44" s="104">
        <v>902594</v>
      </c>
      <c r="D44" s="104">
        <v>1691021</v>
      </c>
      <c r="E44" s="104">
        <v>352875</v>
      </c>
      <c r="F44" s="104">
        <v>3318593</v>
      </c>
      <c r="G44" s="105">
        <v>2022</v>
      </c>
      <c r="H44" s="104">
        <v>2284</v>
      </c>
      <c r="I44" s="104">
        <v>44046</v>
      </c>
      <c r="J44" s="104">
        <v>170271</v>
      </c>
      <c r="K44" s="104">
        <v>44935</v>
      </c>
      <c r="L44" s="104">
        <v>261536</v>
      </c>
    </row>
    <row r="45" spans="1:12" ht="15" customHeight="1" x14ac:dyDescent="0.3">
      <c r="A45" s="64" t="s">
        <v>35</v>
      </c>
      <c r="B45" s="65">
        <v>0</v>
      </c>
      <c r="C45" s="65">
        <v>0</v>
      </c>
      <c r="D45" s="65">
        <v>49</v>
      </c>
      <c r="E45" s="65">
        <v>0</v>
      </c>
      <c r="F45" s="65">
        <v>49</v>
      </c>
      <c r="G45" s="64" t="s">
        <v>35</v>
      </c>
      <c r="H45" s="65">
        <v>51</v>
      </c>
      <c r="I45" s="65">
        <v>887</v>
      </c>
      <c r="J45" s="65">
        <v>7044</v>
      </c>
      <c r="K45" s="65">
        <v>1095</v>
      </c>
      <c r="L45" s="65">
        <v>9077</v>
      </c>
    </row>
    <row r="46" spans="1:12" ht="15" customHeight="1" x14ac:dyDescent="0.3">
      <c r="A46" s="64" t="s">
        <v>36</v>
      </c>
      <c r="B46" s="65">
        <v>0</v>
      </c>
      <c r="C46" s="65">
        <v>0</v>
      </c>
      <c r="D46" s="65">
        <v>0</v>
      </c>
      <c r="E46" s="65">
        <v>0</v>
      </c>
      <c r="F46" s="65">
        <v>0</v>
      </c>
      <c r="G46" s="64" t="s">
        <v>36</v>
      </c>
      <c r="H46" s="65">
        <v>53</v>
      </c>
      <c r="I46" s="65">
        <v>983</v>
      </c>
      <c r="J46" s="65">
        <v>7839</v>
      </c>
      <c r="K46" s="65">
        <v>1183</v>
      </c>
      <c r="L46" s="65">
        <v>10058</v>
      </c>
    </row>
    <row r="47" spans="1:12" ht="15" customHeight="1" x14ac:dyDescent="0.3">
      <c r="A47" s="64" t="s">
        <v>37</v>
      </c>
      <c r="B47" s="65">
        <v>504</v>
      </c>
      <c r="C47" s="65">
        <v>253</v>
      </c>
      <c r="D47" s="65">
        <v>3895</v>
      </c>
      <c r="E47" s="65">
        <v>338</v>
      </c>
      <c r="F47" s="65">
        <v>4990</v>
      </c>
      <c r="G47" s="64" t="s">
        <v>37</v>
      </c>
      <c r="H47" s="65">
        <v>127</v>
      </c>
      <c r="I47" s="65">
        <v>1288</v>
      </c>
      <c r="J47" s="65">
        <v>9426</v>
      </c>
      <c r="K47" s="65">
        <v>1337</v>
      </c>
      <c r="L47" s="65">
        <v>12178</v>
      </c>
    </row>
    <row r="48" spans="1:12" ht="15" customHeight="1" x14ac:dyDescent="0.3">
      <c r="A48" s="64" t="s">
        <v>38</v>
      </c>
      <c r="B48" s="65">
        <v>10918</v>
      </c>
      <c r="C48" s="65">
        <v>12095</v>
      </c>
      <c r="D48" s="65">
        <v>64960</v>
      </c>
      <c r="E48" s="65">
        <v>5929</v>
      </c>
      <c r="F48" s="65">
        <v>93902</v>
      </c>
      <c r="G48" s="64" t="s">
        <v>38</v>
      </c>
      <c r="H48" s="65">
        <v>124</v>
      </c>
      <c r="I48" s="65">
        <v>2427</v>
      </c>
      <c r="J48" s="65">
        <v>11873</v>
      </c>
      <c r="K48" s="65">
        <v>2420</v>
      </c>
      <c r="L48" s="65">
        <v>16844</v>
      </c>
    </row>
    <row r="49" spans="1:12" ht="15" customHeight="1" x14ac:dyDescent="0.3">
      <c r="A49" s="64" t="s">
        <v>39</v>
      </c>
      <c r="B49" s="65">
        <v>38441</v>
      </c>
      <c r="C49" s="65">
        <v>93066</v>
      </c>
      <c r="D49" s="65">
        <v>168804</v>
      </c>
      <c r="E49" s="65">
        <v>37783</v>
      </c>
      <c r="F49" s="65">
        <v>338094</v>
      </c>
      <c r="G49" s="64" t="s">
        <v>39</v>
      </c>
      <c r="H49" s="65">
        <v>222</v>
      </c>
      <c r="I49" s="65">
        <v>3697</v>
      </c>
      <c r="J49" s="65">
        <v>13687</v>
      </c>
      <c r="K49" s="65">
        <v>3273</v>
      </c>
      <c r="L49" s="65">
        <v>20879</v>
      </c>
    </row>
    <row r="50" spans="1:12" ht="15" customHeight="1" x14ac:dyDescent="0.3">
      <c r="A50" s="64" t="s">
        <v>40</v>
      </c>
      <c r="B50" s="65">
        <v>66130</v>
      </c>
      <c r="C50" s="65">
        <v>166649</v>
      </c>
      <c r="D50" s="65">
        <v>298237</v>
      </c>
      <c r="E50" s="65">
        <v>64525</v>
      </c>
      <c r="F50" s="65">
        <v>595541</v>
      </c>
      <c r="G50" s="64" t="s">
        <v>40</v>
      </c>
      <c r="H50" s="65">
        <v>259</v>
      </c>
      <c r="I50" s="65">
        <v>6024</v>
      </c>
      <c r="J50" s="65">
        <v>19778</v>
      </c>
      <c r="K50" s="65">
        <v>5933</v>
      </c>
      <c r="L50" s="65">
        <v>31994</v>
      </c>
    </row>
    <row r="51" spans="1:12" ht="15" customHeight="1" x14ac:dyDescent="0.3">
      <c r="A51" s="64" t="s">
        <v>41</v>
      </c>
      <c r="B51" s="65">
        <v>90467</v>
      </c>
      <c r="C51" s="65">
        <v>222345</v>
      </c>
      <c r="D51" s="65">
        <v>389032</v>
      </c>
      <c r="E51" s="65">
        <v>88772</v>
      </c>
      <c r="F51" s="65">
        <v>790616</v>
      </c>
      <c r="G51" s="64" t="s">
        <v>41</v>
      </c>
      <c r="H51" s="65">
        <v>439</v>
      </c>
      <c r="I51" s="65">
        <v>8484</v>
      </c>
      <c r="J51" s="65">
        <v>22185</v>
      </c>
      <c r="K51" s="65">
        <v>9042</v>
      </c>
      <c r="L51" s="65">
        <v>40150</v>
      </c>
    </row>
    <row r="52" spans="1:12" ht="15" customHeight="1" x14ac:dyDescent="0.3">
      <c r="A52" s="64" t="s">
        <v>42</v>
      </c>
      <c r="B52" s="65">
        <v>81895</v>
      </c>
      <c r="C52" s="65">
        <v>214739</v>
      </c>
      <c r="D52" s="65">
        <v>373847</v>
      </c>
      <c r="E52" s="65">
        <v>86086</v>
      </c>
      <c r="F52" s="65">
        <v>756567</v>
      </c>
      <c r="G52" s="64" t="s">
        <v>42</v>
      </c>
      <c r="H52" s="65">
        <v>451</v>
      </c>
      <c r="I52" s="65">
        <v>8649</v>
      </c>
      <c r="J52" s="65">
        <v>22964</v>
      </c>
      <c r="K52" s="65">
        <v>9068</v>
      </c>
      <c r="L52" s="65">
        <v>41132</v>
      </c>
    </row>
    <row r="53" spans="1:12" ht="15" customHeight="1" x14ac:dyDescent="0.3">
      <c r="A53" s="64" t="s">
        <v>43</v>
      </c>
      <c r="B53" s="65">
        <v>61630</v>
      </c>
      <c r="C53" s="65">
        <v>156447</v>
      </c>
      <c r="D53" s="65">
        <v>276125</v>
      </c>
      <c r="E53" s="65">
        <v>57229</v>
      </c>
      <c r="F53" s="65">
        <v>551431</v>
      </c>
      <c r="G53" s="64" t="s">
        <v>43</v>
      </c>
      <c r="H53" s="65">
        <v>257</v>
      </c>
      <c r="I53" s="65">
        <v>6073</v>
      </c>
      <c r="J53" s="65">
        <v>19722</v>
      </c>
      <c r="K53" s="65">
        <v>5664</v>
      </c>
      <c r="L53" s="65">
        <v>31716</v>
      </c>
    </row>
    <row r="54" spans="1:12" ht="15" customHeight="1" x14ac:dyDescent="0.3">
      <c r="A54" s="64" t="s">
        <v>44</v>
      </c>
      <c r="B54" s="65">
        <v>22020</v>
      </c>
      <c r="C54" s="65">
        <v>36896</v>
      </c>
      <c r="D54" s="65">
        <v>115170</v>
      </c>
      <c r="E54" s="65">
        <v>12048</v>
      </c>
      <c r="F54" s="65">
        <v>186134</v>
      </c>
      <c r="G54" s="64" t="s">
        <v>44</v>
      </c>
      <c r="H54" s="65">
        <v>98</v>
      </c>
      <c r="I54" s="65">
        <v>2417</v>
      </c>
      <c r="J54" s="65">
        <v>13057</v>
      </c>
      <c r="K54" s="65">
        <v>2737</v>
      </c>
      <c r="L54" s="65">
        <v>18309</v>
      </c>
    </row>
    <row r="55" spans="1:12" ht="15" customHeight="1" x14ac:dyDescent="0.3">
      <c r="A55" s="64" t="s">
        <v>45</v>
      </c>
      <c r="B55" s="65">
        <v>98</v>
      </c>
      <c r="C55" s="65">
        <v>104</v>
      </c>
      <c r="D55" s="65">
        <v>902</v>
      </c>
      <c r="E55" s="65">
        <v>165</v>
      </c>
      <c r="F55" s="65">
        <v>1269</v>
      </c>
      <c r="G55" s="64" t="s">
        <v>45</v>
      </c>
      <c r="H55" s="65">
        <v>70</v>
      </c>
      <c r="I55" s="65">
        <v>1516</v>
      </c>
      <c r="J55" s="65">
        <v>11494</v>
      </c>
      <c r="K55" s="65">
        <v>1531</v>
      </c>
      <c r="L55" s="65">
        <v>14611</v>
      </c>
    </row>
    <row r="56" spans="1:12" ht="15" customHeight="1" x14ac:dyDescent="0.3">
      <c r="A56" s="64" t="s">
        <v>46</v>
      </c>
      <c r="B56" s="65">
        <v>0</v>
      </c>
      <c r="C56" s="65">
        <v>0</v>
      </c>
      <c r="D56" s="65">
        <v>0</v>
      </c>
      <c r="E56" s="65">
        <v>0</v>
      </c>
      <c r="F56" s="65">
        <v>0</v>
      </c>
      <c r="G56" s="64" t="s">
        <v>46</v>
      </c>
      <c r="H56" s="65">
        <v>133</v>
      </c>
      <c r="I56" s="65">
        <v>1601</v>
      </c>
      <c r="J56" s="65">
        <v>11202</v>
      </c>
      <c r="K56" s="65">
        <v>1652</v>
      </c>
      <c r="L56" s="65">
        <v>14588</v>
      </c>
    </row>
    <row r="57" spans="1:12" ht="15" customHeight="1" x14ac:dyDescent="0.3">
      <c r="A57" s="105">
        <v>2021</v>
      </c>
      <c r="B57" s="104">
        <f>SUM(B58:B69)</f>
        <v>173521</v>
      </c>
      <c r="C57" s="104">
        <f t="shared" ref="C57:F57" si="0">SUM(C58:C69)</f>
        <v>471395</v>
      </c>
      <c r="D57" s="104">
        <f t="shared" si="0"/>
        <v>899771</v>
      </c>
      <c r="E57" s="104">
        <f t="shared" si="0"/>
        <v>116567</v>
      </c>
      <c r="F57" s="104">
        <f t="shared" si="0"/>
        <v>1661254</v>
      </c>
      <c r="G57" s="105">
        <v>2021</v>
      </c>
      <c r="H57" s="104">
        <f>SUM(H58:H69)</f>
        <v>1551</v>
      </c>
      <c r="I57" s="104">
        <f t="shared" ref="I57:L57" si="1">SUM(I58:I69)</f>
        <v>26723</v>
      </c>
      <c r="J57" s="104">
        <f t="shared" si="1"/>
        <v>105544</v>
      </c>
      <c r="K57" s="104">
        <f t="shared" si="1"/>
        <v>28824</v>
      </c>
      <c r="L57" s="104">
        <f t="shared" si="1"/>
        <v>162642</v>
      </c>
    </row>
    <row r="58" spans="1:12" ht="15" customHeight="1" x14ac:dyDescent="0.3">
      <c r="A58" s="64" t="s">
        <v>35</v>
      </c>
      <c r="B58" s="65">
        <v>0</v>
      </c>
      <c r="C58" s="65">
        <v>0</v>
      </c>
      <c r="D58" s="65">
        <v>0</v>
      </c>
      <c r="E58" s="65">
        <v>0</v>
      </c>
      <c r="F58" s="65">
        <f>SUM(B58:E58)</f>
        <v>0</v>
      </c>
      <c r="G58" s="64" t="s">
        <v>35</v>
      </c>
      <c r="H58" s="65">
        <v>46</v>
      </c>
      <c r="I58" s="65">
        <v>373</v>
      </c>
      <c r="J58" s="65">
        <v>2154</v>
      </c>
      <c r="K58" s="65">
        <v>475</v>
      </c>
      <c r="L58" s="65">
        <f>SUM(H58:K58)</f>
        <v>3048</v>
      </c>
    </row>
    <row r="59" spans="1:12" ht="15" customHeight="1" x14ac:dyDescent="0.3">
      <c r="A59" s="64" t="s">
        <v>36</v>
      </c>
      <c r="B59" s="65">
        <v>0</v>
      </c>
      <c r="C59" s="65">
        <v>0</v>
      </c>
      <c r="D59" s="65">
        <v>0</v>
      </c>
      <c r="E59" s="65">
        <v>0</v>
      </c>
      <c r="F59" s="65">
        <f t="shared" ref="F59:F69" si="2">SUM(B59:E59)</f>
        <v>0</v>
      </c>
      <c r="G59" s="64" t="s">
        <v>36</v>
      </c>
      <c r="H59" s="65">
        <v>50</v>
      </c>
      <c r="I59" s="65">
        <v>351</v>
      </c>
      <c r="J59" s="65">
        <v>2304</v>
      </c>
      <c r="K59" s="65">
        <v>416</v>
      </c>
      <c r="L59" s="65">
        <f t="shared" ref="L59:L69" si="3">SUM(H59:K59)</f>
        <v>3121</v>
      </c>
    </row>
    <row r="60" spans="1:12" ht="15" customHeight="1" x14ac:dyDescent="0.3">
      <c r="A60" s="64" t="s">
        <v>37</v>
      </c>
      <c r="B60" s="65">
        <v>0</v>
      </c>
      <c r="C60" s="65">
        <v>0</v>
      </c>
      <c r="D60" s="65">
        <v>108</v>
      </c>
      <c r="E60" s="65">
        <v>0</v>
      </c>
      <c r="F60" s="65">
        <f t="shared" si="2"/>
        <v>108</v>
      </c>
      <c r="G60" s="64" t="s">
        <v>37</v>
      </c>
      <c r="H60" s="65">
        <v>52</v>
      </c>
      <c r="I60" s="65">
        <v>439</v>
      </c>
      <c r="J60" s="65">
        <v>2868</v>
      </c>
      <c r="K60" s="65">
        <v>563</v>
      </c>
      <c r="L60" s="65">
        <f t="shared" si="3"/>
        <v>3922</v>
      </c>
    </row>
    <row r="61" spans="1:12" ht="15" customHeight="1" x14ac:dyDescent="0.3">
      <c r="A61" s="64" t="s">
        <v>38</v>
      </c>
      <c r="B61" s="65">
        <v>0</v>
      </c>
      <c r="C61" s="65">
        <v>0</v>
      </c>
      <c r="D61" s="65">
        <v>38</v>
      </c>
      <c r="E61" s="65">
        <v>0</v>
      </c>
      <c r="F61" s="65">
        <f t="shared" si="2"/>
        <v>38</v>
      </c>
      <c r="G61" s="64" t="s">
        <v>38</v>
      </c>
      <c r="H61" s="65">
        <v>71</v>
      </c>
      <c r="I61" s="65">
        <v>706</v>
      </c>
      <c r="J61" s="65">
        <v>3475</v>
      </c>
      <c r="K61" s="65">
        <v>888</v>
      </c>
      <c r="L61" s="65">
        <f t="shared" si="3"/>
        <v>5140</v>
      </c>
    </row>
    <row r="62" spans="1:12" ht="15" customHeight="1" x14ac:dyDescent="0.3">
      <c r="A62" s="64" t="s">
        <v>39</v>
      </c>
      <c r="B62" s="65">
        <v>3337</v>
      </c>
      <c r="C62" s="65">
        <v>7212</v>
      </c>
      <c r="D62" s="65">
        <v>14705</v>
      </c>
      <c r="E62" s="65">
        <v>582</v>
      </c>
      <c r="F62" s="65">
        <f t="shared" si="2"/>
        <v>25836</v>
      </c>
      <c r="G62" s="64" t="s">
        <v>39</v>
      </c>
      <c r="H62" s="65">
        <v>113</v>
      </c>
      <c r="I62" s="65">
        <v>1294</v>
      </c>
      <c r="J62" s="65">
        <v>5902</v>
      </c>
      <c r="K62" s="65">
        <v>1579</v>
      </c>
      <c r="L62" s="65">
        <f t="shared" si="3"/>
        <v>8888</v>
      </c>
    </row>
    <row r="63" spans="1:12" ht="15" customHeight="1" x14ac:dyDescent="0.3">
      <c r="A63" s="64" t="s">
        <v>40</v>
      </c>
      <c r="B63" s="65">
        <v>14835</v>
      </c>
      <c r="C63" s="65">
        <v>49386</v>
      </c>
      <c r="D63" s="65">
        <v>79684</v>
      </c>
      <c r="E63" s="65">
        <v>6444</v>
      </c>
      <c r="F63" s="65">
        <f t="shared" si="2"/>
        <v>150349</v>
      </c>
      <c r="G63" s="64" t="s">
        <v>40</v>
      </c>
      <c r="H63" s="65">
        <v>127</v>
      </c>
      <c r="I63" s="65">
        <v>2786</v>
      </c>
      <c r="J63" s="65">
        <v>9949</v>
      </c>
      <c r="K63" s="65">
        <v>3601</v>
      </c>
      <c r="L63" s="65">
        <f t="shared" si="3"/>
        <v>16463</v>
      </c>
    </row>
    <row r="64" spans="1:12" ht="15" customHeight="1" x14ac:dyDescent="0.3">
      <c r="A64" s="64" t="s">
        <v>41</v>
      </c>
      <c r="B64" s="65">
        <v>45168</v>
      </c>
      <c r="C64" s="65">
        <v>130515</v>
      </c>
      <c r="D64" s="65">
        <v>228935</v>
      </c>
      <c r="E64" s="65">
        <v>27066</v>
      </c>
      <c r="F64" s="65">
        <f t="shared" si="2"/>
        <v>431684</v>
      </c>
      <c r="G64" s="64" t="s">
        <v>41</v>
      </c>
      <c r="H64" s="65">
        <v>287</v>
      </c>
      <c r="I64" s="65">
        <v>6114</v>
      </c>
      <c r="J64" s="65">
        <v>16497</v>
      </c>
      <c r="K64" s="65">
        <v>5857</v>
      </c>
      <c r="L64" s="65">
        <f t="shared" si="3"/>
        <v>28755</v>
      </c>
    </row>
    <row r="65" spans="1:12" ht="15" customHeight="1" x14ac:dyDescent="0.3">
      <c r="A65" s="64" t="s">
        <v>42</v>
      </c>
      <c r="B65" s="65">
        <v>52227</v>
      </c>
      <c r="C65" s="65">
        <v>151423</v>
      </c>
      <c r="D65" s="65">
        <v>268428</v>
      </c>
      <c r="E65" s="65">
        <v>43807</v>
      </c>
      <c r="F65" s="65">
        <f t="shared" si="2"/>
        <v>515885</v>
      </c>
      <c r="G65" s="64" t="s">
        <v>42</v>
      </c>
      <c r="H65" s="65">
        <v>285</v>
      </c>
      <c r="I65" s="65">
        <v>6905</v>
      </c>
      <c r="J65" s="65">
        <v>19081</v>
      </c>
      <c r="K65" s="65">
        <v>6445</v>
      </c>
      <c r="L65" s="65">
        <f t="shared" si="3"/>
        <v>32716</v>
      </c>
    </row>
    <row r="66" spans="1:12" ht="15" customHeight="1" x14ac:dyDescent="0.3">
      <c r="A66" s="64" t="s">
        <v>43</v>
      </c>
      <c r="B66" s="65">
        <v>40991</v>
      </c>
      <c r="C66" s="65">
        <v>104051</v>
      </c>
      <c r="D66" s="65">
        <v>199120</v>
      </c>
      <c r="E66" s="65">
        <v>31295</v>
      </c>
      <c r="F66" s="65">
        <f t="shared" si="2"/>
        <v>375457</v>
      </c>
      <c r="G66" s="64" t="s">
        <v>43</v>
      </c>
      <c r="H66" s="65">
        <v>272</v>
      </c>
      <c r="I66" s="65">
        <v>3272</v>
      </c>
      <c r="J66" s="65">
        <v>13967</v>
      </c>
      <c r="K66" s="65">
        <v>3786</v>
      </c>
      <c r="L66" s="65">
        <f t="shared" si="3"/>
        <v>21297</v>
      </c>
    </row>
    <row r="67" spans="1:12" ht="15" customHeight="1" x14ac:dyDescent="0.3">
      <c r="A67" s="64" t="s">
        <v>44</v>
      </c>
      <c r="B67" s="65">
        <v>16963</v>
      </c>
      <c r="C67" s="65">
        <v>28694</v>
      </c>
      <c r="D67" s="65">
        <v>108461</v>
      </c>
      <c r="E67" s="65">
        <v>7373</v>
      </c>
      <c r="F67" s="65">
        <f t="shared" si="2"/>
        <v>161491</v>
      </c>
      <c r="G67" s="64" t="s">
        <v>44</v>
      </c>
      <c r="H67" s="65">
        <v>124</v>
      </c>
      <c r="I67" s="65">
        <v>1954</v>
      </c>
      <c r="J67" s="65">
        <v>11615</v>
      </c>
      <c r="K67" s="65">
        <v>2239</v>
      </c>
      <c r="L67" s="65">
        <f t="shared" si="3"/>
        <v>15932</v>
      </c>
    </row>
    <row r="68" spans="1:12" ht="15" customHeight="1" x14ac:dyDescent="0.3">
      <c r="A68" s="64" t="s">
        <v>45</v>
      </c>
      <c r="B68" s="65">
        <v>0</v>
      </c>
      <c r="C68" s="65">
        <v>114</v>
      </c>
      <c r="D68" s="65">
        <v>292</v>
      </c>
      <c r="E68" s="65">
        <v>0</v>
      </c>
      <c r="F68" s="65">
        <f t="shared" si="2"/>
        <v>406</v>
      </c>
      <c r="G68" s="64" t="s">
        <v>45</v>
      </c>
      <c r="H68" s="65">
        <v>51</v>
      </c>
      <c r="I68" s="65">
        <v>1242</v>
      </c>
      <c r="J68" s="65">
        <v>8583</v>
      </c>
      <c r="K68" s="65">
        <v>1473</v>
      </c>
      <c r="L68" s="65">
        <f t="shared" si="3"/>
        <v>11349</v>
      </c>
    </row>
    <row r="69" spans="1:12" ht="15" customHeight="1" x14ac:dyDescent="0.3">
      <c r="A69" s="64" t="s">
        <v>46</v>
      </c>
      <c r="B69" s="65">
        <v>0</v>
      </c>
      <c r="C69" s="65">
        <v>0</v>
      </c>
      <c r="D69" s="65">
        <v>0</v>
      </c>
      <c r="E69" s="65">
        <v>0</v>
      </c>
      <c r="F69" s="65">
        <f t="shared" si="2"/>
        <v>0</v>
      </c>
      <c r="G69" s="64" t="s">
        <v>46</v>
      </c>
      <c r="H69" s="65">
        <v>73</v>
      </c>
      <c r="I69" s="65">
        <v>1287</v>
      </c>
      <c r="J69" s="65">
        <v>9149</v>
      </c>
      <c r="K69" s="65">
        <v>1502</v>
      </c>
      <c r="L69" s="65">
        <f t="shared" si="3"/>
        <v>12011</v>
      </c>
    </row>
    <row r="70" spans="1:12" ht="15" customHeight="1" x14ac:dyDescent="0.3">
      <c r="A70" s="105">
        <v>2020</v>
      </c>
      <c r="B70" s="104">
        <f>SUM(B71:B82)</f>
        <v>74578</v>
      </c>
      <c r="C70" s="104">
        <f t="shared" ref="C70:F70" si="4">SUM(C71:C82)</f>
        <v>196723</v>
      </c>
      <c r="D70" s="104">
        <f t="shared" si="4"/>
        <v>404484</v>
      </c>
      <c r="E70" s="104">
        <f t="shared" si="4"/>
        <v>75807</v>
      </c>
      <c r="F70" s="104">
        <f t="shared" si="4"/>
        <v>751592</v>
      </c>
      <c r="G70" s="105">
        <v>2020</v>
      </c>
      <c r="H70" s="104">
        <f>SUM(H71:H82)</f>
        <v>1910</v>
      </c>
      <c r="I70" s="104">
        <f t="shared" ref="I70:L70" si="5">SUM(I71:I82)</f>
        <v>13588</v>
      </c>
      <c r="J70" s="104">
        <f t="shared" si="5"/>
        <v>69046</v>
      </c>
      <c r="K70" s="104">
        <f t="shared" si="5"/>
        <v>15801</v>
      </c>
      <c r="L70" s="104">
        <f t="shared" si="5"/>
        <v>100345</v>
      </c>
    </row>
    <row r="71" spans="1:12" ht="15" customHeight="1" x14ac:dyDescent="0.3">
      <c r="A71" s="64" t="s">
        <v>35</v>
      </c>
      <c r="B71" s="65">
        <v>5</v>
      </c>
      <c r="C71" s="65">
        <v>0</v>
      </c>
      <c r="D71" s="65">
        <v>1</v>
      </c>
      <c r="E71" s="65">
        <v>2</v>
      </c>
      <c r="F71" s="65">
        <f>SUM(B71:E71)</f>
        <v>8</v>
      </c>
      <c r="G71" s="64" t="s">
        <v>35</v>
      </c>
      <c r="H71" s="65">
        <v>22</v>
      </c>
      <c r="I71" s="65">
        <v>1337</v>
      </c>
      <c r="J71" s="65">
        <v>10085</v>
      </c>
      <c r="K71" s="65">
        <v>1470</v>
      </c>
      <c r="L71" s="65">
        <f>SUM(H71:K71)</f>
        <v>12914</v>
      </c>
    </row>
    <row r="72" spans="1:12" ht="15" customHeight="1" x14ac:dyDescent="0.3">
      <c r="A72" s="64" t="s">
        <v>36</v>
      </c>
      <c r="B72" s="65">
        <v>3</v>
      </c>
      <c r="C72" s="65">
        <v>0</v>
      </c>
      <c r="D72" s="65">
        <v>22</v>
      </c>
      <c r="E72" s="65">
        <v>0</v>
      </c>
      <c r="F72" s="65">
        <f t="shared" ref="F72:F82" si="6">SUM(B72:E72)</f>
        <v>25</v>
      </c>
      <c r="G72" s="64" t="s">
        <v>36</v>
      </c>
      <c r="H72" s="65">
        <v>128</v>
      </c>
      <c r="I72" s="65">
        <v>1288</v>
      </c>
      <c r="J72" s="65">
        <v>10479</v>
      </c>
      <c r="K72" s="65">
        <v>1580</v>
      </c>
      <c r="L72" s="65">
        <f t="shared" ref="L72:L82" si="7">SUM(H72:K72)</f>
        <v>13475</v>
      </c>
    </row>
    <row r="73" spans="1:12" ht="15" customHeight="1" x14ac:dyDescent="0.3">
      <c r="A73" s="64" t="s">
        <v>37</v>
      </c>
      <c r="B73" s="65">
        <v>2</v>
      </c>
      <c r="C73" s="65">
        <v>0</v>
      </c>
      <c r="D73" s="65">
        <v>166</v>
      </c>
      <c r="E73" s="65">
        <v>0</v>
      </c>
      <c r="F73" s="65">
        <f t="shared" si="6"/>
        <v>168</v>
      </c>
      <c r="G73" s="64" t="s">
        <v>37</v>
      </c>
      <c r="H73" s="65">
        <v>84</v>
      </c>
      <c r="I73" s="65">
        <v>758</v>
      </c>
      <c r="J73" s="65">
        <v>5421</v>
      </c>
      <c r="K73" s="65">
        <v>883</v>
      </c>
      <c r="L73" s="65">
        <f t="shared" si="7"/>
        <v>7146</v>
      </c>
    </row>
    <row r="74" spans="1:12" ht="15" customHeight="1" x14ac:dyDescent="0.3">
      <c r="A74" s="64" t="s">
        <v>38</v>
      </c>
      <c r="B74" s="65">
        <v>0</v>
      </c>
      <c r="C74" s="65">
        <v>0</v>
      </c>
      <c r="D74" s="65">
        <v>3</v>
      </c>
      <c r="E74" s="65">
        <v>0</v>
      </c>
      <c r="F74" s="65">
        <f t="shared" si="6"/>
        <v>3</v>
      </c>
      <c r="G74" s="64" t="s">
        <v>38</v>
      </c>
      <c r="H74" s="65">
        <v>38</v>
      </c>
      <c r="I74" s="65">
        <v>63</v>
      </c>
      <c r="J74" s="65">
        <v>320</v>
      </c>
      <c r="K74" s="65">
        <v>97</v>
      </c>
      <c r="L74" s="65">
        <f t="shared" si="7"/>
        <v>518</v>
      </c>
    </row>
    <row r="75" spans="1:12" ht="15" customHeight="1" x14ac:dyDescent="0.3">
      <c r="A75" s="64" t="s">
        <v>39</v>
      </c>
      <c r="B75" s="65">
        <v>0</v>
      </c>
      <c r="C75" s="65">
        <v>0</v>
      </c>
      <c r="D75" s="65">
        <v>0</v>
      </c>
      <c r="E75" s="65">
        <v>0</v>
      </c>
      <c r="F75" s="65">
        <f t="shared" si="6"/>
        <v>0</v>
      </c>
      <c r="G75" s="64" t="s">
        <v>39</v>
      </c>
      <c r="H75" s="65">
        <v>56</v>
      </c>
      <c r="I75" s="65">
        <v>249</v>
      </c>
      <c r="J75" s="65">
        <v>1326</v>
      </c>
      <c r="K75" s="65">
        <v>335</v>
      </c>
      <c r="L75" s="65">
        <f t="shared" si="7"/>
        <v>1966</v>
      </c>
    </row>
    <row r="76" spans="1:12" ht="15" customHeight="1" x14ac:dyDescent="0.3">
      <c r="A76" s="64" t="s">
        <v>40</v>
      </c>
      <c r="B76" s="65">
        <v>21</v>
      </c>
      <c r="C76" s="65">
        <v>0</v>
      </c>
      <c r="D76" s="65">
        <v>11</v>
      </c>
      <c r="E76" s="65">
        <v>0</v>
      </c>
      <c r="F76" s="65">
        <f t="shared" si="6"/>
        <v>32</v>
      </c>
      <c r="G76" s="64" t="s">
        <v>40</v>
      </c>
      <c r="H76" s="65">
        <v>137</v>
      </c>
      <c r="I76" s="65">
        <v>981</v>
      </c>
      <c r="J76" s="65">
        <v>4736</v>
      </c>
      <c r="K76" s="65">
        <v>1000</v>
      </c>
      <c r="L76" s="65">
        <f t="shared" si="7"/>
        <v>6854</v>
      </c>
    </row>
    <row r="77" spans="1:12" ht="15" customHeight="1" x14ac:dyDescent="0.3">
      <c r="A77" s="64" t="s">
        <v>41</v>
      </c>
      <c r="B77" s="65">
        <v>16119</v>
      </c>
      <c r="C77" s="65">
        <v>56131</v>
      </c>
      <c r="D77" s="65">
        <v>84194</v>
      </c>
      <c r="E77" s="65">
        <v>12531</v>
      </c>
      <c r="F77" s="65">
        <f t="shared" si="6"/>
        <v>168975</v>
      </c>
      <c r="G77" s="64" t="s">
        <v>41</v>
      </c>
      <c r="H77" s="65">
        <v>292</v>
      </c>
      <c r="I77" s="65">
        <v>2231</v>
      </c>
      <c r="J77" s="65">
        <v>9579</v>
      </c>
      <c r="K77" s="65">
        <v>2826</v>
      </c>
      <c r="L77" s="65">
        <f t="shared" si="7"/>
        <v>14928</v>
      </c>
    </row>
    <row r="78" spans="1:12" ht="15" customHeight="1" x14ac:dyDescent="0.3">
      <c r="A78" s="64" t="s">
        <v>42</v>
      </c>
      <c r="B78" s="65">
        <v>30739</v>
      </c>
      <c r="C78" s="65">
        <v>99308</v>
      </c>
      <c r="D78" s="65">
        <v>159842</v>
      </c>
      <c r="E78" s="65">
        <v>37079</v>
      </c>
      <c r="F78" s="65">
        <f t="shared" si="6"/>
        <v>326968</v>
      </c>
      <c r="G78" s="64" t="s">
        <v>42</v>
      </c>
      <c r="H78" s="65">
        <v>848</v>
      </c>
      <c r="I78" s="65">
        <v>2981</v>
      </c>
      <c r="J78" s="65">
        <v>10326</v>
      </c>
      <c r="K78" s="65">
        <v>3795</v>
      </c>
      <c r="L78" s="65">
        <f t="shared" si="7"/>
        <v>17950</v>
      </c>
    </row>
    <row r="79" spans="1:12" ht="15" customHeight="1" x14ac:dyDescent="0.3">
      <c r="A79" s="64" t="s">
        <v>43</v>
      </c>
      <c r="B79" s="65">
        <v>21393</v>
      </c>
      <c r="C79" s="65">
        <v>35532</v>
      </c>
      <c r="D79" s="65">
        <v>107410</v>
      </c>
      <c r="E79" s="65">
        <v>20895</v>
      </c>
      <c r="F79" s="65">
        <f t="shared" si="6"/>
        <v>185230</v>
      </c>
      <c r="G79" s="64" t="s">
        <v>43</v>
      </c>
      <c r="H79" s="65">
        <v>129</v>
      </c>
      <c r="I79" s="65">
        <v>2100</v>
      </c>
      <c r="J79" s="65">
        <v>6766</v>
      </c>
      <c r="K79" s="65">
        <v>1766</v>
      </c>
      <c r="L79" s="65">
        <f t="shared" si="7"/>
        <v>10761</v>
      </c>
    </row>
    <row r="80" spans="1:12" ht="15" customHeight="1" x14ac:dyDescent="0.3">
      <c r="A80" s="64" t="s">
        <v>44</v>
      </c>
      <c r="B80" s="65">
        <v>6296</v>
      </c>
      <c r="C80" s="65">
        <v>5726</v>
      </c>
      <c r="D80" s="65">
        <v>52541</v>
      </c>
      <c r="E80" s="65">
        <v>5300</v>
      </c>
      <c r="F80" s="65">
        <f t="shared" si="6"/>
        <v>69863</v>
      </c>
      <c r="G80" s="64" t="s">
        <v>44</v>
      </c>
      <c r="H80" s="65">
        <v>74</v>
      </c>
      <c r="I80" s="65">
        <v>903</v>
      </c>
      <c r="J80" s="65">
        <v>5481</v>
      </c>
      <c r="K80" s="65">
        <v>1209</v>
      </c>
      <c r="L80" s="65">
        <f t="shared" si="7"/>
        <v>7667</v>
      </c>
    </row>
    <row r="81" spans="1:12" ht="15" customHeight="1" x14ac:dyDescent="0.3">
      <c r="A81" s="64" t="s">
        <v>45</v>
      </c>
      <c r="B81" s="65">
        <v>0</v>
      </c>
      <c r="C81" s="65">
        <v>26</v>
      </c>
      <c r="D81" s="65">
        <v>294</v>
      </c>
      <c r="E81" s="65">
        <v>0</v>
      </c>
      <c r="F81" s="65">
        <f t="shared" si="6"/>
        <v>320</v>
      </c>
      <c r="G81" s="64" t="s">
        <v>45</v>
      </c>
      <c r="H81" s="65">
        <v>42</v>
      </c>
      <c r="I81" s="65">
        <v>292</v>
      </c>
      <c r="J81" s="65">
        <v>2133</v>
      </c>
      <c r="K81" s="65">
        <v>399</v>
      </c>
      <c r="L81" s="65">
        <f t="shared" si="7"/>
        <v>2866</v>
      </c>
    </row>
    <row r="82" spans="1:12" ht="15" customHeight="1" x14ac:dyDescent="0.3">
      <c r="A82" s="64" t="s">
        <v>46</v>
      </c>
      <c r="B82" s="65">
        <v>0</v>
      </c>
      <c r="C82" s="65">
        <v>0</v>
      </c>
      <c r="D82" s="65">
        <v>0</v>
      </c>
      <c r="E82" s="65">
        <v>0</v>
      </c>
      <c r="F82" s="65">
        <f t="shared" si="6"/>
        <v>0</v>
      </c>
      <c r="G82" s="64" t="s">
        <v>46</v>
      </c>
      <c r="H82" s="65">
        <v>60</v>
      </c>
      <c r="I82" s="65">
        <v>405</v>
      </c>
      <c r="J82" s="65">
        <v>2394</v>
      </c>
      <c r="K82" s="65">
        <v>441</v>
      </c>
      <c r="L82" s="65">
        <f t="shared" si="7"/>
        <v>3300</v>
      </c>
    </row>
    <row r="83" spans="1:12" ht="15" customHeight="1" x14ac:dyDescent="0.3">
      <c r="A83" s="105">
        <v>2019</v>
      </c>
      <c r="B83" s="104">
        <f>SUM(B84:B95)</f>
        <v>300698</v>
      </c>
      <c r="C83" s="104">
        <f t="shared" ref="C83:F83" si="8">SUM(C84:C95)</f>
        <v>856538</v>
      </c>
      <c r="D83" s="104">
        <f t="shared" si="8"/>
        <v>1457420</v>
      </c>
      <c r="E83" s="104">
        <f t="shared" si="8"/>
        <v>330329</v>
      </c>
      <c r="F83" s="104">
        <f t="shared" si="8"/>
        <v>2944985</v>
      </c>
      <c r="G83" s="105">
        <v>2019</v>
      </c>
      <c r="H83" s="104">
        <f>SUM(H84:H95)</f>
        <v>5167</v>
      </c>
      <c r="I83" s="104">
        <f t="shared" ref="I83:L83" si="9">SUM(I84:I95)</f>
        <v>45796</v>
      </c>
      <c r="J83" s="104">
        <f t="shared" si="9"/>
        <v>166553</v>
      </c>
      <c r="K83" s="104">
        <f t="shared" si="9"/>
        <v>46859</v>
      </c>
      <c r="L83" s="104">
        <f t="shared" si="9"/>
        <v>264375</v>
      </c>
    </row>
    <row r="84" spans="1:12" ht="15" customHeight="1" x14ac:dyDescent="0.3">
      <c r="A84" s="64" t="s">
        <v>35</v>
      </c>
      <c r="B84" s="65">
        <v>0</v>
      </c>
      <c r="C84" s="65">
        <v>0</v>
      </c>
      <c r="D84" s="65">
        <v>0</v>
      </c>
      <c r="E84" s="65">
        <v>0</v>
      </c>
      <c r="F84" s="65">
        <f>SUM(B84:E84)</f>
        <v>0</v>
      </c>
      <c r="G84" s="64" t="s">
        <v>35</v>
      </c>
      <c r="H84" s="65">
        <v>31</v>
      </c>
      <c r="I84" s="65">
        <v>1210</v>
      </c>
      <c r="J84" s="65">
        <v>10143</v>
      </c>
      <c r="K84" s="65">
        <v>1400</v>
      </c>
      <c r="L84" s="65">
        <f>SUM(H84:K84)</f>
        <v>12784</v>
      </c>
    </row>
    <row r="85" spans="1:12" ht="15" customHeight="1" x14ac:dyDescent="0.3">
      <c r="A85" s="64" t="s">
        <v>36</v>
      </c>
      <c r="B85" s="65">
        <v>0</v>
      </c>
      <c r="C85" s="65">
        <v>0</v>
      </c>
      <c r="D85" s="65">
        <v>0</v>
      </c>
      <c r="E85" s="65">
        <v>0</v>
      </c>
      <c r="F85" s="65">
        <f t="shared" ref="F85:F95" si="10">SUM(B85:E85)</f>
        <v>0</v>
      </c>
      <c r="G85" s="64" t="s">
        <v>36</v>
      </c>
      <c r="H85" s="65">
        <v>27</v>
      </c>
      <c r="I85" s="65">
        <v>1440</v>
      </c>
      <c r="J85" s="65">
        <v>9898</v>
      </c>
      <c r="K85" s="65">
        <v>1416</v>
      </c>
      <c r="L85" s="65">
        <f t="shared" ref="L85:L95" si="11">SUM(H85:K85)</f>
        <v>12781</v>
      </c>
    </row>
    <row r="86" spans="1:12" ht="15" customHeight="1" x14ac:dyDescent="0.3">
      <c r="A86" s="64" t="s">
        <v>37</v>
      </c>
      <c r="B86" s="65">
        <v>248</v>
      </c>
      <c r="C86" s="65">
        <v>150</v>
      </c>
      <c r="D86" s="65">
        <v>508</v>
      </c>
      <c r="E86" s="65">
        <v>0</v>
      </c>
      <c r="F86" s="65">
        <f t="shared" si="10"/>
        <v>906</v>
      </c>
      <c r="G86" s="64" t="s">
        <v>37</v>
      </c>
      <c r="H86" s="65">
        <v>82</v>
      </c>
      <c r="I86" s="65">
        <v>1591</v>
      </c>
      <c r="J86" s="65">
        <v>11652</v>
      </c>
      <c r="K86" s="65">
        <v>1661</v>
      </c>
      <c r="L86" s="65">
        <f t="shared" si="11"/>
        <v>14986</v>
      </c>
    </row>
    <row r="87" spans="1:12" ht="15" customHeight="1" x14ac:dyDescent="0.3">
      <c r="A87" s="64" t="s">
        <v>38</v>
      </c>
      <c r="B87" s="65">
        <v>4444</v>
      </c>
      <c r="C87" s="65">
        <v>10538</v>
      </c>
      <c r="D87" s="65">
        <v>62690</v>
      </c>
      <c r="E87" s="65">
        <v>7606</v>
      </c>
      <c r="F87" s="65">
        <f t="shared" si="10"/>
        <v>85278</v>
      </c>
      <c r="G87" s="64" t="s">
        <v>38</v>
      </c>
      <c r="H87" s="65">
        <v>102</v>
      </c>
      <c r="I87" s="65">
        <v>2823</v>
      </c>
      <c r="J87" s="65">
        <v>13335</v>
      </c>
      <c r="K87" s="65">
        <v>1961</v>
      </c>
      <c r="L87" s="65">
        <f t="shared" si="11"/>
        <v>18221</v>
      </c>
    </row>
    <row r="88" spans="1:12" ht="15" customHeight="1" x14ac:dyDescent="0.3">
      <c r="A88" s="64" t="s">
        <v>39</v>
      </c>
      <c r="B88" s="65">
        <v>31678</v>
      </c>
      <c r="C88" s="65">
        <v>106219</v>
      </c>
      <c r="D88" s="65">
        <v>176333</v>
      </c>
      <c r="E88" s="65">
        <v>41022</v>
      </c>
      <c r="F88" s="65">
        <f t="shared" si="10"/>
        <v>355252</v>
      </c>
      <c r="G88" s="64" t="s">
        <v>39</v>
      </c>
      <c r="H88" s="65">
        <v>187</v>
      </c>
      <c r="I88" s="65">
        <v>3686</v>
      </c>
      <c r="J88" s="65">
        <v>13507</v>
      </c>
      <c r="K88" s="65">
        <v>3002</v>
      </c>
      <c r="L88" s="65">
        <f t="shared" si="11"/>
        <v>20382</v>
      </c>
    </row>
    <row r="89" spans="1:12" ht="15" customHeight="1" x14ac:dyDescent="0.3">
      <c r="A89" s="64" t="s">
        <v>40</v>
      </c>
      <c r="B89" s="65">
        <v>58891</v>
      </c>
      <c r="C89" s="65">
        <v>161632</v>
      </c>
      <c r="D89" s="65">
        <v>263264</v>
      </c>
      <c r="E89" s="65">
        <v>62848</v>
      </c>
      <c r="F89" s="65">
        <f t="shared" si="10"/>
        <v>546635</v>
      </c>
      <c r="G89" s="64" t="s">
        <v>40</v>
      </c>
      <c r="H89" s="65">
        <v>563</v>
      </c>
      <c r="I89" s="65">
        <v>6284</v>
      </c>
      <c r="J89" s="65">
        <v>17394</v>
      </c>
      <c r="K89" s="65">
        <v>6103</v>
      </c>
      <c r="L89" s="65">
        <f t="shared" si="11"/>
        <v>30344</v>
      </c>
    </row>
    <row r="90" spans="1:12" ht="15" customHeight="1" x14ac:dyDescent="0.3">
      <c r="A90" s="64" t="s">
        <v>41</v>
      </c>
      <c r="B90" s="65">
        <v>75183</v>
      </c>
      <c r="C90" s="65">
        <v>204052</v>
      </c>
      <c r="D90" s="65">
        <v>317577</v>
      </c>
      <c r="E90" s="65">
        <v>76809</v>
      </c>
      <c r="F90" s="65">
        <f t="shared" si="10"/>
        <v>673621</v>
      </c>
      <c r="G90" s="64" t="s">
        <v>41</v>
      </c>
      <c r="H90" s="65">
        <v>1394</v>
      </c>
      <c r="I90" s="65">
        <v>8203</v>
      </c>
      <c r="J90" s="65">
        <v>20212</v>
      </c>
      <c r="K90" s="65">
        <v>10225</v>
      </c>
      <c r="L90" s="65">
        <f t="shared" si="11"/>
        <v>40034</v>
      </c>
    </row>
    <row r="91" spans="1:12" ht="15" customHeight="1" x14ac:dyDescent="0.3">
      <c r="A91" s="64" t="s">
        <v>42</v>
      </c>
      <c r="B91" s="65">
        <v>65780</v>
      </c>
      <c r="C91" s="65">
        <v>200245</v>
      </c>
      <c r="D91" s="65">
        <v>309733</v>
      </c>
      <c r="E91" s="65">
        <v>77555</v>
      </c>
      <c r="F91" s="65">
        <f t="shared" si="10"/>
        <v>653313</v>
      </c>
      <c r="G91" s="64" t="s">
        <v>42</v>
      </c>
      <c r="H91" s="65">
        <v>1720</v>
      </c>
      <c r="I91" s="65">
        <v>8485</v>
      </c>
      <c r="J91" s="65">
        <v>20112</v>
      </c>
      <c r="K91" s="65">
        <v>10001</v>
      </c>
      <c r="L91" s="65">
        <f t="shared" si="11"/>
        <v>40318</v>
      </c>
    </row>
    <row r="92" spans="1:12" ht="15" customHeight="1" x14ac:dyDescent="0.3">
      <c r="A92" s="64" t="s">
        <v>43</v>
      </c>
      <c r="B92" s="65">
        <v>53100</v>
      </c>
      <c r="C92" s="65">
        <v>146825</v>
      </c>
      <c r="D92" s="65">
        <v>237129</v>
      </c>
      <c r="E92" s="65">
        <v>53098</v>
      </c>
      <c r="F92" s="65">
        <f t="shared" si="10"/>
        <v>490152</v>
      </c>
      <c r="G92" s="64" t="s">
        <v>43</v>
      </c>
      <c r="H92" s="65">
        <v>763</v>
      </c>
      <c r="I92" s="65">
        <v>5904</v>
      </c>
      <c r="J92" s="65">
        <v>16140</v>
      </c>
      <c r="K92" s="65">
        <v>5401</v>
      </c>
      <c r="L92" s="65">
        <f t="shared" si="11"/>
        <v>28208</v>
      </c>
    </row>
    <row r="93" spans="1:12" ht="15" customHeight="1" x14ac:dyDescent="0.3">
      <c r="A93" s="64" t="s">
        <v>44</v>
      </c>
      <c r="B93" s="65">
        <v>11348</v>
      </c>
      <c r="C93" s="65">
        <v>26877</v>
      </c>
      <c r="D93" s="65">
        <v>89576</v>
      </c>
      <c r="E93" s="65">
        <v>11391</v>
      </c>
      <c r="F93" s="65">
        <f t="shared" si="10"/>
        <v>139192</v>
      </c>
      <c r="G93" s="64" t="s">
        <v>44</v>
      </c>
      <c r="H93" s="65">
        <v>165</v>
      </c>
      <c r="I93" s="65">
        <v>3095</v>
      </c>
      <c r="J93" s="65">
        <v>12646</v>
      </c>
      <c r="K93" s="65">
        <v>2432</v>
      </c>
      <c r="L93" s="65">
        <f t="shared" si="11"/>
        <v>18338</v>
      </c>
    </row>
    <row r="94" spans="1:12" ht="15" customHeight="1" x14ac:dyDescent="0.3">
      <c r="A94" s="64" t="s">
        <v>45</v>
      </c>
      <c r="B94" s="65">
        <v>26</v>
      </c>
      <c r="C94" s="65">
        <v>0</v>
      </c>
      <c r="D94" s="65">
        <v>465</v>
      </c>
      <c r="E94" s="65">
        <v>0</v>
      </c>
      <c r="F94" s="65">
        <f t="shared" si="10"/>
        <v>491</v>
      </c>
      <c r="G94" s="64" t="s">
        <v>45</v>
      </c>
      <c r="H94" s="65">
        <v>27</v>
      </c>
      <c r="I94" s="65">
        <v>1493</v>
      </c>
      <c r="J94" s="65">
        <v>10683</v>
      </c>
      <c r="K94" s="65">
        <v>1699</v>
      </c>
      <c r="L94" s="65">
        <f t="shared" si="11"/>
        <v>13902</v>
      </c>
    </row>
    <row r="95" spans="1:12" ht="15" customHeight="1" x14ac:dyDescent="0.3">
      <c r="A95" s="64" t="s">
        <v>46</v>
      </c>
      <c r="B95" s="65">
        <v>0</v>
      </c>
      <c r="C95" s="65">
        <v>0</v>
      </c>
      <c r="D95" s="65">
        <v>145</v>
      </c>
      <c r="E95" s="65">
        <v>0</v>
      </c>
      <c r="F95" s="65">
        <f t="shared" si="10"/>
        <v>145</v>
      </c>
      <c r="G95" s="64" t="s">
        <v>46</v>
      </c>
      <c r="H95" s="65">
        <v>106</v>
      </c>
      <c r="I95" s="65">
        <v>1582</v>
      </c>
      <c r="J95" s="65">
        <v>10831</v>
      </c>
      <c r="K95" s="65">
        <v>1558</v>
      </c>
      <c r="L95" s="65">
        <f t="shared" si="11"/>
        <v>14077</v>
      </c>
    </row>
    <row r="96" spans="1:12" ht="15" customHeight="1" x14ac:dyDescent="0.3">
      <c r="A96" s="105">
        <v>2018</v>
      </c>
      <c r="B96" s="104">
        <f>SUM(B97:B108)</f>
        <v>280580</v>
      </c>
      <c r="C96" s="104">
        <f t="shared" ref="C96:F96" si="12">SUM(C97:C108)</f>
        <v>847623</v>
      </c>
      <c r="D96" s="104">
        <f t="shared" si="12"/>
        <v>1502305</v>
      </c>
      <c r="E96" s="104">
        <f t="shared" si="12"/>
        <v>325772</v>
      </c>
      <c r="F96" s="104">
        <f t="shared" si="12"/>
        <v>2956280</v>
      </c>
      <c r="G96" s="105">
        <v>2018</v>
      </c>
      <c r="H96" s="104">
        <f>SUM(H97:H108)</f>
        <v>4718</v>
      </c>
      <c r="I96" s="104">
        <f t="shared" ref="I96:L96" si="13">SUM(I97:I108)</f>
        <v>42653</v>
      </c>
      <c r="J96" s="104">
        <f t="shared" si="13"/>
        <v>165039</v>
      </c>
      <c r="K96" s="104">
        <f t="shared" si="13"/>
        <v>44807</v>
      </c>
      <c r="L96" s="104">
        <f t="shared" si="13"/>
        <v>257217</v>
      </c>
    </row>
    <row r="97" spans="1:12" ht="15" customHeight="1" x14ac:dyDescent="0.3">
      <c r="A97" s="64" t="s">
        <v>35</v>
      </c>
      <c r="B97" s="65">
        <v>0</v>
      </c>
      <c r="C97" s="65">
        <v>0</v>
      </c>
      <c r="D97" s="65">
        <v>0</v>
      </c>
      <c r="E97" s="65">
        <v>0</v>
      </c>
      <c r="F97" s="65">
        <f>SUM(B97:E97)</f>
        <v>0</v>
      </c>
      <c r="G97" s="64" t="s">
        <v>35</v>
      </c>
      <c r="H97" s="65">
        <v>62</v>
      </c>
      <c r="I97" s="65">
        <v>1274</v>
      </c>
      <c r="J97" s="65">
        <v>9613</v>
      </c>
      <c r="K97" s="65">
        <v>872</v>
      </c>
      <c r="L97" s="65">
        <f>SUM(H97:K97)</f>
        <v>11821</v>
      </c>
    </row>
    <row r="98" spans="1:12" ht="15" customHeight="1" x14ac:dyDescent="0.3">
      <c r="A98" s="64" t="s">
        <v>36</v>
      </c>
      <c r="B98" s="65">
        <v>0</v>
      </c>
      <c r="C98" s="65">
        <v>0</v>
      </c>
      <c r="D98" s="65">
        <v>0</v>
      </c>
      <c r="E98" s="65">
        <v>0</v>
      </c>
      <c r="F98" s="65">
        <f t="shared" ref="F98:F108" si="14">SUM(B98:E98)</f>
        <v>0</v>
      </c>
      <c r="G98" s="64" t="s">
        <v>36</v>
      </c>
      <c r="H98" s="65">
        <v>23</v>
      </c>
      <c r="I98" s="65">
        <v>1274</v>
      </c>
      <c r="J98" s="65">
        <v>9008</v>
      </c>
      <c r="K98" s="65">
        <v>941</v>
      </c>
      <c r="L98" s="65">
        <f t="shared" ref="L98:L108" si="15">SUM(H98:K98)</f>
        <v>11246</v>
      </c>
    </row>
    <row r="99" spans="1:12" ht="15" customHeight="1" x14ac:dyDescent="0.3">
      <c r="A99" s="64" t="s">
        <v>37</v>
      </c>
      <c r="B99" s="65">
        <v>182</v>
      </c>
      <c r="C99" s="65">
        <v>328</v>
      </c>
      <c r="D99" s="65">
        <v>8985</v>
      </c>
      <c r="E99" s="65">
        <v>1480</v>
      </c>
      <c r="F99" s="65">
        <f t="shared" si="14"/>
        <v>10975</v>
      </c>
      <c r="G99" s="64" t="s">
        <v>37</v>
      </c>
      <c r="H99" s="65">
        <v>67</v>
      </c>
      <c r="I99" s="65">
        <v>1677</v>
      </c>
      <c r="J99" s="65">
        <v>10437</v>
      </c>
      <c r="K99" s="65">
        <v>1285</v>
      </c>
      <c r="L99" s="65">
        <f t="shared" si="15"/>
        <v>13466</v>
      </c>
    </row>
    <row r="100" spans="1:12" ht="15" customHeight="1" x14ac:dyDescent="0.3">
      <c r="A100" s="64" t="s">
        <v>38</v>
      </c>
      <c r="B100" s="65">
        <v>2636</v>
      </c>
      <c r="C100" s="65">
        <v>8478</v>
      </c>
      <c r="D100" s="65">
        <v>49598</v>
      </c>
      <c r="E100" s="65">
        <v>7385</v>
      </c>
      <c r="F100" s="65">
        <f t="shared" si="14"/>
        <v>68097</v>
      </c>
      <c r="G100" s="64" t="s">
        <v>38</v>
      </c>
      <c r="H100" s="65">
        <v>134</v>
      </c>
      <c r="I100" s="65">
        <v>2561</v>
      </c>
      <c r="J100" s="65">
        <v>12264</v>
      </c>
      <c r="K100" s="65">
        <v>1846</v>
      </c>
      <c r="L100" s="65">
        <f t="shared" si="15"/>
        <v>16805</v>
      </c>
    </row>
    <row r="101" spans="1:12" ht="15" customHeight="1" x14ac:dyDescent="0.3">
      <c r="A101" s="64" t="s">
        <v>39</v>
      </c>
      <c r="B101" s="65">
        <v>30760</v>
      </c>
      <c r="C101" s="65">
        <v>105043</v>
      </c>
      <c r="D101" s="65">
        <v>182569</v>
      </c>
      <c r="E101" s="65">
        <v>41878</v>
      </c>
      <c r="F101" s="65">
        <f t="shared" si="14"/>
        <v>360250</v>
      </c>
      <c r="G101" s="64" t="s">
        <v>39</v>
      </c>
      <c r="H101" s="65">
        <v>113</v>
      </c>
      <c r="I101" s="65">
        <v>4196</v>
      </c>
      <c r="J101" s="65">
        <v>14225</v>
      </c>
      <c r="K101" s="65">
        <v>3560</v>
      </c>
      <c r="L101" s="65">
        <f t="shared" si="15"/>
        <v>22094</v>
      </c>
    </row>
    <row r="102" spans="1:12" ht="15" customHeight="1" x14ac:dyDescent="0.3">
      <c r="A102" s="64" t="s">
        <v>40</v>
      </c>
      <c r="B102" s="65">
        <v>51928</v>
      </c>
      <c r="C102" s="65">
        <v>160291</v>
      </c>
      <c r="D102" s="65">
        <v>276908</v>
      </c>
      <c r="E102" s="65">
        <v>62406</v>
      </c>
      <c r="F102" s="65">
        <f t="shared" si="14"/>
        <v>551533</v>
      </c>
      <c r="G102" s="64" t="s">
        <v>40</v>
      </c>
      <c r="H102" s="65">
        <v>606</v>
      </c>
      <c r="I102" s="65">
        <v>5449</v>
      </c>
      <c r="J102" s="65">
        <v>15851</v>
      </c>
      <c r="K102" s="65">
        <v>5476</v>
      </c>
      <c r="L102" s="65">
        <f t="shared" si="15"/>
        <v>27382</v>
      </c>
    </row>
    <row r="103" spans="1:12" ht="15" customHeight="1" x14ac:dyDescent="0.3">
      <c r="A103" s="64" t="s">
        <v>41</v>
      </c>
      <c r="B103" s="65">
        <v>71302</v>
      </c>
      <c r="C103" s="65">
        <v>199033</v>
      </c>
      <c r="D103" s="65">
        <v>330765</v>
      </c>
      <c r="E103" s="65">
        <v>73549</v>
      </c>
      <c r="F103" s="65">
        <f t="shared" si="14"/>
        <v>674649</v>
      </c>
      <c r="G103" s="64" t="s">
        <v>41</v>
      </c>
      <c r="H103" s="65">
        <v>1273</v>
      </c>
      <c r="I103" s="65">
        <v>7316</v>
      </c>
      <c r="J103" s="65">
        <v>21283</v>
      </c>
      <c r="K103" s="65">
        <v>10283</v>
      </c>
      <c r="L103" s="65">
        <f t="shared" si="15"/>
        <v>40155</v>
      </c>
    </row>
    <row r="104" spans="1:12" ht="15" customHeight="1" x14ac:dyDescent="0.3">
      <c r="A104" s="64" t="s">
        <v>42</v>
      </c>
      <c r="B104" s="65">
        <v>59606</v>
      </c>
      <c r="C104" s="65">
        <v>197552</v>
      </c>
      <c r="D104" s="65">
        <v>317449</v>
      </c>
      <c r="E104" s="65">
        <v>73582</v>
      </c>
      <c r="F104" s="65">
        <f t="shared" si="14"/>
        <v>648189</v>
      </c>
      <c r="G104" s="64" t="s">
        <v>42</v>
      </c>
      <c r="H104" s="65">
        <v>1419</v>
      </c>
      <c r="I104" s="65">
        <v>7702</v>
      </c>
      <c r="J104" s="65">
        <v>21849</v>
      </c>
      <c r="K104" s="65">
        <v>9750</v>
      </c>
      <c r="L104" s="65">
        <f t="shared" si="15"/>
        <v>40720</v>
      </c>
    </row>
    <row r="105" spans="1:12" ht="15" customHeight="1" x14ac:dyDescent="0.3">
      <c r="A105" s="64" t="s">
        <v>43</v>
      </c>
      <c r="B105" s="65">
        <v>51327</v>
      </c>
      <c r="C105" s="65">
        <v>144674</v>
      </c>
      <c r="D105" s="65">
        <v>248180</v>
      </c>
      <c r="E105" s="65">
        <v>54206</v>
      </c>
      <c r="F105" s="65">
        <f t="shared" si="14"/>
        <v>498387</v>
      </c>
      <c r="G105" s="64" t="s">
        <v>43</v>
      </c>
      <c r="H105" s="65">
        <v>776</v>
      </c>
      <c r="I105" s="65">
        <v>5381</v>
      </c>
      <c r="J105" s="65">
        <v>16315</v>
      </c>
      <c r="K105" s="65">
        <v>5244</v>
      </c>
      <c r="L105" s="65">
        <f t="shared" si="15"/>
        <v>27716</v>
      </c>
    </row>
    <row r="106" spans="1:12" ht="15" customHeight="1" x14ac:dyDescent="0.3">
      <c r="A106" s="64" t="s">
        <v>44</v>
      </c>
      <c r="B106" s="65">
        <v>12802</v>
      </c>
      <c r="C106" s="65">
        <v>32224</v>
      </c>
      <c r="D106" s="65">
        <v>87094</v>
      </c>
      <c r="E106" s="65">
        <v>11283</v>
      </c>
      <c r="F106" s="65">
        <f t="shared" si="14"/>
        <v>143403</v>
      </c>
      <c r="G106" s="64" t="s">
        <v>44</v>
      </c>
      <c r="H106" s="65">
        <v>147</v>
      </c>
      <c r="I106" s="65">
        <v>3534</v>
      </c>
      <c r="J106" s="65">
        <v>12720</v>
      </c>
      <c r="K106" s="65">
        <v>2526</v>
      </c>
      <c r="L106" s="65">
        <f t="shared" si="15"/>
        <v>18927</v>
      </c>
    </row>
    <row r="107" spans="1:12" ht="15" customHeight="1" x14ac:dyDescent="0.3">
      <c r="A107" s="64" t="s">
        <v>45</v>
      </c>
      <c r="B107" s="65">
        <v>37</v>
      </c>
      <c r="C107" s="65">
        <v>0</v>
      </c>
      <c r="D107" s="65">
        <v>590</v>
      </c>
      <c r="E107" s="65">
        <v>3</v>
      </c>
      <c r="F107" s="65">
        <f t="shared" si="14"/>
        <v>630</v>
      </c>
      <c r="G107" s="64" t="s">
        <v>45</v>
      </c>
      <c r="H107" s="65">
        <v>40</v>
      </c>
      <c r="I107" s="65">
        <v>1436</v>
      </c>
      <c r="J107" s="65">
        <v>10527</v>
      </c>
      <c r="K107" s="65">
        <v>1502</v>
      </c>
      <c r="L107" s="65">
        <f t="shared" si="15"/>
        <v>13505</v>
      </c>
    </row>
    <row r="108" spans="1:12" ht="15" customHeight="1" x14ac:dyDescent="0.3">
      <c r="A108" s="64" t="s">
        <v>46</v>
      </c>
      <c r="B108" s="65">
        <v>0</v>
      </c>
      <c r="C108" s="65">
        <v>0</v>
      </c>
      <c r="D108" s="65">
        <v>167</v>
      </c>
      <c r="E108" s="65">
        <v>0</v>
      </c>
      <c r="F108" s="65">
        <f t="shared" si="14"/>
        <v>167</v>
      </c>
      <c r="G108" s="64" t="s">
        <v>46</v>
      </c>
      <c r="H108" s="65">
        <v>58</v>
      </c>
      <c r="I108" s="65">
        <v>853</v>
      </c>
      <c r="J108" s="65">
        <v>10947</v>
      </c>
      <c r="K108" s="65">
        <v>1522</v>
      </c>
      <c r="L108" s="65">
        <f t="shared" si="15"/>
        <v>13380</v>
      </c>
    </row>
    <row r="109" spans="1:12" ht="15" customHeight="1" x14ac:dyDescent="0.3">
      <c r="A109" s="105">
        <v>2017</v>
      </c>
      <c r="B109" s="104">
        <f>SUM(B110:B121)</f>
        <v>270704</v>
      </c>
      <c r="C109" s="104">
        <f t="shared" ref="C109:F109" si="16">SUM(C110:C121)</f>
        <v>780903</v>
      </c>
      <c r="D109" s="104">
        <f t="shared" si="16"/>
        <v>1300027</v>
      </c>
      <c r="E109" s="104">
        <f t="shared" si="16"/>
        <v>266774</v>
      </c>
      <c r="F109" s="104">
        <f t="shared" si="16"/>
        <v>2618408</v>
      </c>
      <c r="G109" s="105">
        <v>2017</v>
      </c>
      <c r="H109" s="104">
        <f>SUM(H110:H121)</f>
        <v>6428</v>
      </c>
      <c r="I109" s="104">
        <f t="shared" ref="I109:L109" si="17">SUM(I110:I121)</f>
        <v>39862</v>
      </c>
      <c r="J109" s="104">
        <f t="shared" si="17"/>
        <v>141757</v>
      </c>
      <c r="K109" s="104">
        <f t="shared" si="17"/>
        <v>37964</v>
      </c>
      <c r="L109" s="104">
        <f t="shared" si="17"/>
        <v>226011</v>
      </c>
    </row>
    <row r="110" spans="1:12" s="20" customFormat="1" ht="15" customHeight="1" x14ac:dyDescent="0.3">
      <c r="A110" s="64" t="s">
        <v>35</v>
      </c>
      <c r="B110" s="65">
        <v>0</v>
      </c>
      <c r="C110" s="65">
        <v>0</v>
      </c>
      <c r="D110" s="65">
        <v>0</v>
      </c>
      <c r="E110" s="65">
        <v>0</v>
      </c>
      <c r="F110" s="65">
        <f>SUM(B110:E110)</f>
        <v>0</v>
      </c>
      <c r="G110" s="64" t="s">
        <v>35</v>
      </c>
      <c r="H110" s="65">
        <v>154</v>
      </c>
      <c r="I110" s="65">
        <v>1358</v>
      </c>
      <c r="J110" s="65">
        <v>7361</v>
      </c>
      <c r="K110" s="65">
        <v>808</v>
      </c>
      <c r="L110" s="65">
        <f>SUM(H110:K110)</f>
        <v>9681</v>
      </c>
    </row>
    <row r="111" spans="1:12" s="20" customFormat="1" ht="15" customHeight="1" x14ac:dyDescent="0.3">
      <c r="A111" s="64" t="s">
        <v>36</v>
      </c>
      <c r="B111" s="65">
        <v>0</v>
      </c>
      <c r="C111" s="65">
        <v>0</v>
      </c>
      <c r="D111" s="65">
        <v>2</v>
      </c>
      <c r="E111" s="65">
        <v>0</v>
      </c>
      <c r="F111" s="65">
        <f t="shared" ref="F111:F121" si="18">SUM(B111:E111)</f>
        <v>2</v>
      </c>
      <c r="G111" s="64" t="s">
        <v>36</v>
      </c>
      <c r="H111" s="65">
        <v>39</v>
      </c>
      <c r="I111" s="65">
        <v>1310</v>
      </c>
      <c r="J111" s="65">
        <v>6923</v>
      </c>
      <c r="K111" s="65">
        <v>842</v>
      </c>
      <c r="L111" s="65">
        <f t="shared" ref="L111:L121" si="19">SUM(H111:K111)</f>
        <v>9114</v>
      </c>
    </row>
    <row r="112" spans="1:12" s="20" customFormat="1" ht="15" customHeight="1" x14ac:dyDescent="0.3">
      <c r="A112" s="64" t="s">
        <v>37</v>
      </c>
      <c r="B112" s="65">
        <v>0</v>
      </c>
      <c r="C112" s="65">
        <v>318</v>
      </c>
      <c r="D112" s="65">
        <v>3156</v>
      </c>
      <c r="E112" s="65">
        <v>170</v>
      </c>
      <c r="F112" s="65">
        <f t="shared" si="18"/>
        <v>3644</v>
      </c>
      <c r="G112" s="64" t="s">
        <v>37</v>
      </c>
      <c r="H112" s="65">
        <v>43</v>
      </c>
      <c r="I112" s="65">
        <v>1379</v>
      </c>
      <c r="J112" s="65">
        <v>8773</v>
      </c>
      <c r="K112" s="65">
        <v>1007</v>
      </c>
      <c r="L112" s="65">
        <f t="shared" si="19"/>
        <v>11202</v>
      </c>
    </row>
    <row r="113" spans="1:12" s="20" customFormat="1" ht="15" customHeight="1" x14ac:dyDescent="0.3">
      <c r="A113" s="64" t="s">
        <v>38</v>
      </c>
      <c r="B113" s="65">
        <v>2616</v>
      </c>
      <c r="C113" s="65">
        <v>7903</v>
      </c>
      <c r="D113" s="65">
        <v>34767</v>
      </c>
      <c r="E113" s="65">
        <v>3659</v>
      </c>
      <c r="F113" s="65">
        <f t="shared" si="18"/>
        <v>48945</v>
      </c>
      <c r="G113" s="64" t="s">
        <v>38</v>
      </c>
      <c r="H113" s="65">
        <v>177</v>
      </c>
      <c r="I113" s="65">
        <v>2431</v>
      </c>
      <c r="J113" s="65">
        <v>11469</v>
      </c>
      <c r="K113" s="65">
        <v>1750</v>
      </c>
      <c r="L113" s="65">
        <f t="shared" si="19"/>
        <v>15827</v>
      </c>
    </row>
    <row r="114" spans="1:12" s="20" customFormat="1" ht="15" customHeight="1" x14ac:dyDescent="0.3">
      <c r="A114" s="64" t="s">
        <v>39</v>
      </c>
      <c r="B114" s="65">
        <v>29211</v>
      </c>
      <c r="C114" s="65">
        <v>86603</v>
      </c>
      <c r="D114" s="65">
        <v>147104</v>
      </c>
      <c r="E114" s="65">
        <v>31308</v>
      </c>
      <c r="F114" s="65">
        <f t="shared" si="18"/>
        <v>294226</v>
      </c>
      <c r="G114" s="64" t="s">
        <v>39</v>
      </c>
      <c r="H114" s="65">
        <v>95</v>
      </c>
      <c r="I114" s="65">
        <v>3737</v>
      </c>
      <c r="J114" s="65">
        <v>12987</v>
      </c>
      <c r="K114" s="65">
        <v>2797</v>
      </c>
      <c r="L114" s="65">
        <f t="shared" si="19"/>
        <v>19616</v>
      </c>
    </row>
    <row r="115" spans="1:12" s="20" customFormat="1" ht="15" customHeight="1" x14ac:dyDescent="0.3">
      <c r="A115" s="64" t="s">
        <v>40</v>
      </c>
      <c r="B115" s="65">
        <v>49373</v>
      </c>
      <c r="C115" s="65">
        <v>147555</v>
      </c>
      <c r="D115" s="65">
        <v>233232</v>
      </c>
      <c r="E115" s="65">
        <v>49889</v>
      </c>
      <c r="F115" s="65">
        <f t="shared" si="18"/>
        <v>480049</v>
      </c>
      <c r="G115" s="64" t="s">
        <v>40</v>
      </c>
      <c r="H115" s="65">
        <v>1080</v>
      </c>
      <c r="I115" s="65">
        <v>5405</v>
      </c>
      <c r="J115" s="65">
        <v>14696</v>
      </c>
      <c r="K115" s="65">
        <v>4985</v>
      </c>
      <c r="L115" s="65">
        <f t="shared" si="19"/>
        <v>26166</v>
      </c>
    </row>
    <row r="116" spans="1:12" s="20" customFormat="1" ht="15" customHeight="1" x14ac:dyDescent="0.3">
      <c r="A116" s="64" t="s">
        <v>41</v>
      </c>
      <c r="B116" s="65">
        <v>68653</v>
      </c>
      <c r="C116" s="65">
        <v>183282</v>
      </c>
      <c r="D116" s="65">
        <v>298691</v>
      </c>
      <c r="E116" s="65">
        <v>62132</v>
      </c>
      <c r="F116" s="65">
        <f t="shared" si="18"/>
        <v>612758</v>
      </c>
      <c r="G116" s="64" t="s">
        <v>41</v>
      </c>
      <c r="H116" s="65">
        <v>1710</v>
      </c>
      <c r="I116" s="65">
        <v>6781</v>
      </c>
      <c r="J116" s="65">
        <v>18059</v>
      </c>
      <c r="K116" s="65">
        <v>8827</v>
      </c>
      <c r="L116" s="65">
        <f t="shared" si="19"/>
        <v>35377</v>
      </c>
    </row>
    <row r="117" spans="1:12" s="20" customFormat="1" ht="15" customHeight="1" x14ac:dyDescent="0.3">
      <c r="A117" s="64" t="s">
        <v>42</v>
      </c>
      <c r="B117" s="65">
        <v>59298</v>
      </c>
      <c r="C117" s="65">
        <v>188245</v>
      </c>
      <c r="D117" s="65">
        <v>284603</v>
      </c>
      <c r="E117" s="65">
        <v>66380</v>
      </c>
      <c r="F117" s="65">
        <f t="shared" si="18"/>
        <v>598526</v>
      </c>
      <c r="G117" s="64" t="s">
        <v>42</v>
      </c>
      <c r="H117" s="65">
        <v>1699</v>
      </c>
      <c r="I117" s="65">
        <v>7093</v>
      </c>
      <c r="J117" s="65">
        <v>17550</v>
      </c>
      <c r="K117" s="65">
        <v>8781</v>
      </c>
      <c r="L117" s="65">
        <f t="shared" si="19"/>
        <v>35123</v>
      </c>
    </row>
    <row r="118" spans="1:12" s="20" customFormat="1" ht="15" customHeight="1" x14ac:dyDescent="0.3">
      <c r="A118" s="64" t="s">
        <v>43</v>
      </c>
      <c r="B118" s="65">
        <v>48068</v>
      </c>
      <c r="C118" s="65">
        <v>137154</v>
      </c>
      <c r="D118" s="65">
        <v>220053</v>
      </c>
      <c r="E118" s="65">
        <v>44671</v>
      </c>
      <c r="F118" s="65">
        <f t="shared" si="18"/>
        <v>449946</v>
      </c>
      <c r="G118" s="64" t="s">
        <v>43</v>
      </c>
      <c r="H118" s="65">
        <v>1057</v>
      </c>
      <c r="I118" s="65">
        <v>4984</v>
      </c>
      <c r="J118" s="65">
        <v>13817</v>
      </c>
      <c r="K118" s="65">
        <v>4278</v>
      </c>
      <c r="L118" s="65">
        <f t="shared" si="19"/>
        <v>24136</v>
      </c>
    </row>
    <row r="119" spans="1:12" s="20" customFormat="1" ht="15" customHeight="1" x14ac:dyDescent="0.3">
      <c r="A119" s="64" t="s">
        <v>44</v>
      </c>
      <c r="B119" s="65">
        <v>13485</v>
      </c>
      <c r="C119" s="65">
        <v>29780</v>
      </c>
      <c r="D119" s="65">
        <v>77446</v>
      </c>
      <c r="E119" s="65">
        <v>8471</v>
      </c>
      <c r="F119" s="65">
        <f t="shared" si="18"/>
        <v>129182</v>
      </c>
      <c r="G119" s="64" t="s">
        <v>44</v>
      </c>
      <c r="H119" s="65">
        <v>252</v>
      </c>
      <c r="I119" s="65">
        <v>2935</v>
      </c>
      <c r="J119" s="65">
        <v>10010</v>
      </c>
      <c r="K119" s="65">
        <v>1880</v>
      </c>
      <c r="L119" s="65">
        <f t="shared" si="19"/>
        <v>15077</v>
      </c>
    </row>
    <row r="120" spans="1:12" s="20" customFormat="1" ht="15" customHeight="1" x14ac:dyDescent="0.3">
      <c r="A120" s="64" t="s">
        <v>45</v>
      </c>
      <c r="B120" s="65">
        <v>0</v>
      </c>
      <c r="C120" s="65">
        <v>63</v>
      </c>
      <c r="D120" s="65">
        <v>809</v>
      </c>
      <c r="E120" s="65">
        <v>94</v>
      </c>
      <c r="F120" s="65">
        <f t="shared" si="18"/>
        <v>966</v>
      </c>
      <c r="G120" s="64" t="s">
        <v>45</v>
      </c>
      <c r="H120" s="65">
        <v>58</v>
      </c>
      <c r="I120" s="65">
        <v>1237</v>
      </c>
      <c r="J120" s="65">
        <v>10149</v>
      </c>
      <c r="K120" s="65">
        <v>973</v>
      </c>
      <c r="L120" s="65">
        <f t="shared" si="19"/>
        <v>12417</v>
      </c>
    </row>
    <row r="121" spans="1:12" s="20" customFormat="1" ht="15" customHeight="1" x14ac:dyDescent="0.3">
      <c r="A121" s="64" t="s">
        <v>46</v>
      </c>
      <c r="B121" s="65">
        <v>0</v>
      </c>
      <c r="C121" s="65">
        <v>0</v>
      </c>
      <c r="D121" s="65">
        <v>164</v>
      </c>
      <c r="E121" s="65">
        <v>0</v>
      </c>
      <c r="F121" s="65">
        <f t="shared" si="18"/>
        <v>164</v>
      </c>
      <c r="G121" s="64" t="s">
        <v>46</v>
      </c>
      <c r="H121" s="65">
        <v>64</v>
      </c>
      <c r="I121" s="65">
        <v>1212</v>
      </c>
      <c r="J121" s="65">
        <v>9963</v>
      </c>
      <c r="K121" s="65">
        <v>1036</v>
      </c>
      <c r="L121" s="65">
        <f t="shared" si="19"/>
        <v>12275</v>
      </c>
    </row>
    <row r="122" spans="1:12" ht="15" customHeight="1" x14ac:dyDescent="0.3">
      <c r="A122" s="105">
        <v>2016</v>
      </c>
      <c r="B122" s="104">
        <f>SUM(B123:B134)</f>
        <v>226308</v>
      </c>
      <c r="C122" s="104">
        <f t="shared" ref="C122:F122" si="20">SUM(C123:C134)</f>
        <v>672350</v>
      </c>
      <c r="D122" s="104">
        <f t="shared" si="20"/>
        <v>1233010</v>
      </c>
      <c r="E122" s="104">
        <f t="shared" si="20"/>
        <v>234131</v>
      </c>
      <c r="F122" s="104">
        <f t="shared" si="20"/>
        <v>2365799</v>
      </c>
      <c r="G122" s="105">
        <v>2016</v>
      </c>
      <c r="H122" s="104">
        <f>SUM(H123:H134)</f>
        <v>9440</v>
      </c>
      <c r="I122" s="104">
        <f t="shared" ref="I122:K122" si="21">SUM(I123:I134)</f>
        <v>32570</v>
      </c>
      <c r="J122" s="104">
        <f t="shared" si="21"/>
        <v>146086</v>
      </c>
      <c r="K122" s="104">
        <f t="shared" si="21"/>
        <v>33369</v>
      </c>
      <c r="L122" s="104">
        <f>SUM(L123:L134)</f>
        <v>221465</v>
      </c>
    </row>
    <row r="123" spans="1:12" s="20" customFormat="1" ht="15" customHeight="1" x14ac:dyDescent="0.3">
      <c r="A123" s="64" t="s">
        <v>35</v>
      </c>
      <c r="B123" s="65">
        <v>2</v>
      </c>
      <c r="C123" s="65">
        <v>0</v>
      </c>
      <c r="D123" s="65">
        <v>0</v>
      </c>
      <c r="E123" s="65">
        <v>0</v>
      </c>
      <c r="F123" s="65">
        <f>SUM(B123:E123)</f>
        <v>2</v>
      </c>
      <c r="G123" s="64" t="s">
        <v>35</v>
      </c>
      <c r="H123" s="65">
        <v>97</v>
      </c>
      <c r="I123" s="65">
        <v>724</v>
      </c>
      <c r="J123" s="65">
        <v>7021</v>
      </c>
      <c r="K123" s="65">
        <v>988</v>
      </c>
      <c r="L123" s="65">
        <f>SUM(H123:K123)</f>
        <v>8830</v>
      </c>
    </row>
    <row r="124" spans="1:12" s="20" customFormat="1" ht="15" customHeight="1" x14ac:dyDescent="0.3">
      <c r="A124" s="64" t="s">
        <v>36</v>
      </c>
      <c r="B124" s="65">
        <v>0</v>
      </c>
      <c r="C124" s="65">
        <v>0</v>
      </c>
      <c r="D124" s="65">
        <v>0</v>
      </c>
      <c r="E124" s="65">
        <v>5</v>
      </c>
      <c r="F124" s="65">
        <f t="shared" ref="F124:F134" si="22">SUM(B124:E124)</f>
        <v>5</v>
      </c>
      <c r="G124" s="64" t="s">
        <v>36</v>
      </c>
      <c r="H124" s="65">
        <v>59</v>
      </c>
      <c r="I124" s="65">
        <v>921</v>
      </c>
      <c r="J124" s="65">
        <v>7361</v>
      </c>
      <c r="K124" s="65">
        <v>1074</v>
      </c>
      <c r="L124" s="65">
        <f t="shared" ref="L124:L134" si="23">SUM(H124:K124)</f>
        <v>9415</v>
      </c>
    </row>
    <row r="125" spans="1:12" s="20" customFormat="1" ht="15" customHeight="1" x14ac:dyDescent="0.3">
      <c r="A125" s="64" t="s">
        <v>37</v>
      </c>
      <c r="B125" s="65">
        <v>2</v>
      </c>
      <c r="C125" s="65">
        <v>349</v>
      </c>
      <c r="D125" s="65">
        <v>1412</v>
      </c>
      <c r="E125" s="65">
        <v>160</v>
      </c>
      <c r="F125" s="65">
        <f t="shared" si="22"/>
        <v>1923</v>
      </c>
      <c r="G125" s="64" t="s">
        <v>37</v>
      </c>
      <c r="H125" s="65">
        <v>131</v>
      </c>
      <c r="I125" s="65">
        <v>862</v>
      </c>
      <c r="J125" s="65">
        <v>8252</v>
      </c>
      <c r="K125" s="65">
        <v>1122</v>
      </c>
      <c r="L125" s="65">
        <f t="shared" si="23"/>
        <v>10367</v>
      </c>
    </row>
    <row r="126" spans="1:12" s="20" customFormat="1" ht="15" customHeight="1" x14ac:dyDescent="0.3">
      <c r="A126" s="64" t="s">
        <v>38</v>
      </c>
      <c r="B126" s="65">
        <v>1989</v>
      </c>
      <c r="C126" s="65">
        <v>5540</v>
      </c>
      <c r="D126" s="65">
        <v>28454</v>
      </c>
      <c r="E126" s="65">
        <v>2416</v>
      </c>
      <c r="F126" s="65">
        <f t="shared" si="22"/>
        <v>38399</v>
      </c>
      <c r="G126" s="64" t="s">
        <v>38</v>
      </c>
      <c r="H126" s="65">
        <v>278</v>
      </c>
      <c r="I126" s="65">
        <v>1456</v>
      </c>
      <c r="J126" s="65">
        <v>13066</v>
      </c>
      <c r="K126" s="65">
        <v>1890</v>
      </c>
      <c r="L126" s="65">
        <f t="shared" si="23"/>
        <v>16690</v>
      </c>
    </row>
    <row r="127" spans="1:12" s="20" customFormat="1" ht="15" customHeight="1" x14ac:dyDescent="0.3">
      <c r="A127" s="64" t="s">
        <v>39</v>
      </c>
      <c r="B127" s="65">
        <v>25440</v>
      </c>
      <c r="C127" s="65">
        <v>70218</v>
      </c>
      <c r="D127" s="65">
        <v>143206</v>
      </c>
      <c r="E127" s="65">
        <v>29314</v>
      </c>
      <c r="F127" s="65">
        <f t="shared" si="22"/>
        <v>268178</v>
      </c>
      <c r="G127" s="64" t="s">
        <v>39</v>
      </c>
      <c r="H127" s="65">
        <v>752</v>
      </c>
      <c r="I127" s="65">
        <v>2826</v>
      </c>
      <c r="J127" s="65">
        <v>12843</v>
      </c>
      <c r="K127" s="65">
        <v>2517</v>
      </c>
      <c r="L127" s="65">
        <f t="shared" si="23"/>
        <v>18938</v>
      </c>
    </row>
    <row r="128" spans="1:12" s="20" customFormat="1" ht="15" customHeight="1" x14ac:dyDescent="0.3">
      <c r="A128" s="64" t="s">
        <v>40</v>
      </c>
      <c r="B128" s="65">
        <v>40097</v>
      </c>
      <c r="C128" s="65">
        <v>122779</v>
      </c>
      <c r="D128" s="65">
        <v>216115</v>
      </c>
      <c r="E128" s="65">
        <v>45153</v>
      </c>
      <c r="F128" s="65">
        <f t="shared" si="22"/>
        <v>424144</v>
      </c>
      <c r="G128" s="64" t="s">
        <v>40</v>
      </c>
      <c r="H128" s="65">
        <v>1188</v>
      </c>
      <c r="I128" s="65">
        <v>3917</v>
      </c>
      <c r="J128" s="65">
        <v>16572</v>
      </c>
      <c r="K128" s="65">
        <v>3893</v>
      </c>
      <c r="L128" s="65">
        <f t="shared" si="23"/>
        <v>25570</v>
      </c>
    </row>
    <row r="129" spans="1:12" s="20" customFormat="1" ht="15" customHeight="1" x14ac:dyDescent="0.3">
      <c r="A129" s="64" t="s">
        <v>41</v>
      </c>
      <c r="B129" s="65">
        <v>56366</v>
      </c>
      <c r="C129" s="65">
        <v>163887</v>
      </c>
      <c r="D129" s="65">
        <v>287663</v>
      </c>
      <c r="E129" s="65">
        <v>56831</v>
      </c>
      <c r="F129" s="65">
        <f t="shared" si="22"/>
        <v>564747</v>
      </c>
      <c r="G129" s="64" t="s">
        <v>41</v>
      </c>
      <c r="H129" s="65">
        <v>2381</v>
      </c>
      <c r="I129" s="65">
        <v>5974</v>
      </c>
      <c r="J129" s="65">
        <v>20563</v>
      </c>
      <c r="K129" s="65">
        <v>7076</v>
      </c>
      <c r="L129" s="65">
        <f t="shared" si="23"/>
        <v>35994</v>
      </c>
    </row>
    <row r="130" spans="1:12" s="20" customFormat="1" ht="15" customHeight="1" x14ac:dyDescent="0.3">
      <c r="A130" s="64" t="s">
        <v>42</v>
      </c>
      <c r="B130" s="65">
        <v>50086</v>
      </c>
      <c r="C130" s="65">
        <v>167944</v>
      </c>
      <c r="D130" s="65">
        <v>277887</v>
      </c>
      <c r="E130" s="65">
        <v>56536</v>
      </c>
      <c r="F130" s="65">
        <f t="shared" si="22"/>
        <v>552453</v>
      </c>
      <c r="G130" s="64" t="s">
        <v>42</v>
      </c>
      <c r="H130" s="65">
        <v>2182</v>
      </c>
      <c r="I130" s="65">
        <v>5695</v>
      </c>
      <c r="J130" s="65">
        <v>18608</v>
      </c>
      <c r="K130" s="65">
        <v>7192</v>
      </c>
      <c r="L130" s="65">
        <f t="shared" si="23"/>
        <v>33677</v>
      </c>
    </row>
    <row r="131" spans="1:12" s="20" customFormat="1" ht="15" customHeight="1" x14ac:dyDescent="0.3">
      <c r="A131" s="64" t="s">
        <v>43</v>
      </c>
      <c r="B131" s="65">
        <v>40609</v>
      </c>
      <c r="C131" s="65">
        <v>119965</v>
      </c>
      <c r="D131" s="65">
        <v>203439</v>
      </c>
      <c r="E131" s="65">
        <v>39586</v>
      </c>
      <c r="F131" s="65">
        <f t="shared" si="22"/>
        <v>403599</v>
      </c>
      <c r="G131" s="64" t="s">
        <v>43</v>
      </c>
      <c r="H131" s="65">
        <v>1609</v>
      </c>
      <c r="I131" s="65">
        <v>3929</v>
      </c>
      <c r="J131" s="65">
        <v>15045</v>
      </c>
      <c r="K131" s="65">
        <v>3788</v>
      </c>
      <c r="L131" s="65">
        <f t="shared" si="23"/>
        <v>24371</v>
      </c>
    </row>
    <row r="132" spans="1:12" s="20" customFormat="1" ht="15" customHeight="1" x14ac:dyDescent="0.3">
      <c r="A132" s="64" t="s">
        <v>44</v>
      </c>
      <c r="B132" s="65">
        <v>11717</v>
      </c>
      <c r="C132" s="65">
        <v>21668</v>
      </c>
      <c r="D132" s="65">
        <v>74044</v>
      </c>
      <c r="E132" s="65">
        <v>4125</v>
      </c>
      <c r="F132" s="65">
        <f t="shared" si="22"/>
        <v>111554</v>
      </c>
      <c r="G132" s="64" t="s">
        <v>44</v>
      </c>
      <c r="H132" s="65">
        <v>559</v>
      </c>
      <c r="I132" s="65">
        <v>2926</v>
      </c>
      <c r="J132" s="65">
        <v>10664</v>
      </c>
      <c r="K132" s="65">
        <v>1637</v>
      </c>
      <c r="L132" s="65">
        <f t="shared" si="23"/>
        <v>15786</v>
      </c>
    </row>
    <row r="133" spans="1:12" s="20" customFormat="1" ht="15" customHeight="1" x14ac:dyDescent="0.3">
      <c r="A133" s="64" t="s">
        <v>45</v>
      </c>
      <c r="B133" s="65">
        <v>0</v>
      </c>
      <c r="C133" s="65">
        <v>0</v>
      </c>
      <c r="D133" s="65">
        <v>761</v>
      </c>
      <c r="E133" s="65">
        <v>0</v>
      </c>
      <c r="F133" s="65">
        <f t="shared" si="22"/>
        <v>761</v>
      </c>
      <c r="G133" s="64" t="s">
        <v>45</v>
      </c>
      <c r="H133" s="65">
        <v>38</v>
      </c>
      <c r="I133" s="65">
        <v>1351</v>
      </c>
      <c r="J133" s="65">
        <v>7685</v>
      </c>
      <c r="K133" s="65">
        <v>1081</v>
      </c>
      <c r="L133" s="65">
        <f t="shared" si="23"/>
        <v>10155</v>
      </c>
    </row>
    <row r="134" spans="1:12" s="20" customFormat="1" ht="15" customHeight="1" x14ac:dyDescent="0.3">
      <c r="A134" s="64" t="s">
        <v>46</v>
      </c>
      <c r="B134" s="65">
        <v>0</v>
      </c>
      <c r="C134" s="65">
        <v>0</v>
      </c>
      <c r="D134" s="65">
        <v>29</v>
      </c>
      <c r="E134" s="65">
        <v>5</v>
      </c>
      <c r="F134" s="65">
        <f t="shared" si="22"/>
        <v>34</v>
      </c>
      <c r="G134" s="64" t="s">
        <v>46</v>
      </c>
      <c r="H134" s="65">
        <v>166</v>
      </c>
      <c r="I134" s="65">
        <v>1989</v>
      </c>
      <c r="J134" s="65">
        <v>8406</v>
      </c>
      <c r="K134" s="65">
        <v>1111</v>
      </c>
      <c r="L134" s="65">
        <f t="shared" si="23"/>
        <v>11672</v>
      </c>
    </row>
    <row r="135" spans="1:12" ht="15" customHeight="1" x14ac:dyDescent="0.3">
      <c r="A135" s="87">
        <v>2015</v>
      </c>
      <c r="B135" s="104">
        <f>SUM(B136:B147)</f>
        <v>190129</v>
      </c>
      <c r="C135" s="104">
        <f t="shared" ref="C135:F135" si="24">SUM(C136:C147)</f>
        <v>606272</v>
      </c>
      <c r="D135" s="104">
        <f t="shared" si="24"/>
        <v>1092658</v>
      </c>
      <c r="E135" s="104">
        <f t="shared" si="24"/>
        <v>217567</v>
      </c>
      <c r="F135" s="104">
        <f t="shared" si="24"/>
        <v>2106626</v>
      </c>
      <c r="G135" s="87">
        <v>2015</v>
      </c>
      <c r="H135" s="104">
        <f>SUM(H136:H147)</f>
        <v>4315</v>
      </c>
      <c r="I135" s="104">
        <f t="shared" ref="I135:L135" si="25">SUM(I136:I147)</f>
        <v>27294</v>
      </c>
      <c r="J135" s="104">
        <f t="shared" si="25"/>
        <v>123753</v>
      </c>
      <c r="K135" s="104">
        <f t="shared" si="25"/>
        <v>26728</v>
      </c>
      <c r="L135" s="104">
        <f t="shared" si="25"/>
        <v>182090</v>
      </c>
    </row>
    <row r="136" spans="1:12" ht="15" customHeight="1" x14ac:dyDescent="0.3">
      <c r="A136" s="64" t="s">
        <v>35</v>
      </c>
      <c r="B136" s="65">
        <v>0</v>
      </c>
      <c r="C136" s="65">
        <v>0</v>
      </c>
      <c r="D136" s="65">
        <v>7</v>
      </c>
      <c r="E136" s="65">
        <v>0</v>
      </c>
      <c r="F136" s="65">
        <f>SUM(B136:E136)</f>
        <v>7</v>
      </c>
      <c r="G136" s="64" t="s">
        <v>35</v>
      </c>
      <c r="H136" s="65">
        <v>78</v>
      </c>
      <c r="I136" s="65">
        <v>728</v>
      </c>
      <c r="J136" s="65">
        <v>7373</v>
      </c>
      <c r="K136" s="65">
        <v>1078</v>
      </c>
      <c r="L136" s="65">
        <f>SUM(H136:K136)</f>
        <v>9257</v>
      </c>
    </row>
    <row r="137" spans="1:12" ht="15" customHeight="1" x14ac:dyDescent="0.3">
      <c r="A137" s="64" t="s">
        <v>36</v>
      </c>
      <c r="B137" s="65">
        <v>3</v>
      </c>
      <c r="C137" s="65">
        <v>0</v>
      </c>
      <c r="D137" s="65">
        <v>0</v>
      </c>
      <c r="E137" s="65">
        <v>0</v>
      </c>
      <c r="F137" s="65">
        <f t="shared" ref="F137:F147" si="26">SUM(B137:E137)</f>
        <v>3</v>
      </c>
      <c r="G137" s="64" t="s">
        <v>36</v>
      </c>
      <c r="H137" s="65">
        <v>111</v>
      </c>
      <c r="I137" s="65">
        <v>635</v>
      </c>
      <c r="J137" s="65">
        <v>6609</v>
      </c>
      <c r="K137" s="65">
        <v>831</v>
      </c>
      <c r="L137" s="65">
        <f t="shared" ref="L137:L147" si="27">SUM(H137:K137)</f>
        <v>8186</v>
      </c>
    </row>
    <row r="138" spans="1:12" ht="15" customHeight="1" x14ac:dyDescent="0.3">
      <c r="A138" s="64" t="s">
        <v>37</v>
      </c>
      <c r="B138" s="65">
        <v>5</v>
      </c>
      <c r="C138" s="65">
        <v>173</v>
      </c>
      <c r="D138" s="65">
        <v>2161</v>
      </c>
      <c r="E138" s="65">
        <v>179</v>
      </c>
      <c r="F138" s="65">
        <f t="shared" si="26"/>
        <v>2518</v>
      </c>
      <c r="G138" s="64" t="s">
        <v>37</v>
      </c>
      <c r="H138" s="65">
        <v>70</v>
      </c>
      <c r="I138" s="65">
        <v>733</v>
      </c>
      <c r="J138" s="65">
        <v>7794</v>
      </c>
      <c r="K138" s="65">
        <v>1107</v>
      </c>
      <c r="L138" s="65">
        <f t="shared" si="27"/>
        <v>9704</v>
      </c>
    </row>
    <row r="139" spans="1:12" ht="15" customHeight="1" x14ac:dyDescent="0.3">
      <c r="A139" s="64" t="s">
        <v>38</v>
      </c>
      <c r="B139" s="65">
        <v>1027</v>
      </c>
      <c r="C139" s="65">
        <v>3952</v>
      </c>
      <c r="D139" s="65">
        <v>25959</v>
      </c>
      <c r="E139" s="65">
        <v>1785</v>
      </c>
      <c r="F139" s="65">
        <f t="shared" si="26"/>
        <v>32723</v>
      </c>
      <c r="G139" s="64" t="s">
        <v>38</v>
      </c>
      <c r="H139" s="65">
        <v>358</v>
      </c>
      <c r="I139" s="65">
        <v>1247</v>
      </c>
      <c r="J139" s="65">
        <v>10287</v>
      </c>
      <c r="K139" s="65">
        <v>1752</v>
      </c>
      <c r="L139" s="65">
        <f>SUM(H139:K139)</f>
        <v>13644</v>
      </c>
    </row>
    <row r="140" spans="1:12" ht="15" customHeight="1" x14ac:dyDescent="0.3">
      <c r="A140" s="64" t="s">
        <v>39</v>
      </c>
      <c r="B140" s="65">
        <v>21369</v>
      </c>
      <c r="C140" s="65">
        <v>66801</v>
      </c>
      <c r="D140" s="65">
        <v>125043</v>
      </c>
      <c r="E140" s="65">
        <v>25359</v>
      </c>
      <c r="F140" s="65">
        <f t="shared" si="26"/>
        <v>238572</v>
      </c>
      <c r="G140" s="64" t="s">
        <v>39</v>
      </c>
      <c r="H140" s="65">
        <v>195</v>
      </c>
      <c r="I140" s="65">
        <v>2071</v>
      </c>
      <c r="J140" s="65">
        <v>11011</v>
      </c>
      <c r="K140" s="65">
        <v>2045</v>
      </c>
      <c r="L140" s="65">
        <f t="shared" si="27"/>
        <v>15322</v>
      </c>
    </row>
    <row r="141" spans="1:12" ht="15" customHeight="1" x14ac:dyDescent="0.3">
      <c r="A141" s="64" t="s">
        <v>40</v>
      </c>
      <c r="B141" s="65">
        <v>37814</v>
      </c>
      <c r="C141" s="65">
        <v>118963</v>
      </c>
      <c r="D141" s="65">
        <v>198564</v>
      </c>
      <c r="E141" s="65">
        <v>43545</v>
      </c>
      <c r="F141" s="65">
        <f t="shared" si="26"/>
        <v>398886</v>
      </c>
      <c r="G141" s="64" t="s">
        <v>40</v>
      </c>
      <c r="H141" s="65">
        <v>708</v>
      </c>
      <c r="I141" s="65">
        <v>3825</v>
      </c>
      <c r="J141" s="65">
        <v>13049</v>
      </c>
      <c r="K141" s="65">
        <v>3098</v>
      </c>
      <c r="L141" s="65">
        <f t="shared" si="27"/>
        <v>20680</v>
      </c>
    </row>
    <row r="142" spans="1:12" ht="15" customHeight="1" x14ac:dyDescent="0.3">
      <c r="A142" s="64" t="s">
        <v>41</v>
      </c>
      <c r="B142" s="65">
        <v>45320</v>
      </c>
      <c r="C142" s="65">
        <v>150974</v>
      </c>
      <c r="D142" s="65">
        <v>252642</v>
      </c>
      <c r="E142" s="65">
        <v>52704</v>
      </c>
      <c r="F142" s="65">
        <f t="shared" si="26"/>
        <v>501640</v>
      </c>
      <c r="G142" s="64" t="s">
        <v>41</v>
      </c>
      <c r="H142" s="65">
        <v>882</v>
      </c>
      <c r="I142" s="65">
        <v>5874</v>
      </c>
      <c r="J142" s="65">
        <v>15777</v>
      </c>
      <c r="K142" s="65">
        <v>5387</v>
      </c>
      <c r="L142" s="65">
        <f t="shared" si="27"/>
        <v>27920</v>
      </c>
    </row>
    <row r="143" spans="1:12" ht="15" customHeight="1" x14ac:dyDescent="0.3">
      <c r="A143" s="64" t="s">
        <v>42</v>
      </c>
      <c r="B143" s="65">
        <v>46019</v>
      </c>
      <c r="C143" s="65">
        <v>148855</v>
      </c>
      <c r="D143" s="65">
        <v>254199</v>
      </c>
      <c r="E143" s="65">
        <v>54571</v>
      </c>
      <c r="F143" s="65">
        <f t="shared" si="26"/>
        <v>503644</v>
      </c>
      <c r="G143" s="64" t="s">
        <v>42</v>
      </c>
      <c r="H143" s="65">
        <v>1006</v>
      </c>
      <c r="I143" s="65">
        <v>5947</v>
      </c>
      <c r="J143" s="65">
        <v>16281</v>
      </c>
      <c r="K143" s="65">
        <v>5552</v>
      </c>
      <c r="L143" s="65">
        <f>SUM(H143:K143)</f>
        <v>28786</v>
      </c>
    </row>
    <row r="144" spans="1:12" ht="15" customHeight="1" x14ac:dyDescent="0.3">
      <c r="A144" s="64" t="s">
        <v>43</v>
      </c>
      <c r="B144" s="65">
        <v>32018</v>
      </c>
      <c r="C144" s="65">
        <v>102081</v>
      </c>
      <c r="D144" s="65">
        <v>176313</v>
      </c>
      <c r="E144" s="65">
        <v>36345</v>
      </c>
      <c r="F144" s="65">
        <f t="shared" si="26"/>
        <v>346757</v>
      </c>
      <c r="G144" s="64" t="s">
        <v>43</v>
      </c>
      <c r="H144" s="65">
        <v>594</v>
      </c>
      <c r="I144" s="65">
        <v>3557</v>
      </c>
      <c r="J144" s="65">
        <v>11446</v>
      </c>
      <c r="K144" s="65">
        <v>2526</v>
      </c>
      <c r="L144" s="65">
        <f t="shared" si="27"/>
        <v>18123</v>
      </c>
    </row>
    <row r="145" spans="1:12" ht="15" customHeight="1" x14ac:dyDescent="0.3">
      <c r="A145" s="64" t="s">
        <v>44</v>
      </c>
      <c r="B145" s="65">
        <v>6552</v>
      </c>
      <c r="C145" s="65">
        <v>14420</v>
      </c>
      <c r="D145" s="65">
        <v>56714</v>
      </c>
      <c r="E145" s="65">
        <v>3029</v>
      </c>
      <c r="F145" s="65">
        <f t="shared" si="26"/>
        <v>80715</v>
      </c>
      <c r="G145" s="64" t="s">
        <v>44</v>
      </c>
      <c r="H145" s="65">
        <v>158</v>
      </c>
      <c r="I145" s="65">
        <v>1250</v>
      </c>
      <c r="J145" s="65">
        <v>8963</v>
      </c>
      <c r="K145" s="65">
        <v>1472</v>
      </c>
      <c r="L145" s="65">
        <f t="shared" si="27"/>
        <v>11843</v>
      </c>
    </row>
    <row r="146" spans="1:12" ht="15" customHeight="1" x14ac:dyDescent="0.3">
      <c r="A146" s="64" t="s">
        <v>45</v>
      </c>
      <c r="B146" s="65">
        <v>2</v>
      </c>
      <c r="C146" s="65">
        <v>53</v>
      </c>
      <c r="D146" s="65">
        <v>895</v>
      </c>
      <c r="E146" s="65">
        <v>50</v>
      </c>
      <c r="F146" s="65">
        <f t="shared" si="26"/>
        <v>1000</v>
      </c>
      <c r="G146" s="64" t="s">
        <v>45</v>
      </c>
      <c r="H146" s="65">
        <v>53</v>
      </c>
      <c r="I146" s="65">
        <v>726</v>
      </c>
      <c r="J146" s="65">
        <v>7648</v>
      </c>
      <c r="K146" s="65">
        <v>989</v>
      </c>
      <c r="L146" s="65">
        <f t="shared" si="27"/>
        <v>9416</v>
      </c>
    </row>
    <row r="147" spans="1:12" ht="15" customHeight="1" x14ac:dyDescent="0.3">
      <c r="A147" s="64" t="s">
        <v>46</v>
      </c>
      <c r="B147" s="65">
        <v>0</v>
      </c>
      <c r="C147" s="65">
        <v>0</v>
      </c>
      <c r="D147" s="65">
        <v>161</v>
      </c>
      <c r="E147" s="65">
        <v>0</v>
      </c>
      <c r="F147" s="65">
        <f t="shared" si="26"/>
        <v>161</v>
      </c>
      <c r="G147" s="64" t="s">
        <v>46</v>
      </c>
      <c r="H147" s="65">
        <v>102</v>
      </c>
      <c r="I147" s="65">
        <v>701</v>
      </c>
      <c r="J147" s="65">
        <v>7515</v>
      </c>
      <c r="K147" s="65">
        <v>891</v>
      </c>
      <c r="L147" s="65">
        <f t="shared" si="27"/>
        <v>9209</v>
      </c>
    </row>
    <row r="148" spans="1:12" ht="15" customHeight="1" x14ac:dyDescent="0.3">
      <c r="A148" s="87">
        <v>2014</v>
      </c>
      <c r="B148" s="104">
        <f>SUM(B149:B160)</f>
        <v>175986</v>
      </c>
      <c r="C148" s="104">
        <f t="shared" ref="C148:F148" si="28">SUM(C149:C160)</f>
        <v>575009</v>
      </c>
      <c r="D148" s="104">
        <f t="shared" si="28"/>
        <v>1074289</v>
      </c>
      <c r="E148" s="104">
        <f t="shared" si="28"/>
        <v>209725</v>
      </c>
      <c r="F148" s="104">
        <f t="shared" si="28"/>
        <v>2035009</v>
      </c>
      <c r="G148" s="87">
        <v>2014</v>
      </c>
      <c r="H148" s="104">
        <f>SUM(H149:H160)</f>
        <v>2643</v>
      </c>
      <c r="I148" s="104">
        <f>SUM(I149:I160)</f>
        <v>19252</v>
      </c>
      <c r="J148" s="104">
        <f t="shared" ref="J148:L148" si="29">SUM(J149:J160)</f>
        <v>115701</v>
      </c>
      <c r="K148" s="104">
        <f t="shared" si="29"/>
        <v>28172</v>
      </c>
      <c r="L148" s="104">
        <f t="shared" si="29"/>
        <v>157713</v>
      </c>
    </row>
    <row r="149" spans="1:12" ht="15" customHeight="1" x14ac:dyDescent="0.3">
      <c r="A149" s="64" t="s">
        <v>35</v>
      </c>
      <c r="B149" s="65">
        <v>0</v>
      </c>
      <c r="C149" s="65">
        <v>0</v>
      </c>
      <c r="D149" s="65">
        <v>6</v>
      </c>
      <c r="E149" s="65">
        <v>0</v>
      </c>
      <c r="F149" s="65">
        <f>SUM(B149:E149)</f>
        <v>6</v>
      </c>
      <c r="G149" s="64" t="s">
        <v>35</v>
      </c>
      <c r="H149" s="65">
        <v>83</v>
      </c>
      <c r="I149" s="65">
        <v>542</v>
      </c>
      <c r="J149" s="65">
        <v>6400</v>
      </c>
      <c r="K149" s="65">
        <v>829</v>
      </c>
      <c r="L149" s="65">
        <f>SUM(H149:K149)</f>
        <v>7854</v>
      </c>
    </row>
    <row r="150" spans="1:12" ht="15" customHeight="1" x14ac:dyDescent="0.3">
      <c r="A150" s="64" t="s">
        <v>36</v>
      </c>
      <c r="B150" s="65">
        <v>0</v>
      </c>
      <c r="C150" s="65">
        <v>0</v>
      </c>
      <c r="D150" s="65">
        <v>5</v>
      </c>
      <c r="E150" s="65">
        <v>0</v>
      </c>
      <c r="F150" s="65">
        <f t="shared" ref="F150:F160" si="30">SUM(B150:E150)</f>
        <v>5</v>
      </c>
      <c r="G150" s="64" t="s">
        <v>36</v>
      </c>
      <c r="H150" s="65">
        <v>61</v>
      </c>
      <c r="I150" s="65">
        <v>552</v>
      </c>
      <c r="J150" s="65">
        <v>6281</v>
      </c>
      <c r="K150" s="65">
        <v>1214</v>
      </c>
      <c r="L150" s="65">
        <f t="shared" ref="L150:L160" si="31">SUM(H150:K150)</f>
        <v>8108</v>
      </c>
    </row>
    <row r="151" spans="1:12" ht="15" customHeight="1" x14ac:dyDescent="0.3">
      <c r="A151" s="64" t="s">
        <v>37</v>
      </c>
      <c r="B151" s="65">
        <v>9</v>
      </c>
      <c r="C151" s="65">
        <v>142</v>
      </c>
      <c r="D151" s="65">
        <v>657</v>
      </c>
      <c r="E151" s="65">
        <v>0</v>
      </c>
      <c r="F151" s="65">
        <f t="shared" si="30"/>
        <v>808</v>
      </c>
      <c r="G151" s="64" t="s">
        <v>37</v>
      </c>
      <c r="H151" s="65">
        <v>62</v>
      </c>
      <c r="I151" s="65">
        <v>625</v>
      </c>
      <c r="J151" s="65">
        <v>7368</v>
      </c>
      <c r="K151" s="65">
        <v>1233</v>
      </c>
      <c r="L151" s="65">
        <v>1233</v>
      </c>
    </row>
    <row r="152" spans="1:12" ht="15" customHeight="1" x14ac:dyDescent="0.3">
      <c r="A152" s="64" t="s">
        <v>38</v>
      </c>
      <c r="B152" s="65">
        <v>2046</v>
      </c>
      <c r="C152" s="65">
        <v>4119</v>
      </c>
      <c r="D152" s="65">
        <v>27118</v>
      </c>
      <c r="E152" s="65">
        <v>2291</v>
      </c>
      <c r="F152" s="65">
        <f t="shared" si="30"/>
        <v>35574</v>
      </c>
      <c r="G152" s="64" t="s">
        <v>38</v>
      </c>
      <c r="H152" s="65">
        <v>341</v>
      </c>
      <c r="I152" s="65">
        <v>1094</v>
      </c>
      <c r="J152" s="65">
        <v>10153</v>
      </c>
      <c r="K152" s="65">
        <v>1865</v>
      </c>
      <c r="L152" s="65">
        <f t="shared" si="31"/>
        <v>13453</v>
      </c>
    </row>
    <row r="153" spans="1:12" ht="15" customHeight="1" x14ac:dyDescent="0.3">
      <c r="A153" s="64" t="s">
        <v>39</v>
      </c>
      <c r="B153" s="65">
        <v>19739</v>
      </c>
      <c r="C153" s="65">
        <v>64838</v>
      </c>
      <c r="D153" s="65">
        <v>121307</v>
      </c>
      <c r="E153" s="65">
        <v>24661</v>
      </c>
      <c r="F153" s="65">
        <f t="shared" si="30"/>
        <v>230545</v>
      </c>
      <c r="G153" s="64" t="s">
        <v>39</v>
      </c>
      <c r="H153" s="65">
        <v>195</v>
      </c>
      <c r="I153" s="65">
        <v>1453</v>
      </c>
      <c r="J153" s="65">
        <v>9793</v>
      </c>
      <c r="K153" s="65">
        <v>1963</v>
      </c>
      <c r="L153" s="65">
        <f t="shared" si="31"/>
        <v>13404</v>
      </c>
    </row>
    <row r="154" spans="1:12" ht="15" customHeight="1" x14ac:dyDescent="0.3">
      <c r="A154" s="64" t="s">
        <v>40</v>
      </c>
      <c r="B154" s="65">
        <v>36097</v>
      </c>
      <c r="C154" s="65">
        <v>113116</v>
      </c>
      <c r="D154" s="65">
        <v>191334</v>
      </c>
      <c r="E154" s="65">
        <v>39591</v>
      </c>
      <c r="F154" s="65">
        <f t="shared" si="30"/>
        <v>380138</v>
      </c>
      <c r="G154" s="64" t="s">
        <v>40</v>
      </c>
      <c r="H154" s="65">
        <v>197</v>
      </c>
      <c r="I154" s="65">
        <v>2378</v>
      </c>
      <c r="J154" s="65">
        <v>11993</v>
      </c>
      <c r="K154" s="65">
        <v>2989</v>
      </c>
      <c r="L154" s="65">
        <f t="shared" si="31"/>
        <v>17557</v>
      </c>
    </row>
    <row r="155" spans="1:12" ht="15" customHeight="1" x14ac:dyDescent="0.3">
      <c r="A155" s="64" t="s">
        <v>41</v>
      </c>
      <c r="B155" s="65">
        <v>40933</v>
      </c>
      <c r="C155" s="65">
        <v>140273</v>
      </c>
      <c r="D155" s="65">
        <v>254687</v>
      </c>
      <c r="E155" s="65">
        <v>51401</v>
      </c>
      <c r="F155" s="65">
        <f t="shared" si="30"/>
        <v>487294</v>
      </c>
      <c r="G155" s="64" t="s">
        <v>41</v>
      </c>
      <c r="H155" s="65">
        <v>398</v>
      </c>
      <c r="I155" s="65">
        <v>3787</v>
      </c>
      <c r="J155" s="65">
        <v>14668</v>
      </c>
      <c r="K155" s="65">
        <v>6185</v>
      </c>
      <c r="L155" s="65">
        <f t="shared" si="31"/>
        <v>25038</v>
      </c>
    </row>
    <row r="156" spans="1:12" ht="15" customHeight="1" x14ac:dyDescent="0.3">
      <c r="A156" s="64" t="s">
        <v>42</v>
      </c>
      <c r="B156" s="65">
        <v>41460</v>
      </c>
      <c r="C156" s="65">
        <v>144441</v>
      </c>
      <c r="D156" s="65">
        <v>247054</v>
      </c>
      <c r="E156" s="65">
        <v>51024</v>
      </c>
      <c r="F156" s="65">
        <f t="shared" si="30"/>
        <v>483979</v>
      </c>
      <c r="G156" s="64" t="s">
        <v>42</v>
      </c>
      <c r="H156" s="65">
        <v>570</v>
      </c>
      <c r="I156" s="65">
        <v>4028</v>
      </c>
      <c r="J156" s="65">
        <v>13814</v>
      </c>
      <c r="K156" s="65">
        <v>5883</v>
      </c>
      <c r="L156" s="65">
        <f t="shared" si="31"/>
        <v>24295</v>
      </c>
    </row>
    <row r="157" spans="1:12" ht="15" customHeight="1" x14ac:dyDescent="0.3">
      <c r="A157" s="64" t="s">
        <v>43</v>
      </c>
      <c r="B157" s="65">
        <v>29596</v>
      </c>
      <c r="C157" s="65">
        <v>94970</v>
      </c>
      <c r="D157" s="65">
        <v>176082</v>
      </c>
      <c r="E157" s="65">
        <v>36209</v>
      </c>
      <c r="F157" s="65">
        <f t="shared" si="30"/>
        <v>336857</v>
      </c>
      <c r="G157" s="64" t="s">
        <v>43</v>
      </c>
      <c r="H157" s="65">
        <v>422</v>
      </c>
      <c r="I157" s="65">
        <v>2312</v>
      </c>
      <c r="J157" s="65">
        <v>10750</v>
      </c>
      <c r="K157" s="65">
        <v>2704</v>
      </c>
      <c r="L157" s="65">
        <f t="shared" si="31"/>
        <v>16188</v>
      </c>
    </row>
    <row r="158" spans="1:12" ht="15" customHeight="1" x14ac:dyDescent="0.3">
      <c r="A158" s="64" t="s">
        <v>44</v>
      </c>
      <c r="B158" s="65">
        <v>6101</v>
      </c>
      <c r="C158" s="65">
        <v>13054</v>
      </c>
      <c r="D158" s="65">
        <v>55354</v>
      </c>
      <c r="E158" s="65">
        <v>4473</v>
      </c>
      <c r="F158" s="65">
        <f t="shared" si="30"/>
        <v>78982</v>
      </c>
      <c r="G158" s="64" t="s">
        <v>44</v>
      </c>
      <c r="H158" s="65">
        <v>127</v>
      </c>
      <c r="I158" s="65">
        <v>1347</v>
      </c>
      <c r="J158" s="65">
        <v>9264</v>
      </c>
      <c r="K158" s="65">
        <v>1359</v>
      </c>
      <c r="L158" s="65">
        <f t="shared" si="31"/>
        <v>12097</v>
      </c>
    </row>
    <row r="159" spans="1:12" ht="15" customHeight="1" x14ac:dyDescent="0.3">
      <c r="A159" s="64" t="s">
        <v>45</v>
      </c>
      <c r="B159" s="65">
        <v>5</v>
      </c>
      <c r="C159" s="65">
        <v>56</v>
      </c>
      <c r="D159" s="65">
        <v>659</v>
      </c>
      <c r="E159" s="65">
        <v>75</v>
      </c>
      <c r="F159" s="65">
        <f t="shared" si="30"/>
        <v>795</v>
      </c>
      <c r="G159" s="64" t="s">
        <v>45</v>
      </c>
      <c r="H159" s="65">
        <v>80</v>
      </c>
      <c r="I159" s="65">
        <v>556</v>
      </c>
      <c r="J159" s="65">
        <v>7261</v>
      </c>
      <c r="K159" s="65">
        <v>950</v>
      </c>
      <c r="L159" s="65">
        <f t="shared" si="31"/>
        <v>8847</v>
      </c>
    </row>
    <row r="160" spans="1:12" ht="15" customHeight="1" x14ac:dyDescent="0.3">
      <c r="A160" s="64" t="s">
        <v>46</v>
      </c>
      <c r="B160" s="65">
        <v>0</v>
      </c>
      <c r="C160" s="65">
        <v>0</v>
      </c>
      <c r="D160" s="65">
        <v>26</v>
      </c>
      <c r="E160" s="65">
        <v>0</v>
      </c>
      <c r="F160" s="65">
        <f t="shared" si="30"/>
        <v>26</v>
      </c>
      <c r="G160" s="64" t="s">
        <v>46</v>
      </c>
      <c r="H160" s="65">
        <v>107</v>
      </c>
      <c r="I160" s="65">
        <v>578</v>
      </c>
      <c r="J160" s="65">
        <v>7956</v>
      </c>
      <c r="K160" s="65">
        <v>998</v>
      </c>
      <c r="L160" s="65">
        <f t="shared" si="31"/>
        <v>9639</v>
      </c>
    </row>
    <row r="161" spans="1:12" ht="15" customHeight="1" x14ac:dyDescent="0.3">
      <c r="A161" s="87">
        <v>2013</v>
      </c>
      <c r="B161" s="104">
        <f>SUM(B162:B173)</f>
        <v>154489</v>
      </c>
      <c r="C161" s="104">
        <f t="shared" ref="C161:F161" si="32">SUM(C162:C173)</f>
        <v>488161</v>
      </c>
      <c r="D161" s="104">
        <f t="shared" si="32"/>
        <v>943917</v>
      </c>
      <c r="E161" s="104">
        <f t="shared" si="32"/>
        <v>198033</v>
      </c>
      <c r="F161" s="104">
        <f t="shared" si="32"/>
        <v>1784600</v>
      </c>
      <c r="G161" s="87">
        <v>2013</v>
      </c>
      <c r="H161" s="104">
        <f>SUM(H162:H173)</f>
        <v>2995</v>
      </c>
      <c r="I161" s="104">
        <f t="shared" ref="I161:L161" si="33">SUM(I162:I173)</f>
        <v>14138</v>
      </c>
      <c r="J161" s="104">
        <f t="shared" si="33"/>
        <v>106993</v>
      </c>
      <c r="K161" s="104">
        <f t="shared" si="33"/>
        <v>16231</v>
      </c>
      <c r="L161" s="104">
        <f t="shared" si="33"/>
        <v>140357</v>
      </c>
    </row>
    <row r="162" spans="1:12" ht="15" customHeight="1" x14ac:dyDescent="0.3">
      <c r="A162" s="64" t="s">
        <v>35</v>
      </c>
      <c r="B162" s="65">
        <v>0</v>
      </c>
      <c r="C162" s="65">
        <v>0</v>
      </c>
      <c r="D162" s="65">
        <v>11</v>
      </c>
      <c r="E162" s="65">
        <v>0</v>
      </c>
      <c r="F162" s="65">
        <f>SUM(B162:E162)</f>
        <v>11</v>
      </c>
      <c r="G162" s="64" t="s">
        <v>35</v>
      </c>
      <c r="H162" s="65">
        <v>90</v>
      </c>
      <c r="I162" s="65">
        <v>517</v>
      </c>
      <c r="J162" s="65">
        <v>6100</v>
      </c>
      <c r="K162" s="65">
        <v>810</v>
      </c>
      <c r="L162" s="65">
        <f>SUM(H162:K162)</f>
        <v>7517</v>
      </c>
    </row>
    <row r="163" spans="1:12" ht="15" customHeight="1" x14ac:dyDescent="0.3">
      <c r="A163" s="64" t="s">
        <v>36</v>
      </c>
      <c r="B163" s="65">
        <v>0</v>
      </c>
      <c r="C163" s="65">
        <v>0</v>
      </c>
      <c r="D163" s="65">
        <v>6</v>
      </c>
      <c r="E163" s="65">
        <v>0</v>
      </c>
      <c r="F163" s="65">
        <f t="shared" ref="F163:F173" si="34">SUM(B163:E163)</f>
        <v>6</v>
      </c>
      <c r="G163" s="64" t="s">
        <v>36</v>
      </c>
      <c r="H163" s="65">
        <v>107</v>
      </c>
      <c r="I163" s="65">
        <v>553</v>
      </c>
      <c r="J163" s="65">
        <v>6588</v>
      </c>
      <c r="K163" s="65">
        <v>842</v>
      </c>
      <c r="L163" s="65">
        <f t="shared" ref="L163:L173" si="35">SUM(H163:K163)</f>
        <v>8090</v>
      </c>
    </row>
    <row r="164" spans="1:12" ht="15" customHeight="1" x14ac:dyDescent="0.3">
      <c r="A164" s="64" t="s">
        <v>37</v>
      </c>
      <c r="B164" s="65">
        <v>0</v>
      </c>
      <c r="C164" s="65">
        <v>156</v>
      </c>
      <c r="D164" s="65">
        <v>1989</v>
      </c>
      <c r="E164" s="65">
        <v>312</v>
      </c>
      <c r="F164" s="65">
        <f t="shared" si="34"/>
        <v>2457</v>
      </c>
      <c r="G164" s="64" t="s">
        <v>37</v>
      </c>
      <c r="H164" s="65">
        <v>93</v>
      </c>
      <c r="I164" s="65">
        <v>526</v>
      </c>
      <c r="J164" s="65">
        <v>7213</v>
      </c>
      <c r="K164" s="65">
        <v>928</v>
      </c>
      <c r="L164" s="65">
        <f t="shared" si="35"/>
        <v>8760</v>
      </c>
    </row>
    <row r="165" spans="1:12" ht="15" customHeight="1" x14ac:dyDescent="0.3">
      <c r="A165" s="64" t="s">
        <v>38</v>
      </c>
      <c r="B165" s="65">
        <v>841</v>
      </c>
      <c r="C165" s="65">
        <v>3538</v>
      </c>
      <c r="D165" s="65">
        <v>25614</v>
      </c>
      <c r="E165" s="65">
        <v>4413</v>
      </c>
      <c r="F165" s="65">
        <f t="shared" si="34"/>
        <v>34406</v>
      </c>
      <c r="G165" s="64" t="s">
        <v>38</v>
      </c>
      <c r="H165" s="65">
        <v>175</v>
      </c>
      <c r="I165" s="65">
        <v>877</v>
      </c>
      <c r="J165" s="65">
        <v>8942</v>
      </c>
      <c r="K165" s="65">
        <v>1014</v>
      </c>
      <c r="L165" s="65">
        <f t="shared" si="35"/>
        <v>11008</v>
      </c>
    </row>
    <row r="166" spans="1:12" ht="15" customHeight="1" x14ac:dyDescent="0.3">
      <c r="A166" s="64" t="s">
        <v>39</v>
      </c>
      <c r="B166" s="65">
        <v>17955</v>
      </c>
      <c r="C166" s="65">
        <v>55057</v>
      </c>
      <c r="D166" s="65">
        <v>109194</v>
      </c>
      <c r="E166" s="65">
        <v>24612</v>
      </c>
      <c r="F166" s="65">
        <f t="shared" si="34"/>
        <v>206818</v>
      </c>
      <c r="G166" s="64" t="s">
        <v>39</v>
      </c>
      <c r="H166" s="65">
        <v>258</v>
      </c>
      <c r="I166" s="65">
        <v>1225</v>
      </c>
      <c r="J166" s="65">
        <v>9435</v>
      </c>
      <c r="K166" s="65">
        <v>1416</v>
      </c>
      <c r="L166" s="65">
        <f t="shared" si="35"/>
        <v>12334</v>
      </c>
    </row>
    <row r="167" spans="1:12" ht="15" customHeight="1" x14ac:dyDescent="0.3">
      <c r="A167" s="64" t="s">
        <v>40</v>
      </c>
      <c r="B167" s="65">
        <v>32497</v>
      </c>
      <c r="C167" s="65">
        <v>94412</v>
      </c>
      <c r="D167" s="65">
        <v>169202</v>
      </c>
      <c r="E167" s="65">
        <v>38484</v>
      </c>
      <c r="F167" s="65">
        <f t="shared" si="34"/>
        <v>334595</v>
      </c>
      <c r="G167" s="64" t="s">
        <v>40</v>
      </c>
      <c r="H167" s="65">
        <v>335</v>
      </c>
      <c r="I167" s="65">
        <v>1879</v>
      </c>
      <c r="J167" s="65">
        <v>10775</v>
      </c>
      <c r="K167" s="65">
        <v>1679</v>
      </c>
      <c r="L167" s="65">
        <f t="shared" si="35"/>
        <v>14668</v>
      </c>
    </row>
    <row r="168" spans="1:12" ht="15" customHeight="1" x14ac:dyDescent="0.3">
      <c r="A168" s="64" t="s">
        <v>41</v>
      </c>
      <c r="B168" s="65">
        <v>34765</v>
      </c>
      <c r="C168" s="65">
        <v>118680</v>
      </c>
      <c r="D168" s="65">
        <v>221082</v>
      </c>
      <c r="E168" s="65">
        <v>45306</v>
      </c>
      <c r="F168" s="65">
        <f t="shared" si="34"/>
        <v>419833</v>
      </c>
      <c r="G168" s="64" t="s">
        <v>41</v>
      </c>
      <c r="H168" s="65">
        <v>569</v>
      </c>
      <c r="I168" s="65">
        <v>2565</v>
      </c>
      <c r="J168" s="65">
        <v>13443</v>
      </c>
      <c r="K168" s="65">
        <v>2929</v>
      </c>
      <c r="L168" s="65">
        <f t="shared" si="35"/>
        <v>19506</v>
      </c>
    </row>
    <row r="169" spans="1:12" ht="15" customHeight="1" x14ac:dyDescent="0.3">
      <c r="A169" s="64" t="s">
        <v>42</v>
      </c>
      <c r="B169" s="65">
        <v>33182</v>
      </c>
      <c r="C169" s="65">
        <v>122422</v>
      </c>
      <c r="D169" s="65">
        <v>213219</v>
      </c>
      <c r="E169" s="65">
        <v>45219</v>
      </c>
      <c r="F169" s="65">
        <f t="shared" si="34"/>
        <v>414042</v>
      </c>
      <c r="G169" s="64" t="s">
        <v>42</v>
      </c>
      <c r="H169" s="65">
        <v>782</v>
      </c>
      <c r="I169" s="65">
        <v>2525</v>
      </c>
      <c r="J169" s="65">
        <v>13911</v>
      </c>
      <c r="K169" s="65">
        <v>2807</v>
      </c>
      <c r="L169" s="65">
        <f t="shared" si="35"/>
        <v>20025</v>
      </c>
    </row>
    <row r="170" spans="1:12" ht="15" customHeight="1" x14ac:dyDescent="0.3">
      <c r="A170" s="64" t="s">
        <v>43</v>
      </c>
      <c r="B170" s="65">
        <v>29089</v>
      </c>
      <c r="C170" s="65">
        <v>82618</v>
      </c>
      <c r="D170" s="65">
        <v>152124</v>
      </c>
      <c r="E170" s="65">
        <v>34687</v>
      </c>
      <c r="F170" s="65">
        <f t="shared" si="34"/>
        <v>298518</v>
      </c>
      <c r="G170" s="64" t="s">
        <v>43</v>
      </c>
      <c r="H170" s="65">
        <v>319</v>
      </c>
      <c r="I170" s="65">
        <v>1530</v>
      </c>
      <c r="J170" s="65">
        <v>9786</v>
      </c>
      <c r="K170" s="65">
        <v>1535</v>
      </c>
      <c r="L170" s="65">
        <f t="shared" si="35"/>
        <v>13170</v>
      </c>
    </row>
    <row r="171" spans="1:12" ht="15" customHeight="1" x14ac:dyDescent="0.3">
      <c r="A171" s="64" t="s">
        <v>44</v>
      </c>
      <c r="B171" s="65">
        <v>6160</v>
      </c>
      <c r="C171" s="65">
        <v>11227</v>
      </c>
      <c r="D171" s="65">
        <v>49013</v>
      </c>
      <c r="E171" s="65">
        <v>4932</v>
      </c>
      <c r="F171" s="65">
        <f t="shared" si="34"/>
        <v>71332</v>
      </c>
      <c r="G171" s="64" t="s">
        <v>44</v>
      </c>
      <c r="H171" s="65">
        <v>152</v>
      </c>
      <c r="I171" s="65">
        <v>910</v>
      </c>
      <c r="J171" s="65">
        <v>7539</v>
      </c>
      <c r="K171" s="65">
        <v>893</v>
      </c>
      <c r="L171" s="65">
        <f t="shared" si="35"/>
        <v>9494</v>
      </c>
    </row>
    <row r="172" spans="1:12" ht="15" customHeight="1" x14ac:dyDescent="0.3">
      <c r="A172" s="64" t="s">
        <v>45</v>
      </c>
      <c r="B172" s="65">
        <v>0</v>
      </c>
      <c r="C172" s="65">
        <v>51</v>
      </c>
      <c r="D172" s="65">
        <v>2447</v>
      </c>
      <c r="E172" s="65">
        <v>68</v>
      </c>
      <c r="F172" s="65">
        <f t="shared" si="34"/>
        <v>2566</v>
      </c>
      <c r="G172" s="64" t="s">
        <v>45</v>
      </c>
      <c r="H172" s="65">
        <v>45</v>
      </c>
      <c r="I172" s="65">
        <v>490</v>
      </c>
      <c r="J172" s="65">
        <v>6232</v>
      </c>
      <c r="K172" s="65">
        <v>615</v>
      </c>
      <c r="L172" s="65">
        <f t="shared" si="35"/>
        <v>7382</v>
      </c>
    </row>
    <row r="173" spans="1:12" ht="15" customHeight="1" x14ac:dyDescent="0.3">
      <c r="A173" s="64" t="s">
        <v>46</v>
      </c>
      <c r="B173" s="65">
        <v>0</v>
      </c>
      <c r="C173" s="65">
        <v>0</v>
      </c>
      <c r="D173" s="65">
        <v>16</v>
      </c>
      <c r="E173" s="65">
        <v>0</v>
      </c>
      <c r="F173" s="65">
        <f t="shared" si="34"/>
        <v>16</v>
      </c>
      <c r="G173" s="64" t="s">
        <v>46</v>
      </c>
      <c r="H173" s="65">
        <v>70</v>
      </c>
      <c r="I173" s="65">
        <v>541</v>
      </c>
      <c r="J173" s="65">
        <v>7029</v>
      </c>
      <c r="K173" s="65">
        <v>763</v>
      </c>
      <c r="L173" s="65">
        <f t="shared" si="35"/>
        <v>8403</v>
      </c>
    </row>
    <row r="174" spans="1:12" ht="15" customHeight="1" x14ac:dyDescent="0.3">
      <c r="A174" s="87">
        <v>2012</v>
      </c>
      <c r="B174" s="104">
        <f>SUM(B175:B186)</f>
        <v>142027</v>
      </c>
      <c r="C174" s="104">
        <f t="shared" ref="C174:F174" si="36">SUM(C175:C186)</f>
        <v>423698</v>
      </c>
      <c r="D174" s="104">
        <f t="shared" si="36"/>
        <v>839759</v>
      </c>
      <c r="E174" s="104">
        <f t="shared" si="36"/>
        <v>168496</v>
      </c>
      <c r="F174" s="104">
        <f t="shared" si="36"/>
        <v>1573980</v>
      </c>
      <c r="G174" s="87">
        <v>2012</v>
      </c>
      <c r="H174" s="104">
        <f>SUM(H175:H186)</f>
        <v>4668</v>
      </c>
      <c r="I174" s="104">
        <f t="shared" ref="I174:L174" si="37">SUM(I175:I186)</f>
        <v>11516</v>
      </c>
      <c r="J174" s="104">
        <f t="shared" si="37"/>
        <v>113755</v>
      </c>
      <c r="K174" s="104">
        <f t="shared" si="37"/>
        <v>19496</v>
      </c>
      <c r="L174" s="104">
        <f t="shared" si="37"/>
        <v>149435</v>
      </c>
    </row>
    <row r="175" spans="1:12" ht="15" customHeight="1" x14ac:dyDescent="0.3">
      <c r="A175" s="64" t="s">
        <v>35</v>
      </c>
      <c r="B175" s="65">
        <v>5</v>
      </c>
      <c r="C175" s="65">
        <v>0</v>
      </c>
      <c r="D175" s="65">
        <v>1</v>
      </c>
      <c r="E175" s="65">
        <v>0</v>
      </c>
      <c r="F175" s="65">
        <f>SUM(B175:E175)</f>
        <v>6</v>
      </c>
      <c r="G175" s="64" t="s">
        <v>35</v>
      </c>
      <c r="H175" s="65">
        <v>2385</v>
      </c>
      <c r="I175" s="65">
        <v>484</v>
      </c>
      <c r="J175" s="65">
        <v>7046</v>
      </c>
      <c r="K175" s="65">
        <v>1020</v>
      </c>
      <c r="L175" s="65">
        <f>SUM(H175:K175)</f>
        <v>10935</v>
      </c>
    </row>
    <row r="176" spans="1:12" ht="15" customHeight="1" x14ac:dyDescent="0.3">
      <c r="A176" s="64" t="s">
        <v>36</v>
      </c>
      <c r="B176" s="65">
        <v>4</v>
      </c>
      <c r="C176" s="65">
        <v>0</v>
      </c>
      <c r="D176" s="65">
        <v>17</v>
      </c>
      <c r="E176" s="65">
        <v>0</v>
      </c>
      <c r="F176" s="65">
        <f t="shared" ref="F176:F186" si="38">SUM(B176:E176)</f>
        <v>21</v>
      </c>
      <c r="G176" s="64" t="s">
        <v>36</v>
      </c>
      <c r="H176" s="65">
        <v>85</v>
      </c>
      <c r="I176" s="65">
        <v>481</v>
      </c>
      <c r="J176" s="65">
        <v>7285</v>
      </c>
      <c r="K176" s="65">
        <v>1026</v>
      </c>
      <c r="L176" s="65">
        <f t="shared" ref="L176:L186" si="39">SUM(H176:K176)</f>
        <v>8877</v>
      </c>
    </row>
    <row r="177" spans="1:12" ht="15" customHeight="1" x14ac:dyDescent="0.3">
      <c r="A177" s="64" t="s">
        <v>37</v>
      </c>
      <c r="B177" s="65">
        <v>144</v>
      </c>
      <c r="C177" s="65">
        <v>231</v>
      </c>
      <c r="D177" s="65">
        <v>2628</v>
      </c>
      <c r="E177" s="65">
        <v>0</v>
      </c>
      <c r="F177" s="65">
        <f t="shared" si="38"/>
        <v>3003</v>
      </c>
      <c r="G177" s="64" t="s">
        <v>37</v>
      </c>
      <c r="H177" s="65">
        <v>155</v>
      </c>
      <c r="I177" s="65">
        <v>470</v>
      </c>
      <c r="J177" s="65">
        <v>8624</v>
      </c>
      <c r="K177" s="65">
        <v>1383</v>
      </c>
      <c r="L177" s="65">
        <f t="shared" si="39"/>
        <v>10632</v>
      </c>
    </row>
    <row r="178" spans="1:12" ht="15" customHeight="1" x14ac:dyDescent="0.3">
      <c r="A178" s="64" t="s">
        <v>38</v>
      </c>
      <c r="B178" s="65">
        <v>898</v>
      </c>
      <c r="C178" s="65">
        <v>2629</v>
      </c>
      <c r="D178" s="65">
        <v>16697</v>
      </c>
      <c r="E178" s="65">
        <v>1908</v>
      </c>
      <c r="F178" s="65">
        <f t="shared" si="38"/>
        <v>22132</v>
      </c>
      <c r="G178" s="64" t="s">
        <v>38</v>
      </c>
      <c r="H178" s="65">
        <v>274</v>
      </c>
      <c r="I178" s="65">
        <v>1051</v>
      </c>
      <c r="J178" s="65">
        <v>11295</v>
      </c>
      <c r="K178" s="65">
        <v>1716</v>
      </c>
      <c r="L178" s="65">
        <f t="shared" si="39"/>
        <v>14336</v>
      </c>
    </row>
    <row r="179" spans="1:12" ht="15" customHeight="1" x14ac:dyDescent="0.3">
      <c r="A179" s="64" t="s">
        <v>39</v>
      </c>
      <c r="B179" s="65">
        <v>15498</v>
      </c>
      <c r="C179" s="65">
        <v>41124</v>
      </c>
      <c r="D179" s="65">
        <v>90982</v>
      </c>
      <c r="E179" s="65">
        <v>20740</v>
      </c>
      <c r="F179" s="65">
        <f t="shared" si="38"/>
        <v>168344</v>
      </c>
      <c r="G179" s="64" t="s">
        <v>39</v>
      </c>
      <c r="H179" s="65">
        <v>344</v>
      </c>
      <c r="I179" s="65">
        <v>1088</v>
      </c>
      <c r="J179" s="65">
        <v>10066</v>
      </c>
      <c r="K179" s="65">
        <v>1506</v>
      </c>
      <c r="L179" s="65">
        <f t="shared" si="39"/>
        <v>13004</v>
      </c>
    </row>
    <row r="180" spans="1:12" ht="15" customHeight="1" x14ac:dyDescent="0.3">
      <c r="A180" s="64" t="s">
        <v>40</v>
      </c>
      <c r="B180" s="65">
        <v>28219</v>
      </c>
      <c r="C180" s="65">
        <v>83951</v>
      </c>
      <c r="D180" s="65">
        <v>156001</v>
      </c>
      <c r="E180" s="65">
        <v>32685</v>
      </c>
      <c r="F180" s="65">
        <f t="shared" si="38"/>
        <v>300856</v>
      </c>
      <c r="G180" s="64" t="s">
        <v>40</v>
      </c>
      <c r="H180" s="65">
        <v>166</v>
      </c>
      <c r="I180" s="65">
        <v>1330</v>
      </c>
      <c r="J180" s="65">
        <v>11430</v>
      </c>
      <c r="K180" s="65">
        <v>2034</v>
      </c>
      <c r="L180" s="65">
        <f t="shared" si="39"/>
        <v>14960</v>
      </c>
    </row>
    <row r="181" spans="1:12" ht="15" customHeight="1" x14ac:dyDescent="0.3">
      <c r="A181" s="64" t="s">
        <v>41</v>
      </c>
      <c r="B181" s="65">
        <v>35456</v>
      </c>
      <c r="C181" s="65">
        <v>105068</v>
      </c>
      <c r="D181" s="65">
        <v>204319</v>
      </c>
      <c r="E181" s="65">
        <v>40775</v>
      </c>
      <c r="F181" s="65">
        <f t="shared" si="38"/>
        <v>385618</v>
      </c>
      <c r="G181" s="64" t="s">
        <v>41</v>
      </c>
      <c r="H181" s="65">
        <v>238</v>
      </c>
      <c r="I181" s="65">
        <v>1837</v>
      </c>
      <c r="J181" s="65">
        <v>14103</v>
      </c>
      <c r="K181" s="65">
        <v>2885</v>
      </c>
      <c r="L181" s="65">
        <f t="shared" si="39"/>
        <v>19063</v>
      </c>
    </row>
    <row r="182" spans="1:12" ht="15" customHeight="1" x14ac:dyDescent="0.3">
      <c r="A182" s="64" t="s">
        <v>42</v>
      </c>
      <c r="B182" s="65">
        <v>29197</v>
      </c>
      <c r="C182" s="65">
        <v>104449</v>
      </c>
      <c r="D182" s="65">
        <v>190325</v>
      </c>
      <c r="E182" s="65">
        <v>37686</v>
      </c>
      <c r="F182" s="65">
        <f t="shared" si="38"/>
        <v>361657</v>
      </c>
      <c r="G182" s="64" t="s">
        <v>42</v>
      </c>
      <c r="H182" s="65">
        <v>473</v>
      </c>
      <c r="I182" s="65">
        <v>1930</v>
      </c>
      <c r="J182" s="65">
        <v>13253</v>
      </c>
      <c r="K182" s="65">
        <v>3005</v>
      </c>
      <c r="L182" s="65">
        <f t="shared" si="39"/>
        <v>18661</v>
      </c>
    </row>
    <row r="183" spans="1:12" ht="15" customHeight="1" x14ac:dyDescent="0.3">
      <c r="A183" s="64" t="s">
        <v>43</v>
      </c>
      <c r="B183" s="65">
        <v>27594</v>
      </c>
      <c r="C183" s="65">
        <v>73472</v>
      </c>
      <c r="D183" s="65">
        <v>138350</v>
      </c>
      <c r="E183" s="65">
        <v>30035</v>
      </c>
      <c r="F183" s="65">
        <f t="shared" si="38"/>
        <v>269451</v>
      </c>
      <c r="G183" s="64" t="s">
        <v>43</v>
      </c>
      <c r="H183" s="65">
        <v>193</v>
      </c>
      <c r="I183" s="65">
        <v>1177</v>
      </c>
      <c r="J183" s="65">
        <v>10205</v>
      </c>
      <c r="K183" s="65">
        <v>1896</v>
      </c>
      <c r="L183" s="65">
        <f t="shared" si="39"/>
        <v>13471</v>
      </c>
    </row>
    <row r="184" spans="1:12" ht="15" customHeight="1" x14ac:dyDescent="0.3">
      <c r="A184" s="64" t="s">
        <v>44</v>
      </c>
      <c r="B184" s="65">
        <v>5012</v>
      </c>
      <c r="C184" s="65">
        <v>12714</v>
      </c>
      <c r="D184" s="65">
        <v>39696</v>
      </c>
      <c r="E184" s="65">
        <v>4619</v>
      </c>
      <c r="F184" s="65">
        <f t="shared" si="38"/>
        <v>62041</v>
      </c>
      <c r="G184" s="64" t="s">
        <v>44</v>
      </c>
      <c r="H184" s="65">
        <v>113</v>
      </c>
      <c r="I184" s="65">
        <v>764</v>
      </c>
      <c r="J184" s="65">
        <v>7569</v>
      </c>
      <c r="K184" s="65">
        <v>1428</v>
      </c>
      <c r="L184" s="65">
        <f t="shared" si="39"/>
        <v>9874</v>
      </c>
    </row>
    <row r="185" spans="1:12" ht="15" customHeight="1" x14ac:dyDescent="0.3">
      <c r="A185" s="64" t="s">
        <v>45</v>
      </c>
      <c r="B185" s="65">
        <v>0</v>
      </c>
      <c r="C185" s="65">
        <v>60</v>
      </c>
      <c r="D185" s="65">
        <v>733</v>
      </c>
      <c r="E185" s="65">
        <v>48</v>
      </c>
      <c r="F185" s="65">
        <f t="shared" si="38"/>
        <v>841</v>
      </c>
      <c r="G185" s="64" t="s">
        <v>45</v>
      </c>
      <c r="H185" s="65">
        <v>89</v>
      </c>
      <c r="I185" s="65">
        <v>431</v>
      </c>
      <c r="J185" s="65">
        <v>6351</v>
      </c>
      <c r="K185" s="65">
        <v>795</v>
      </c>
      <c r="L185" s="65">
        <f t="shared" si="39"/>
        <v>7666</v>
      </c>
    </row>
    <row r="186" spans="1:12" ht="15" customHeight="1" x14ac:dyDescent="0.3">
      <c r="A186" s="64" t="s">
        <v>46</v>
      </c>
      <c r="B186" s="65">
        <v>0</v>
      </c>
      <c r="C186" s="65">
        <v>0</v>
      </c>
      <c r="D186" s="65">
        <v>10</v>
      </c>
      <c r="E186" s="65">
        <v>0</v>
      </c>
      <c r="F186" s="65">
        <f t="shared" si="38"/>
        <v>10</v>
      </c>
      <c r="G186" s="64" t="s">
        <v>46</v>
      </c>
      <c r="H186" s="65">
        <v>153</v>
      </c>
      <c r="I186" s="65">
        <v>473</v>
      </c>
      <c r="J186" s="65">
        <v>6528</v>
      </c>
      <c r="K186" s="65">
        <v>802</v>
      </c>
      <c r="L186" s="65">
        <f t="shared" si="39"/>
        <v>7956</v>
      </c>
    </row>
    <row r="187" spans="1:12" ht="15" customHeight="1" x14ac:dyDescent="0.3">
      <c r="A187" s="87">
        <v>2011</v>
      </c>
      <c r="B187" s="104">
        <f>SUM(B188:B199)</f>
        <v>144058</v>
      </c>
      <c r="C187" s="104">
        <f t="shared" ref="C187:F187" si="40">SUM(C188:C199)</f>
        <v>447885</v>
      </c>
      <c r="D187" s="104">
        <f t="shared" si="40"/>
        <v>789546</v>
      </c>
      <c r="E187" s="104">
        <f t="shared" si="40"/>
        <v>148858</v>
      </c>
      <c r="F187" s="104">
        <f t="shared" si="40"/>
        <v>1530347</v>
      </c>
      <c r="G187" s="87">
        <v>2011</v>
      </c>
      <c r="H187" s="104">
        <f>SUM(H188:H199)</f>
        <v>2453</v>
      </c>
      <c r="I187" s="104">
        <f t="shared" ref="I187:L187" si="41">SUM(I188:I199)</f>
        <v>11886</v>
      </c>
      <c r="J187" s="104">
        <f t="shared" si="41"/>
        <v>128746</v>
      </c>
      <c r="K187" s="104">
        <f t="shared" si="41"/>
        <v>22753</v>
      </c>
      <c r="L187" s="104">
        <f t="shared" si="41"/>
        <v>165838</v>
      </c>
    </row>
    <row r="188" spans="1:12" ht="15" customHeight="1" x14ac:dyDescent="0.3">
      <c r="A188" s="64" t="s">
        <v>35</v>
      </c>
      <c r="B188" s="65">
        <v>0</v>
      </c>
      <c r="C188" s="65">
        <v>0</v>
      </c>
      <c r="D188" s="65">
        <v>0</v>
      </c>
      <c r="E188" s="65">
        <v>0</v>
      </c>
      <c r="F188" s="65">
        <f>SUM(B188:E188)</f>
        <v>0</v>
      </c>
      <c r="G188" s="64" t="s">
        <v>35</v>
      </c>
      <c r="H188" s="65">
        <v>75</v>
      </c>
      <c r="I188" s="65">
        <v>550</v>
      </c>
      <c r="J188" s="65">
        <v>8183</v>
      </c>
      <c r="K188" s="65">
        <v>1197</v>
      </c>
      <c r="L188" s="65">
        <f>SUM(H188:K188)</f>
        <v>10005</v>
      </c>
    </row>
    <row r="189" spans="1:12" ht="15" customHeight="1" x14ac:dyDescent="0.3">
      <c r="A189" s="64" t="s">
        <v>36</v>
      </c>
      <c r="B189" s="65">
        <v>0</v>
      </c>
      <c r="C189" s="65">
        <v>0</v>
      </c>
      <c r="D189" s="65">
        <v>6</v>
      </c>
      <c r="E189" s="65">
        <v>0</v>
      </c>
      <c r="F189" s="65">
        <f t="shared" ref="F189:F199" si="42">SUM(B189:E189)</f>
        <v>6</v>
      </c>
      <c r="G189" s="64" t="s">
        <v>36</v>
      </c>
      <c r="H189" s="65">
        <v>69</v>
      </c>
      <c r="I189" s="65">
        <v>552</v>
      </c>
      <c r="J189" s="65">
        <v>7438</v>
      </c>
      <c r="K189" s="65">
        <v>1106</v>
      </c>
      <c r="L189" s="65">
        <f t="shared" ref="L189:L199" si="43">SUM(H189:K189)</f>
        <v>9165</v>
      </c>
    </row>
    <row r="190" spans="1:12" ht="15" customHeight="1" x14ac:dyDescent="0.3">
      <c r="A190" s="64" t="s">
        <v>37</v>
      </c>
      <c r="B190" s="65">
        <v>0</v>
      </c>
      <c r="C190" s="65">
        <v>172</v>
      </c>
      <c r="D190" s="65">
        <v>524</v>
      </c>
      <c r="E190" s="65">
        <v>0</v>
      </c>
      <c r="F190" s="65">
        <f t="shared" si="42"/>
        <v>696</v>
      </c>
      <c r="G190" s="64" t="s">
        <v>37</v>
      </c>
      <c r="H190" s="65">
        <v>65</v>
      </c>
      <c r="I190" s="65">
        <v>605</v>
      </c>
      <c r="J190" s="65">
        <v>8618</v>
      </c>
      <c r="K190" s="65">
        <v>1337</v>
      </c>
      <c r="L190" s="65">
        <f t="shared" si="43"/>
        <v>10625</v>
      </c>
    </row>
    <row r="191" spans="1:12" ht="15" customHeight="1" x14ac:dyDescent="0.3">
      <c r="A191" s="64" t="s">
        <v>38</v>
      </c>
      <c r="B191" s="65">
        <v>1798</v>
      </c>
      <c r="C191" s="65">
        <v>2785</v>
      </c>
      <c r="D191" s="65">
        <v>10671</v>
      </c>
      <c r="E191" s="65">
        <v>668</v>
      </c>
      <c r="F191" s="65">
        <f t="shared" si="42"/>
        <v>15922</v>
      </c>
      <c r="G191" s="64" t="s">
        <v>38</v>
      </c>
      <c r="H191" s="65">
        <v>213</v>
      </c>
      <c r="I191" s="65">
        <v>815</v>
      </c>
      <c r="J191" s="65">
        <v>12216</v>
      </c>
      <c r="K191" s="65">
        <v>1924</v>
      </c>
      <c r="L191" s="65">
        <f t="shared" si="43"/>
        <v>15168</v>
      </c>
    </row>
    <row r="192" spans="1:12" ht="15" customHeight="1" x14ac:dyDescent="0.3">
      <c r="A192" s="64" t="s">
        <v>39</v>
      </c>
      <c r="B192" s="65">
        <v>18725</v>
      </c>
      <c r="C192" s="65">
        <v>50910</v>
      </c>
      <c r="D192" s="65">
        <v>94207</v>
      </c>
      <c r="E192" s="65">
        <v>22572</v>
      </c>
      <c r="F192" s="65">
        <f t="shared" si="42"/>
        <v>186414</v>
      </c>
      <c r="G192" s="64" t="s">
        <v>39</v>
      </c>
      <c r="H192" s="65">
        <v>121</v>
      </c>
      <c r="I192" s="65">
        <v>828</v>
      </c>
      <c r="J192" s="65">
        <v>11302</v>
      </c>
      <c r="K192" s="65">
        <v>1961</v>
      </c>
      <c r="L192" s="65">
        <f t="shared" si="43"/>
        <v>14212</v>
      </c>
    </row>
    <row r="193" spans="1:12" ht="15" customHeight="1" x14ac:dyDescent="0.3">
      <c r="A193" s="64" t="s">
        <v>40</v>
      </c>
      <c r="B193" s="65">
        <v>27804</v>
      </c>
      <c r="C193" s="65">
        <v>85824</v>
      </c>
      <c r="D193" s="65">
        <v>135517</v>
      </c>
      <c r="E193" s="65">
        <v>28926</v>
      </c>
      <c r="F193" s="65">
        <f t="shared" si="42"/>
        <v>278071</v>
      </c>
      <c r="G193" s="64" t="s">
        <v>40</v>
      </c>
      <c r="H193" s="65">
        <v>211</v>
      </c>
      <c r="I193" s="65">
        <v>1207</v>
      </c>
      <c r="J193" s="65">
        <v>12854</v>
      </c>
      <c r="K193" s="65">
        <v>2418</v>
      </c>
      <c r="L193" s="65">
        <f t="shared" si="43"/>
        <v>16690</v>
      </c>
    </row>
    <row r="194" spans="1:12" ht="15" customHeight="1" x14ac:dyDescent="0.3">
      <c r="A194" s="64" t="s">
        <v>41</v>
      </c>
      <c r="B194" s="65">
        <v>35093</v>
      </c>
      <c r="C194" s="65">
        <v>106892</v>
      </c>
      <c r="D194" s="65">
        <v>186597</v>
      </c>
      <c r="E194" s="65">
        <v>33415</v>
      </c>
      <c r="F194" s="65">
        <f t="shared" si="42"/>
        <v>361997</v>
      </c>
      <c r="G194" s="64" t="s">
        <v>41</v>
      </c>
      <c r="H194" s="65">
        <v>309</v>
      </c>
      <c r="I194" s="65">
        <v>2350</v>
      </c>
      <c r="J194" s="65">
        <v>17129</v>
      </c>
      <c r="K194" s="65">
        <v>3459</v>
      </c>
      <c r="L194" s="65">
        <f t="shared" si="43"/>
        <v>23247</v>
      </c>
    </row>
    <row r="195" spans="1:12" ht="15" customHeight="1" x14ac:dyDescent="0.3">
      <c r="A195" s="64" t="s">
        <v>42</v>
      </c>
      <c r="B195" s="65">
        <v>29877</v>
      </c>
      <c r="C195" s="65">
        <v>105107</v>
      </c>
      <c r="D195" s="65">
        <v>185300</v>
      </c>
      <c r="E195" s="65">
        <v>33015</v>
      </c>
      <c r="F195" s="65">
        <f t="shared" si="42"/>
        <v>353299</v>
      </c>
      <c r="G195" s="64" t="s">
        <v>42</v>
      </c>
      <c r="H195" s="65">
        <v>513</v>
      </c>
      <c r="I195" s="65">
        <v>2378</v>
      </c>
      <c r="J195" s="65">
        <v>15407</v>
      </c>
      <c r="K195" s="65">
        <v>3503</v>
      </c>
      <c r="L195" s="65">
        <f t="shared" si="43"/>
        <v>21801</v>
      </c>
    </row>
    <row r="196" spans="1:12" ht="15" customHeight="1" x14ac:dyDescent="0.3">
      <c r="A196" s="64" t="s">
        <v>43</v>
      </c>
      <c r="B196" s="65">
        <v>25312</v>
      </c>
      <c r="C196" s="65">
        <v>81648</v>
      </c>
      <c r="D196" s="65">
        <v>131783</v>
      </c>
      <c r="E196" s="65">
        <v>25849</v>
      </c>
      <c r="F196" s="65">
        <f t="shared" si="42"/>
        <v>264592</v>
      </c>
      <c r="G196" s="64" t="s">
        <v>43</v>
      </c>
      <c r="H196" s="65">
        <v>269</v>
      </c>
      <c r="I196" s="65">
        <v>914</v>
      </c>
      <c r="J196" s="65">
        <v>11210</v>
      </c>
      <c r="K196" s="65">
        <v>2110</v>
      </c>
      <c r="L196" s="65">
        <f t="shared" si="43"/>
        <v>14503</v>
      </c>
    </row>
    <row r="197" spans="1:12" ht="15" customHeight="1" x14ac:dyDescent="0.3">
      <c r="A197" s="64" t="s">
        <v>44</v>
      </c>
      <c r="B197" s="65">
        <v>5449</v>
      </c>
      <c r="C197" s="65">
        <v>14547</v>
      </c>
      <c r="D197" s="65">
        <v>43557</v>
      </c>
      <c r="E197" s="65">
        <v>4413</v>
      </c>
      <c r="F197" s="65">
        <f t="shared" si="42"/>
        <v>67966</v>
      </c>
      <c r="G197" s="64" t="s">
        <v>44</v>
      </c>
      <c r="H197" s="65">
        <v>242</v>
      </c>
      <c r="I197" s="65">
        <v>764</v>
      </c>
      <c r="J197" s="65">
        <v>9063</v>
      </c>
      <c r="K197" s="65">
        <v>1658</v>
      </c>
      <c r="L197" s="65">
        <f t="shared" si="43"/>
        <v>11727</v>
      </c>
    </row>
    <row r="198" spans="1:12" ht="15" customHeight="1" x14ac:dyDescent="0.3">
      <c r="A198" s="64" t="s">
        <v>45</v>
      </c>
      <c r="B198" s="65">
        <v>0</v>
      </c>
      <c r="C198" s="65">
        <v>0</v>
      </c>
      <c r="D198" s="65">
        <v>1271</v>
      </c>
      <c r="E198" s="65">
        <v>0</v>
      </c>
      <c r="F198" s="65">
        <f t="shared" si="42"/>
        <v>1271</v>
      </c>
      <c r="G198" s="64" t="s">
        <v>45</v>
      </c>
      <c r="H198" s="65">
        <v>97</v>
      </c>
      <c r="I198" s="65">
        <v>451</v>
      </c>
      <c r="J198" s="65">
        <v>7301</v>
      </c>
      <c r="K198" s="65">
        <v>1087</v>
      </c>
      <c r="L198" s="65">
        <f t="shared" si="43"/>
        <v>8936</v>
      </c>
    </row>
    <row r="199" spans="1:12" ht="15" customHeight="1" x14ac:dyDescent="0.3">
      <c r="A199" s="64" t="s">
        <v>46</v>
      </c>
      <c r="B199" s="65">
        <v>0</v>
      </c>
      <c r="C199" s="65">
        <v>0</v>
      </c>
      <c r="D199" s="65">
        <v>113</v>
      </c>
      <c r="E199" s="65">
        <v>0</v>
      </c>
      <c r="F199" s="65">
        <f t="shared" si="42"/>
        <v>113</v>
      </c>
      <c r="G199" s="64" t="s">
        <v>46</v>
      </c>
      <c r="H199" s="65">
        <v>269</v>
      </c>
      <c r="I199" s="65">
        <v>472</v>
      </c>
      <c r="J199" s="65">
        <v>8025</v>
      </c>
      <c r="K199" s="65">
        <v>993</v>
      </c>
      <c r="L199" s="65">
        <f t="shared" si="43"/>
        <v>9759</v>
      </c>
    </row>
    <row r="200" spans="1:12" ht="15" customHeight="1" x14ac:dyDescent="0.3">
      <c r="A200" s="87">
        <v>2010</v>
      </c>
      <c r="B200" s="104">
        <f>SUM(B201:B212)</f>
        <v>143597</v>
      </c>
      <c r="C200" s="104">
        <f t="shared" ref="C200:F200" si="44">SUM(C201:C212)</f>
        <v>420284</v>
      </c>
      <c r="D200" s="104">
        <f t="shared" si="44"/>
        <v>729604</v>
      </c>
      <c r="E200" s="104">
        <f t="shared" si="44"/>
        <v>148935</v>
      </c>
      <c r="F200" s="104">
        <f t="shared" si="44"/>
        <v>1442420</v>
      </c>
      <c r="G200" s="87">
        <v>2010</v>
      </c>
      <c r="H200" s="104">
        <f>SUM(H201:H212)</f>
        <v>3367</v>
      </c>
      <c r="I200" s="104">
        <f t="shared" ref="I200:K200" si="45">SUM(I201:I212)</f>
        <v>13650</v>
      </c>
      <c r="J200" s="104">
        <f t="shared" si="45"/>
        <v>138453</v>
      </c>
      <c r="K200" s="104">
        <f t="shared" si="45"/>
        <v>38505</v>
      </c>
      <c r="L200" s="104">
        <f>SUM(L201:L212)</f>
        <v>193975</v>
      </c>
    </row>
    <row r="201" spans="1:12" ht="15" customHeight="1" x14ac:dyDescent="0.3">
      <c r="A201" s="64" t="s">
        <v>35</v>
      </c>
      <c r="B201" s="65">
        <v>0</v>
      </c>
      <c r="C201" s="65">
        <v>0</v>
      </c>
      <c r="D201" s="65">
        <v>0</v>
      </c>
      <c r="E201" s="65">
        <v>0</v>
      </c>
      <c r="F201" s="65">
        <f>SUM(B201:E201)</f>
        <v>0</v>
      </c>
      <c r="G201" s="64" t="s">
        <v>35</v>
      </c>
      <c r="H201" s="65">
        <v>609</v>
      </c>
      <c r="I201" s="65">
        <v>759</v>
      </c>
      <c r="J201" s="65">
        <v>10686</v>
      </c>
      <c r="K201" s="65">
        <v>1853</v>
      </c>
      <c r="L201" s="65">
        <f>SUM(H201:K201)</f>
        <v>13907</v>
      </c>
    </row>
    <row r="202" spans="1:12" ht="15" customHeight="1" x14ac:dyDescent="0.3">
      <c r="A202" s="64" t="s">
        <v>36</v>
      </c>
      <c r="B202" s="65">
        <v>0</v>
      </c>
      <c r="C202" s="65">
        <v>15</v>
      </c>
      <c r="D202" s="65">
        <v>6</v>
      </c>
      <c r="E202" s="65">
        <v>0</v>
      </c>
      <c r="F202" s="65">
        <f t="shared" ref="F202:F212" si="46">SUM(B202:E202)</f>
        <v>21</v>
      </c>
      <c r="G202" s="64" t="s">
        <v>36</v>
      </c>
      <c r="H202" s="65">
        <v>415</v>
      </c>
      <c r="I202" s="65">
        <v>648</v>
      </c>
      <c r="J202" s="65">
        <v>9650</v>
      </c>
      <c r="K202" s="65">
        <v>1685</v>
      </c>
      <c r="L202" s="65">
        <f t="shared" ref="L202:L212" si="47">SUM(H202:K202)</f>
        <v>12398</v>
      </c>
    </row>
    <row r="203" spans="1:12" ht="15" customHeight="1" x14ac:dyDescent="0.3">
      <c r="A203" s="64" t="s">
        <v>37</v>
      </c>
      <c r="B203" s="65">
        <v>113</v>
      </c>
      <c r="C203" s="65">
        <v>0</v>
      </c>
      <c r="D203" s="65">
        <v>823</v>
      </c>
      <c r="E203" s="65">
        <v>0</v>
      </c>
      <c r="F203" s="65">
        <f t="shared" si="46"/>
        <v>936</v>
      </c>
      <c r="G203" s="64" t="s">
        <v>37</v>
      </c>
      <c r="H203" s="65">
        <v>154</v>
      </c>
      <c r="I203" s="65">
        <v>952</v>
      </c>
      <c r="J203" s="65">
        <v>11507</v>
      </c>
      <c r="K203" s="65">
        <v>1989</v>
      </c>
      <c r="L203" s="65">
        <f t="shared" si="47"/>
        <v>14602</v>
      </c>
    </row>
    <row r="204" spans="1:12" ht="15" customHeight="1" x14ac:dyDescent="0.3">
      <c r="A204" s="64" t="s">
        <v>38</v>
      </c>
      <c r="B204" s="65">
        <v>269</v>
      </c>
      <c r="C204" s="65">
        <v>461</v>
      </c>
      <c r="D204" s="65">
        <v>6080</v>
      </c>
      <c r="E204" s="65">
        <v>450</v>
      </c>
      <c r="F204" s="65">
        <f t="shared" si="46"/>
        <v>7260</v>
      </c>
      <c r="G204" s="64" t="s">
        <v>38</v>
      </c>
      <c r="H204" s="65">
        <v>549</v>
      </c>
      <c r="I204" s="65">
        <v>1332</v>
      </c>
      <c r="J204" s="65">
        <v>12116</v>
      </c>
      <c r="K204" s="65">
        <v>2290</v>
      </c>
      <c r="L204" s="65">
        <f t="shared" si="47"/>
        <v>16287</v>
      </c>
    </row>
    <row r="205" spans="1:12" ht="15" customHeight="1" x14ac:dyDescent="0.3">
      <c r="A205" s="64" t="s">
        <v>39</v>
      </c>
      <c r="B205" s="65">
        <v>22600</v>
      </c>
      <c r="C205" s="65">
        <v>50857</v>
      </c>
      <c r="D205" s="65">
        <v>91232</v>
      </c>
      <c r="E205" s="65">
        <v>20520</v>
      </c>
      <c r="F205" s="65">
        <f t="shared" si="46"/>
        <v>185209</v>
      </c>
      <c r="G205" s="64" t="s">
        <v>39</v>
      </c>
      <c r="H205" s="65">
        <v>97</v>
      </c>
      <c r="I205" s="65">
        <v>1159</v>
      </c>
      <c r="J205" s="65">
        <v>11539</v>
      </c>
      <c r="K205" s="65">
        <v>2156</v>
      </c>
      <c r="L205" s="65">
        <f t="shared" si="47"/>
        <v>14951</v>
      </c>
    </row>
    <row r="206" spans="1:12" ht="15" customHeight="1" x14ac:dyDescent="0.3">
      <c r="A206" s="64" t="s">
        <v>40</v>
      </c>
      <c r="B206" s="65">
        <v>26930</v>
      </c>
      <c r="C206" s="65">
        <v>81075</v>
      </c>
      <c r="D206" s="65">
        <v>125149</v>
      </c>
      <c r="E206" s="65">
        <v>29492</v>
      </c>
      <c r="F206" s="65">
        <f t="shared" si="46"/>
        <v>262646</v>
      </c>
      <c r="G206" s="64" t="s">
        <v>40</v>
      </c>
      <c r="H206" s="65">
        <v>206</v>
      </c>
      <c r="I206" s="65">
        <v>1278</v>
      </c>
      <c r="J206" s="65">
        <v>12146</v>
      </c>
      <c r="K206" s="65">
        <v>2668</v>
      </c>
      <c r="L206" s="65">
        <f t="shared" si="47"/>
        <v>16298</v>
      </c>
    </row>
    <row r="207" spans="1:12" ht="15" customHeight="1" x14ac:dyDescent="0.3">
      <c r="A207" s="64" t="s">
        <v>41</v>
      </c>
      <c r="B207" s="65">
        <v>31948</v>
      </c>
      <c r="C207" s="65">
        <v>98801</v>
      </c>
      <c r="D207" s="65">
        <v>171022</v>
      </c>
      <c r="E207" s="65">
        <v>32116</v>
      </c>
      <c r="F207" s="65">
        <f t="shared" si="46"/>
        <v>333887</v>
      </c>
      <c r="G207" s="64" t="s">
        <v>41</v>
      </c>
      <c r="H207" s="65">
        <v>340</v>
      </c>
      <c r="I207" s="65">
        <v>2025</v>
      </c>
      <c r="J207" s="65">
        <v>16923</v>
      </c>
      <c r="K207" s="65">
        <v>3965</v>
      </c>
      <c r="L207" s="65">
        <f t="shared" si="47"/>
        <v>23253</v>
      </c>
    </row>
    <row r="208" spans="1:12" ht="15" customHeight="1" x14ac:dyDescent="0.3">
      <c r="A208" s="64" t="s">
        <v>42</v>
      </c>
      <c r="B208" s="65">
        <v>31263</v>
      </c>
      <c r="C208" s="65">
        <v>99058</v>
      </c>
      <c r="D208" s="65">
        <v>171778</v>
      </c>
      <c r="E208" s="65">
        <v>34979</v>
      </c>
      <c r="F208" s="65">
        <f t="shared" si="46"/>
        <v>337078</v>
      </c>
      <c r="G208" s="64" t="s">
        <v>42</v>
      </c>
      <c r="H208" s="65">
        <v>386</v>
      </c>
      <c r="I208" s="65">
        <v>2216</v>
      </c>
      <c r="J208" s="65">
        <v>15706</v>
      </c>
      <c r="K208" s="65">
        <v>3729</v>
      </c>
      <c r="L208" s="65">
        <f t="shared" si="47"/>
        <v>22037</v>
      </c>
    </row>
    <row r="209" spans="1:12" ht="15" customHeight="1" x14ac:dyDescent="0.3">
      <c r="A209" s="64" t="s">
        <v>43</v>
      </c>
      <c r="B209" s="65">
        <v>24485</v>
      </c>
      <c r="C209" s="65">
        <v>71366</v>
      </c>
      <c r="D209" s="65">
        <v>117630</v>
      </c>
      <c r="E209" s="65">
        <v>25702</v>
      </c>
      <c r="F209" s="65">
        <f t="shared" si="46"/>
        <v>239183</v>
      </c>
      <c r="G209" s="64" t="s">
        <v>43</v>
      </c>
      <c r="H209" s="65">
        <v>238</v>
      </c>
      <c r="I209" s="65">
        <v>1274</v>
      </c>
      <c r="J209" s="65">
        <v>11596</v>
      </c>
      <c r="K209" s="65">
        <v>13925</v>
      </c>
      <c r="L209" s="65">
        <f t="shared" si="47"/>
        <v>27033</v>
      </c>
    </row>
    <row r="210" spans="1:12" ht="15" customHeight="1" x14ac:dyDescent="0.3">
      <c r="A210" s="64" t="s">
        <v>44</v>
      </c>
      <c r="B210" s="65">
        <v>5989</v>
      </c>
      <c r="C210" s="65">
        <v>18651</v>
      </c>
      <c r="D210" s="65">
        <v>44923</v>
      </c>
      <c r="E210" s="65">
        <v>5676</v>
      </c>
      <c r="F210" s="65">
        <f t="shared" si="46"/>
        <v>75239</v>
      </c>
      <c r="G210" s="64" t="s">
        <v>44</v>
      </c>
      <c r="H210" s="65">
        <v>118</v>
      </c>
      <c r="I210" s="65">
        <v>898</v>
      </c>
      <c r="J210" s="65">
        <v>9489</v>
      </c>
      <c r="K210" s="65">
        <v>1760</v>
      </c>
      <c r="L210" s="65">
        <f t="shared" si="47"/>
        <v>12265</v>
      </c>
    </row>
    <row r="211" spans="1:12" ht="15" customHeight="1" x14ac:dyDescent="0.3">
      <c r="A211" s="64" t="s">
        <v>45</v>
      </c>
      <c r="B211" s="65">
        <v>0</v>
      </c>
      <c r="C211" s="65">
        <v>0</v>
      </c>
      <c r="D211" s="65">
        <v>761</v>
      </c>
      <c r="E211" s="65">
        <v>0</v>
      </c>
      <c r="F211" s="65">
        <f t="shared" si="46"/>
        <v>761</v>
      </c>
      <c r="G211" s="64" t="s">
        <v>45</v>
      </c>
      <c r="H211" s="65">
        <v>110</v>
      </c>
      <c r="I211" s="65">
        <v>554</v>
      </c>
      <c r="J211" s="65">
        <v>8525</v>
      </c>
      <c r="K211" s="65">
        <v>1312</v>
      </c>
      <c r="L211" s="65">
        <f t="shared" si="47"/>
        <v>10501</v>
      </c>
    </row>
    <row r="212" spans="1:12" ht="15" customHeight="1" x14ac:dyDescent="0.3">
      <c r="A212" s="64" t="s">
        <v>46</v>
      </c>
      <c r="B212" s="65">
        <v>0</v>
      </c>
      <c r="C212" s="65">
        <v>0</v>
      </c>
      <c r="D212" s="65">
        <v>200</v>
      </c>
      <c r="E212" s="65">
        <v>0</v>
      </c>
      <c r="F212" s="65">
        <f t="shared" si="46"/>
        <v>200</v>
      </c>
      <c r="G212" s="64" t="s">
        <v>46</v>
      </c>
      <c r="H212" s="65">
        <v>145</v>
      </c>
      <c r="I212" s="65">
        <v>555</v>
      </c>
      <c r="J212" s="65">
        <v>8570</v>
      </c>
      <c r="K212" s="65">
        <v>1173</v>
      </c>
      <c r="L212" s="65">
        <f t="shared" si="47"/>
        <v>10443</v>
      </c>
    </row>
    <row r="213" spans="1:12" ht="15" customHeight="1" x14ac:dyDescent="0.3">
      <c r="A213" s="175" t="s">
        <v>132</v>
      </c>
      <c r="B213" s="175"/>
      <c r="C213" s="175"/>
      <c r="D213" s="175"/>
      <c r="E213" s="3"/>
      <c r="F213" s="3"/>
      <c r="G213" s="3"/>
      <c r="H213" s="3"/>
      <c r="I213" s="3"/>
      <c r="J213" s="3"/>
      <c r="K213" s="3"/>
      <c r="L213" s="3"/>
    </row>
  </sheetData>
  <mergeCells count="3">
    <mergeCell ref="A3:F3"/>
    <mergeCell ref="G3:L3"/>
    <mergeCell ref="A213:D213"/>
  </mergeCells>
  <printOptions verticalCentered="1"/>
  <pageMargins left="0.70866141732283472" right="0.39370078740157483" top="0.74803149606299213" bottom="0.74803149606299213" header="0.31496062992125984" footer="0.31496062992125984"/>
  <pageSetup paperSize="9" fitToHeight="0" orientation="landscape" r:id="rId1"/>
  <headerFooter>
    <oddFooter>&amp;L&amp;F&amp;C&amp;P / &amp;N&amp;R&amp;A</oddFooter>
  </headerFooter>
  <rowBreaks count="5" manualBreakCount="5">
    <brk id="95" max="11" man="1"/>
    <brk id="121" max="11" man="1"/>
    <brk id="147" max="11" man="1"/>
    <brk id="173" max="11" man="1"/>
    <brk id="199" max="11" man="1"/>
  </rowBreaks>
  <ignoredErrors>
    <ignoredError sqref="L96 F96 L70 F70"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262"/>
  <sheetViews>
    <sheetView showGridLines="0" zoomScaleNormal="100" workbookViewId="0">
      <selection activeCell="D5" sqref="D5:F25"/>
    </sheetView>
  </sheetViews>
  <sheetFormatPr defaultRowHeight="15" customHeight="1" x14ac:dyDescent="0.3"/>
  <cols>
    <col min="1" max="1" width="6.33203125" style="11" bestFit="1" customWidth="1"/>
    <col min="2" max="2" width="15.33203125" style="11" customWidth="1"/>
    <col min="3" max="3" width="9.109375" style="11" customWidth="1"/>
    <col min="4" max="4" width="25.5546875" style="11" customWidth="1"/>
    <col min="5" max="5" width="24.88671875" style="11" bestFit="1" customWidth="1"/>
    <col min="6" max="6" width="18.33203125" style="11" bestFit="1" customWidth="1"/>
    <col min="7" max="16384" width="8.88671875" style="11"/>
  </cols>
  <sheetData>
    <row r="2" spans="1:6" ht="15" customHeight="1" x14ac:dyDescent="0.3">
      <c r="A2" s="199" t="s">
        <v>166</v>
      </c>
      <c r="B2" s="200"/>
      <c r="C2" s="200"/>
      <c r="D2" s="200"/>
      <c r="E2" s="200"/>
      <c r="F2" s="200"/>
    </row>
    <row r="3" spans="1:6" ht="15" customHeight="1" x14ac:dyDescent="0.3">
      <c r="A3" s="106"/>
      <c r="B3" s="107"/>
      <c r="C3" s="108"/>
      <c r="D3" s="109" t="s">
        <v>53</v>
      </c>
      <c r="E3" s="109" t="s">
        <v>54</v>
      </c>
      <c r="F3" s="110" t="s">
        <v>14</v>
      </c>
    </row>
    <row r="4" spans="1:6" ht="20.399999999999999" x14ac:dyDescent="0.3">
      <c r="A4" s="111" t="s">
        <v>16</v>
      </c>
      <c r="B4" s="109" t="s">
        <v>120</v>
      </c>
      <c r="C4" s="112" t="s">
        <v>17</v>
      </c>
      <c r="D4" s="113" t="s">
        <v>15</v>
      </c>
      <c r="E4" s="113" t="s">
        <v>15</v>
      </c>
      <c r="F4" s="114" t="s">
        <v>15</v>
      </c>
    </row>
    <row r="5" spans="1:6" ht="15" customHeight="1" x14ac:dyDescent="0.3">
      <c r="A5" s="191">
        <v>2024</v>
      </c>
      <c r="B5" s="194" t="s">
        <v>4</v>
      </c>
      <c r="C5" s="52" t="s">
        <v>20</v>
      </c>
      <c r="D5" s="53">
        <v>3647</v>
      </c>
      <c r="E5" s="54">
        <v>4138</v>
      </c>
      <c r="F5" s="55">
        <v>7785</v>
      </c>
    </row>
    <row r="6" spans="1:6" ht="15" customHeight="1" x14ac:dyDescent="0.3">
      <c r="A6" s="192"/>
      <c r="B6" s="195"/>
      <c r="C6" s="115" t="s">
        <v>4</v>
      </c>
      <c r="D6" s="116">
        <v>947666</v>
      </c>
      <c r="E6" s="117">
        <v>948261</v>
      </c>
      <c r="F6" s="118">
        <v>1895927</v>
      </c>
    </row>
    <row r="7" spans="1:6" ht="15" customHeight="1" x14ac:dyDescent="0.3">
      <c r="A7" s="192"/>
      <c r="B7" s="195"/>
      <c r="C7" s="52" t="s">
        <v>18</v>
      </c>
      <c r="D7" s="53">
        <v>128117</v>
      </c>
      <c r="E7" s="54">
        <v>132852</v>
      </c>
      <c r="F7" s="55">
        <v>260969</v>
      </c>
    </row>
    <row r="8" spans="1:6" ht="15" customHeight="1" x14ac:dyDescent="0.3">
      <c r="A8" s="192"/>
      <c r="B8" s="195"/>
      <c r="C8" s="115" t="s">
        <v>21</v>
      </c>
      <c r="D8" s="116">
        <v>882</v>
      </c>
      <c r="E8" s="117">
        <v>960</v>
      </c>
      <c r="F8" s="118">
        <v>1842</v>
      </c>
    </row>
    <row r="9" spans="1:6" ht="15" customHeight="1" x14ac:dyDescent="0.3">
      <c r="A9" s="192"/>
      <c r="B9" s="195"/>
      <c r="C9" s="52" t="s">
        <v>22</v>
      </c>
      <c r="D9" s="53">
        <v>2123</v>
      </c>
      <c r="E9" s="54">
        <v>2213</v>
      </c>
      <c r="F9" s="55">
        <v>4336</v>
      </c>
    </row>
    <row r="10" spans="1:6" ht="15" customHeight="1" x14ac:dyDescent="0.3">
      <c r="A10" s="192"/>
      <c r="B10" s="196"/>
      <c r="C10" s="119" t="s">
        <v>19</v>
      </c>
      <c r="D10" s="120">
        <v>128722</v>
      </c>
      <c r="E10" s="121">
        <v>133061</v>
      </c>
      <c r="F10" s="122">
        <v>261783</v>
      </c>
    </row>
    <row r="11" spans="1:6" ht="15" customHeight="1" x14ac:dyDescent="0.3">
      <c r="A11" s="192"/>
      <c r="B11" s="197" t="s">
        <v>5</v>
      </c>
      <c r="C11" s="60" t="s">
        <v>26</v>
      </c>
      <c r="D11" s="61">
        <v>159435</v>
      </c>
      <c r="E11" s="62">
        <v>161590</v>
      </c>
      <c r="F11" s="63">
        <v>321025</v>
      </c>
    </row>
    <row r="12" spans="1:6" ht="15" customHeight="1" x14ac:dyDescent="0.3">
      <c r="A12" s="192"/>
      <c r="B12" s="195"/>
      <c r="C12" s="115" t="s">
        <v>27</v>
      </c>
      <c r="D12" s="116">
        <v>161590</v>
      </c>
      <c r="E12" s="117">
        <v>159435</v>
      </c>
      <c r="F12" s="118">
        <v>321025</v>
      </c>
    </row>
    <row r="13" spans="1:6" ht="15" customHeight="1" x14ac:dyDescent="0.3">
      <c r="A13" s="192"/>
      <c r="B13" s="195"/>
      <c r="C13" s="52" t="s">
        <v>28</v>
      </c>
      <c r="D13" s="53">
        <v>32243</v>
      </c>
      <c r="E13" s="54">
        <v>32378</v>
      </c>
      <c r="F13" s="55">
        <v>64621</v>
      </c>
    </row>
    <row r="14" spans="1:6" ht="15" customHeight="1" x14ac:dyDescent="0.3">
      <c r="A14" s="192"/>
      <c r="B14" s="195"/>
      <c r="C14" s="115" t="s">
        <v>25</v>
      </c>
      <c r="D14" s="116">
        <v>277798</v>
      </c>
      <c r="E14" s="117">
        <v>271208</v>
      </c>
      <c r="F14" s="118">
        <v>549006</v>
      </c>
    </row>
    <row r="15" spans="1:6" ht="15" customHeight="1" x14ac:dyDescent="0.3">
      <c r="A15" s="192"/>
      <c r="B15" s="195"/>
      <c r="C15" s="52" t="s">
        <v>24</v>
      </c>
      <c r="D15" s="53">
        <v>119961</v>
      </c>
      <c r="E15" s="54">
        <v>125456</v>
      </c>
      <c r="F15" s="55">
        <v>245417</v>
      </c>
    </row>
    <row r="16" spans="1:6" ht="15" customHeight="1" x14ac:dyDescent="0.3">
      <c r="A16" s="192"/>
      <c r="B16" s="196"/>
      <c r="C16" s="119" t="s">
        <v>23</v>
      </c>
      <c r="D16" s="120">
        <v>54271</v>
      </c>
      <c r="E16" s="121">
        <v>50406</v>
      </c>
      <c r="F16" s="122">
        <v>104677</v>
      </c>
    </row>
    <row r="17" spans="1:6" ht="15" customHeight="1" x14ac:dyDescent="0.3">
      <c r="A17" s="192"/>
      <c r="B17" s="197" t="s">
        <v>6</v>
      </c>
      <c r="C17" s="115" t="s">
        <v>29</v>
      </c>
      <c r="D17" s="116">
        <v>52199</v>
      </c>
      <c r="E17" s="117">
        <v>56680</v>
      </c>
      <c r="F17" s="118">
        <v>108879</v>
      </c>
    </row>
    <row r="18" spans="1:6" ht="15" customHeight="1" x14ac:dyDescent="0.3">
      <c r="A18" s="192"/>
      <c r="B18" s="195"/>
      <c r="C18" s="52" t="s">
        <v>6</v>
      </c>
      <c r="D18" s="53">
        <v>5418</v>
      </c>
      <c r="E18" s="54">
        <v>4654</v>
      </c>
      <c r="F18" s="55">
        <v>10072</v>
      </c>
    </row>
    <row r="19" spans="1:6" ht="15" customHeight="1" x14ac:dyDescent="0.3">
      <c r="A19" s="192"/>
      <c r="B19" s="195"/>
      <c r="C19" s="115" t="s">
        <v>30</v>
      </c>
      <c r="D19" s="116">
        <v>101631</v>
      </c>
      <c r="E19" s="117">
        <v>107753</v>
      </c>
      <c r="F19" s="118">
        <v>209384</v>
      </c>
    </row>
    <row r="20" spans="1:6" ht="15" customHeight="1" x14ac:dyDescent="0.3">
      <c r="A20" s="192"/>
      <c r="B20" s="196"/>
      <c r="C20" s="56" t="s">
        <v>31</v>
      </c>
      <c r="D20" s="57">
        <v>107446</v>
      </c>
      <c r="E20" s="58">
        <v>101396</v>
      </c>
      <c r="F20" s="59">
        <v>208842</v>
      </c>
    </row>
    <row r="21" spans="1:6" ht="15" customHeight="1" x14ac:dyDescent="0.3">
      <c r="A21" s="192"/>
      <c r="B21" s="197" t="s">
        <v>2</v>
      </c>
      <c r="C21" s="123" t="s">
        <v>2</v>
      </c>
      <c r="D21" s="124">
        <v>561338</v>
      </c>
      <c r="E21" s="125">
        <v>559401</v>
      </c>
      <c r="F21" s="126">
        <v>1120739</v>
      </c>
    </row>
    <row r="22" spans="1:6" ht="15" customHeight="1" x14ac:dyDescent="0.3">
      <c r="A22" s="192"/>
      <c r="B22" s="196"/>
      <c r="C22" s="56" t="s">
        <v>32</v>
      </c>
      <c r="D22" s="57">
        <v>32378</v>
      </c>
      <c r="E22" s="58">
        <v>32243</v>
      </c>
      <c r="F22" s="59">
        <v>64621</v>
      </c>
    </row>
    <row r="23" spans="1:6" ht="15" customHeight="1" x14ac:dyDescent="0.3">
      <c r="A23" s="192"/>
      <c r="B23" s="197" t="s">
        <v>3</v>
      </c>
      <c r="C23" s="123" t="s">
        <v>33</v>
      </c>
      <c r="D23" s="124">
        <v>83973</v>
      </c>
      <c r="E23" s="125">
        <v>79208</v>
      </c>
      <c r="F23" s="126">
        <v>163181</v>
      </c>
    </row>
    <row r="24" spans="1:6" ht="15" customHeight="1" x14ac:dyDescent="0.3">
      <c r="A24" s="192"/>
      <c r="B24" s="196"/>
      <c r="C24" s="56" t="s">
        <v>34</v>
      </c>
      <c r="D24" s="57">
        <v>0</v>
      </c>
      <c r="E24" s="58">
        <v>0</v>
      </c>
      <c r="F24" s="59"/>
    </row>
    <row r="25" spans="1:6" ht="15" customHeight="1" thickBot="1" x14ac:dyDescent="0.35">
      <c r="A25" s="193"/>
      <c r="B25" s="127"/>
      <c r="C25" s="128"/>
      <c r="D25" s="129">
        <v>2960838</v>
      </c>
      <c r="E25" s="130">
        <v>2963293</v>
      </c>
      <c r="F25" s="130">
        <v>5924131</v>
      </c>
    </row>
    <row r="26" spans="1:6" ht="15" customHeight="1" x14ac:dyDescent="0.3">
      <c r="A26" s="191">
        <v>2023</v>
      </c>
      <c r="B26" s="194" t="s">
        <v>4</v>
      </c>
      <c r="C26" s="52" t="s">
        <v>20</v>
      </c>
      <c r="D26" s="53">
        <v>3024</v>
      </c>
      <c r="E26" s="54">
        <v>3712</v>
      </c>
      <c r="F26" s="55">
        <v>6736</v>
      </c>
    </row>
    <row r="27" spans="1:6" ht="15" customHeight="1" x14ac:dyDescent="0.3">
      <c r="A27" s="192"/>
      <c r="B27" s="195"/>
      <c r="C27" s="115" t="s">
        <v>4</v>
      </c>
      <c r="D27" s="116">
        <v>924492</v>
      </c>
      <c r="E27" s="117">
        <v>920705</v>
      </c>
      <c r="F27" s="118">
        <v>1845197</v>
      </c>
    </row>
    <row r="28" spans="1:6" ht="15" customHeight="1" x14ac:dyDescent="0.3">
      <c r="A28" s="192"/>
      <c r="B28" s="195"/>
      <c r="C28" s="52" t="s">
        <v>18</v>
      </c>
      <c r="D28" s="53">
        <v>108195</v>
      </c>
      <c r="E28" s="54">
        <v>103438</v>
      </c>
      <c r="F28" s="55">
        <v>211633</v>
      </c>
    </row>
    <row r="29" spans="1:6" ht="15" customHeight="1" x14ac:dyDescent="0.3">
      <c r="A29" s="192"/>
      <c r="B29" s="195"/>
      <c r="C29" s="115" t="s">
        <v>21</v>
      </c>
      <c r="D29" s="116">
        <v>869</v>
      </c>
      <c r="E29" s="117">
        <v>984</v>
      </c>
      <c r="F29" s="118">
        <v>1853</v>
      </c>
    </row>
    <row r="30" spans="1:6" ht="15" customHeight="1" x14ac:dyDescent="0.3">
      <c r="A30" s="192"/>
      <c r="B30" s="195"/>
      <c r="C30" s="52" t="s">
        <v>22</v>
      </c>
      <c r="D30" s="53">
        <v>1830</v>
      </c>
      <c r="E30" s="54">
        <v>2046</v>
      </c>
      <c r="F30" s="55">
        <v>3876</v>
      </c>
    </row>
    <row r="31" spans="1:6" ht="15" customHeight="1" x14ac:dyDescent="0.3">
      <c r="A31" s="192"/>
      <c r="B31" s="196"/>
      <c r="C31" s="119" t="s">
        <v>19</v>
      </c>
      <c r="D31" s="120">
        <v>108789</v>
      </c>
      <c r="E31" s="121">
        <v>109444</v>
      </c>
      <c r="F31" s="122">
        <v>218233</v>
      </c>
    </row>
    <row r="32" spans="1:6" ht="15" customHeight="1" x14ac:dyDescent="0.3">
      <c r="A32" s="192"/>
      <c r="B32" s="197" t="s">
        <v>5</v>
      </c>
      <c r="C32" s="60" t="s">
        <v>26</v>
      </c>
      <c r="D32" s="61">
        <v>126788</v>
      </c>
      <c r="E32" s="62">
        <v>130088</v>
      </c>
      <c r="F32" s="63">
        <v>256876</v>
      </c>
    </row>
    <row r="33" spans="1:6" ht="15" customHeight="1" x14ac:dyDescent="0.3">
      <c r="A33" s="192"/>
      <c r="B33" s="195"/>
      <c r="C33" s="115" t="s">
        <v>27</v>
      </c>
      <c r="D33" s="116">
        <v>130088</v>
      </c>
      <c r="E33" s="117">
        <v>126788</v>
      </c>
      <c r="F33" s="118">
        <v>256876</v>
      </c>
    </row>
    <row r="34" spans="1:6" ht="15" customHeight="1" x14ac:dyDescent="0.3">
      <c r="A34" s="192"/>
      <c r="B34" s="195"/>
      <c r="C34" s="52" t="s">
        <v>28</v>
      </c>
      <c r="D34" s="53">
        <v>36371</v>
      </c>
      <c r="E34" s="54">
        <v>37719</v>
      </c>
      <c r="F34" s="55">
        <v>74090</v>
      </c>
    </row>
    <row r="35" spans="1:6" ht="15" customHeight="1" x14ac:dyDescent="0.3">
      <c r="A35" s="192"/>
      <c r="B35" s="195"/>
      <c r="C35" s="115" t="s">
        <v>25</v>
      </c>
      <c r="D35" s="116">
        <v>247370</v>
      </c>
      <c r="E35" s="117">
        <v>245194</v>
      </c>
      <c r="F35" s="118">
        <v>492564</v>
      </c>
    </row>
    <row r="36" spans="1:6" ht="15" customHeight="1" x14ac:dyDescent="0.3">
      <c r="A36" s="192"/>
      <c r="B36" s="195"/>
      <c r="C36" s="52" t="s">
        <v>24</v>
      </c>
      <c r="D36" s="53">
        <v>116305</v>
      </c>
      <c r="E36" s="54">
        <v>125938</v>
      </c>
      <c r="F36" s="55">
        <v>242243</v>
      </c>
    </row>
    <row r="37" spans="1:6" ht="15" customHeight="1" x14ac:dyDescent="0.3">
      <c r="A37" s="192"/>
      <c r="B37" s="196"/>
      <c r="C37" s="119" t="s">
        <v>23</v>
      </c>
      <c r="D37" s="120">
        <v>52621</v>
      </c>
      <c r="E37" s="121">
        <v>44534</v>
      </c>
      <c r="F37" s="122">
        <v>97155</v>
      </c>
    </row>
    <row r="38" spans="1:6" ht="15" customHeight="1" x14ac:dyDescent="0.3">
      <c r="A38" s="192"/>
      <c r="B38" s="197" t="s">
        <v>6</v>
      </c>
      <c r="C38" s="115" t="s">
        <v>29</v>
      </c>
      <c r="D38" s="116">
        <v>43770</v>
      </c>
      <c r="E38" s="117">
        <v>50382</v>
      </c>
      <c r="F38" s="118">
        <v>94152</v>
      </c>
    </row>
    <row r="39" spans="1:6" ht="15" customHeight="1" x14ac:dyDescent="0.3">
      <c r="A39" s="192"/>
      <c r="B39" s="195"/>
      <c r="C39" s="52" t="s">
        <v>6</v>
      </c>
      <c r="D39" s="53">
        <v>3748</v>
      </c>
      <c r="E39" s="54">
        <v>3492</v>
      </c>
      <c r="F39" s="55">
        <v>7240</v>
      </c>
    </row>
    <row r="40" spans="1:6" ht="15" customHeight="1" x14ac:dyDescent="0.3">
      <c r="A40" s="192"/>
      <c r="B40" s="195"/>
      <c r="C40" s="115" t="s">
        <v>30</v>
      </c>
      <c r="D40" s="116">
        <v>82970</v>
      </c>
      <c r="E40" s="117">
        <v>88099</v>
      </c>
      <c r="F40" s="118">
        <v>171069</v>
      </c>
    </row>
    <row r="41" spans="1:6" ht="15" customHeight="1" x14ac:dyDescent="0.3">
      <c r="A41" s="192"/>
      <c r="B41" s="196"/>
      <c r="C41" s="56" t="s">
        <v>31</v>
      </c>
      <c r="D41" s="57">
        <v>88468</v>
      </c>
      <c r="E41" s="58">
        <v>83660</v>
      </c>
      <c r="F41" s="59">
        <v>172128</v>
      </c>
    </row>
    <row r="42" spans="1:6" ht="15" customHeight="1" x14ac:dyDescent="0.3">
      <c r="A42" s="192"/>
      <c r="B42" s="197" t="s">
        <v>2</v>
      </c>
      <c r="C42" s="123" t="s">
        <v>2</v>
      </c>
      <c r="D42" s="124">
        <v>530845</v>
      </c>
      <c r="E42" s="125">
        <v>535947</v>
      </c>
      <c r="F42" s="126">
        <v>1066792</v>
      </c>
    </row>
    <row r="43" spans="1:6" ht="15" customHeight="1" x14ac:dyDescent="0.3">
      <c r="A43" s="192"/>
      <c r="B43" s="196"/>
      <c r="C43" s="56" t="s">
        <v>32</v>
      </c>
      <c r="D43" s="57">
        <v>37719</v>
      </c>
      <c r="E43" s="58">
        <v>36371</v>
      </c>
      <c r="F43" s="59">
        <v>74090</v>
      </c>
    </row>
    <row r="44" spans="1:6" ht="15" customHeight="1" x14ac:dyDescent="0.3">
      <c r="A44" s="192"/>
      <c r="B44" s="197" t="s">
        <v>3</v>
      </c>
      <c r="C44" s="123" t="s">
        <v>33</v>
      </c>
      <c r="D44" s="124">
        <v>69105</v>
      </c>
      <c r="E44" s="125">
        <v>62122</v>
      </c>
      <c r="F44" s="126">
        <v>131227</v>
      </c>
    </row>
    <row r="45" spans="1:6" ht="15" customHeight="1" x14ac:dyDescent="0.3">
      <c r="A45" s="192"/>
      <c r="B45" s="196"/>
      <c r="C45" s="56" t="s">
        <v>34</v>
      </c>
      <c r="D45" s="57">
        <v>1748</v>
      </c>
      <c r="E45" s="58">
        <v>1525</v>
      </c>
      <c r="F45" s="59">
        <v>3273</v>
      </c>
    </row>
    <row r="46" spans="1:6" ht="15" customHeight="1" thickBot="1" x14ac:dyDescent="0.35">
      <c r="A46" s="193"/>
      <c r="B46" s="127" t="s">
        <v>133</v>
      </c>
      <c r="C46" s="128"/>
      <c r="D46" s="129">
        <v>2715115</v>
      </c>
      <c r="E46" s="130">
        <v>2712188</v>
      </c>
      <c r="F46" s="130">
        <v>5427303</v>
      </c>
    </row>
    <row r="47" spans="1:6" ht="15" customHeight="1" x14ac:dyDescent="0.3">
      <c r="A47" s="191">
        <v>2022</v>
      </c>
      <c r="B47" s="194" t="s">
        <v>4</v>
      </c>
      <c r="C47" s="52" t="s">
        <v>20</v>
      </c>
      <c r="D47" s="53">
        <v>3414</v>
      </c>
      <c r="E47" s="54">
        <v>3701</v>
      </c>
      <c r="F47" s="55">
        <v>7115</v>
      </c>
    </row>
    <row r="48" spans="1:6" ht="15" customHeight="1" x14ac:dyDescent="0.3">
      <c r="A48" s="192"/>
      <c r="B48" s="195"/>
      <c r="C48" s="115" t="s">
        <v>4</v>
      </c>
      <c r="D48" s="116">
        <v>741892</v>
      </c>
      <c r="E48" s="117">
        <v>741788</v>
      </c>
      <c r="F48" s="118">
        <v>1483680</v>
      </c>
    </row>
    <row r="49" spans="1:6" ht="15" customHeight="1" x14ac:dyDescent="0.3">
      <c r="A49" s="192"/>
      <c r="B49" s="195"/>
      <c r="C49" s="52" t="s">
        <v>18</v>
      </c>
      <c r="D49" s="53">
        <v>103205</v>
      </c>
      <c r="E49" s="54">
        <v>108238</v>
      </c>
      <c r="F49" s="55">
        <v>211443</v>
      </c>
    </row>
    <row r="50" spans="1:6" ht="15" customHeight="1" x14ac:dyDescent="0.3">
      <c r="A50" s="192"/>
      <c r="B50" s="195"/>
      <c r="C50" s="115" t="s">
        <v>21</v>
      </c>
      <c r="D50" s="116">
        <v>1009</v>
      </c>
      <c r="E50" s="117">
        <v>1084</v>
      </c>
      <c r="F50" s="118">
        <v>2093</v>
      </c>
    </row>
    <row r="51" spans="1:6" ht="15" customHeight="1" x14ac:dyDescent="0.3">
      <c r="A51" s="192"/>
      <c r="B51" s="195"/>
      <c r="C51" s="52" t="s">
        <v>22</v>
      </c>
      <c r="D51" s="53">
        <v>2031</v>
      </c>
      <c r="E51" s="54">
        <v>2052</v>
      </c>
      <c r="F51" s="55">
        <v>4083</v>
      </c>
    </row>
    <row r="52" spans="1:6" ht="15" customHeight="1" x14ac:dyDescent="0.3">
      <c r="A52" s="192"/>
      <c r="B52" s="196"/>
      <c r="C52" s="119" t="s">
        <v>19</v>
      </c>
      <c r="D52" s="120">
        <v>77875</v>
      </c>
      <c r="E52" s="121">
        <v>79187</v>
      </c>
      <c r="F52" s="122">
        <v>157062</v>
      </c>
    </row>
    <row r="53" spans="1:6" ht="15" customHeight="1" x14ac:dyDescent="0.3">
      <c r="A53" s="192"/>
      <c r="B53" s="197" t="s">
        <v>5</v>
      </c>
      <c r="C53" s="60" t="s">
        <v>26</v>
      </c>
      <c r="D53" s="61">
        <v>120832</v>
      </c>
      <c r="E53" s="62">
        <v>124773</v>
      </c>
      <c r="F53" s="63">
        <v>245605</v>
      </c>
    </row>
    <row r="54" spans="1:6" ht="15" customHeight="1" x14ac:dyDescent="0.3">
      <c r="A54" s="192"/>
      <c r="B54" s="195"/>
      <c r="C54" s="115" t="s">
        <v>27</v>
      </c>
      <c r="D54" s="116">
        <v>124773</v>
      </c>
      <c r="E54" s="117">
        <v>120832</v>
      </c>
      <c r="F54" s="118">
        <v>245605</v>
      </c>
    </row>
    <row r="55" spans="1:6" ht="15" customHeight="1" x14ac:dyDescent="0.3">
      <c r="A55" s="192"/>
      <c r="B55" s="195"/>
      <c r="C55" s="52" t="s">
        <v>28</v>
      </c>
      <c r="D55" s="53">
        <v>36656</v>
      </c>
      <c r="E55" s="54">
        <v>32423</v>
      </c>
      <c r="F55" s="55">
        <v>69079</v>
      </c>
    </row>
    <row r="56" spans="1:6" ht="15" customHeight="1" x14ac:dyDescent="0.3">
      <c r="A56" s="192"/>
      <c r="B56" s="195"/>
      <c r="C56" s="115" t="s">
        <v>25</v>
      </c>
      <c r="D56" s="116">
        <v>223106</v>
      </c>
      <c r="E56" s="117">
        <v>227728</v>
      </c>
      <c r="F56" s="118">
        <v>450834</v>
      </c>
    </row>
    <row r="57" spans="1:6" ht="15" customHeight="1" x14ac:dyDescent="0.3">
      <c r="A57" s="192"/>
      <c r="B57" s="195"/>
      <c r="C57" s="52" t="s">
        <v>24</v>
      </c>
      <c r="D57" s="53">
        <v>129013</v>
      </c>
      <c r="E57" s="54">
        <v>133204</v>
      </c>
      <c r="F57" s="55">
        <v>262217</v>
      </c>
    </row>
    <row r="58" spans="1:6" ht="15" customHeight="1" x14ac:dyDescent="0.3">
      <c r="A58" s="192"/>
      <c r="B58" s="196"/>
      <c r="C58" s="119" t="s">
        <v>23</v>
      </c>
      <c r="D58" s="120">
        <v>45411</v>
      </c>
      <c r="E58" s="121">
        <v>41539</v>
      </c>
      <c r="F58" s="122">
        <v>86950</v>
      </c>
    </row>
    <row r="59" spans="1:6" ht="15" customHeight="1" x14ac:dyDescent="0.3">
      <c r="A59" s="192"/>
      <c r="B59" s="197" t="s">
        <v>6</v>
      </c>
      <c r="C59" s="115" t="s">
        <v>29</v>
      </c>
      <c r="D59" s="116">
        <v>16219</v>
      </c>
      <c r="E59" s="117">
        <v>18851</v>
      </c>
      <c r="F59" s="118">
        <v>35070</v>
      </c>
    </row>
    <row r="60" spans="1:6" ht="15" customHeight="1" x14ac:dyDescent="0.3">
      <c r="A60" s="192"/>
      <c r="B60" s="195"/>
      <c r="C60" s="52" t="s">
        <v>6</v>
      </c>
      <c r="D60" s="53">
        <v>1543</v>
      </c>
      <c r="E60" s="54">
        <v>1484</v>
      </c>
      <c r="F60" s="55">
        <v>3027</v>
      </c>
    </row>
    <row r="61" spans="1:6" ht="15" customHeight="1" x14ac:dyDescent="0.3">
      <c r="A61" s="192"/>
      <c r="B61" s="195"/>
      <c r="C61" s="115" t="s">
        <v>30</v>
      </c>
      <c r="D61" s="116">
        <v>72986</v>
      </c>
      <c r="E61" s="117">
        <v>73832</v>
      </c>
      <c r="F61" s="118">
        <v>146818</v>
      </c>
    </row>
    <row r="62" spans="1:6" ht="15" customHeight="1" x14ac:dyDescent="0.3">
      <c r="A62" s="192"/>
      <c r="B62" s="196"/>
      <c r="C62" s="56" t="s">
        <v>31</v>
      </c>
      <c r="D62" s="57">
        <v>102589</v>
      </c>
      <c r="E62" s="58">
        <v>103162</v>
      </c>
      <c r="F62" s="59">
        <v>205751</v>
      </c>
    </row>
    <row r="63" spans="1:6" ht="15" customHeight="1" x14ac:dyDescent="0.3">
      <c r="A63" s="192"/>
      <c r="B63" s="197" t="s">
        <v>2</v>
      </c>
      <c r="C63" s="123" t="s">
        <v>2</v>
      </c>
      <c r="D63" s="124">
        <v>454054</v>
      </c>
      <c r="E63" s="125">
        <v>449764</v>
      </c>
      <c r="F63" s="126">
        <v>903818</v>
      </c>
    </row>
    <row r="64" spans="1:6" ht="15" customHeight="1" x14ac:dyDescent="0.3">
      <c r="A64" s="192"/>
      <c r="B64" s="196"/>
      <c r="C64" s="56" t="s">
        <v>32</v>
      </c>
      <c r="D64" s="57">
        <v>32423</v>
      </c>
      <c r="E64" s="58">
        <v>36656</v>
      </c>
      <c r="F64" s="59">
        <v>69079</v>
      </c>
    </row>
    <row r="65" spans="1:6" ht="15" customHeight="1" x14ac:dyDescent="0.3">
      <c r="A65" s="192"/>
      <c r="B65" s="197" t="s">
        <v>3</v>
      </c>
      <c r="C65" s="123" t="s">
        <v>33</v>
      </c>
      <c r="D65" s="124">
        <v>73329</v>
      </c>
      <c r="E65" s="125">
        <v>70616</v>
      </c>
      <c r="F65" s="126">
        <v>143945</v>
      </c>
    </row>
    <row r="66" spans="1:6" ht="15" customHeight="1" x14ac:dyDescent="0.3">
      <c r="A66" s="192"/>
      <c r="B66" s="196"/>
      <c r="C66" s="56" t="s">
        <v>34</v>
      </c>
      <c r="D66" s="57">
        <v>15759</v>
      </c>
      <c r="E66" s="58">
        <v>14860</v>
      </c>
      <c r="F66" s="59">
        <v>30619</v>
      </c>
    </row>
    <row r="67" spans="1:6" ht="15" customHeight="1" thickBot="1" x14ac:dyDescent="0.35">
      <c r="A67" s="193"/>
      <c r="B67" s="127" t="s">
        <v>133</v>
      </c>
      <c r="C67" s="128"/>
      <c r="D67" s="129">
        <v>2378119</v>
      </c>
      <c r="E67" s="130">
        <v>2385774</v>
      </c>
      <c r="F67" s="130">
        <v>4763893</v>
      </c>
    </row>
    <row r="68" spans="1:6" ht="15" customHeight="1" x14ac:dyDescent="0.3">
      <c r="A68" s="191">
        <v>2021</v>
      </c>
      <c r="B68" s="194" t="s">
        <v>4</v>
      </c>
      <c r="C68" s="52" t="s">
        <v>4</v>
      </c>
      <c r="D68" s="53">
        <v>500762</v>
      </c>
      <c r="E68" s="54">
        <v>501254</v>
      </c>
      <c r="F68" s="55">
        <v>1002016</v>
      </c>
    </row>
    <row r="69" spans="1:6" ht="15" customHeight="1" x14ac:dyDescent="0.3">
      <c r="A69" s="192"/>
      <c r="B69" s="195"/>
      <c r="C69" s="115" t="s">
        <v>18</v>
      </c>
      <c r="D69" s="116">
        <v>73225</v>
      </c>
      <c r="E69" s="117">
        <v>74273</v>
      </c>
      <c r="F69" s="118">
        <v>147498</v>
      </c>
    </row>
    <row r="70" spans="1:6" ht="15" customHeight="1" x14ac:dyDescent="0.3">
      <c r="A70" s="192"/>
      <c r="B70" s="195"/>
      <c r="C70" s="52" t="s">
        <v>19</v>
      </c>
      <c r="D70" s="53">
        <v>65763</v>
      </c>
      <c r="E70" s="54">
        <v>64799</v>
      </c>
      <c r="F70" s="55">
        <v>130562</v>
      </c>
    </row>
    <row r="71" spans="1:6" ht="15" customHeight="1" x14ac:dyDescent="0.3">
      <c r="A71" s="192"/>
      <c r="B71" s="195"/>
      <c r="C71" s="115" t="s">
        <v>20</v>
      </c>
      <c r="D71" s="116">
        <v>2432</v>
      </c>
      <c r="E71" s="117">
        <v>2684</v>
      </c>
      <c r="F71" s="118">
        <v>5116</v>
      </c>
    </row>
    <row r="72" spans="1:6" ht="15" customHeight="1" x14ac:dyDescent="0.3">
      <c r="A72" s="192"/>
      <c r="B72" s="195"/>
      <c r="C72" s="52" t="s">
        <v>21</v>
      </c>
      <c r="D72" s="53">
        <v>912</v>
      </c>
      <c r="E72" s="54">
        <v>938</v>
      </c>
      <c r="F72" s="55">
        <v>1850</v>
      </c>
    </row>
    <row r="73" spans="1:6" ht="15" customHeight="1" x14ac:dyDescent="0.3">
      <c r="A73" s="192"/>
      <c r="B73" s="196"/>
      <c r="C73" s="119" t="s">
        <v>22</v>
      </c>
      <c r="D73" s="120">
        <v>1706</v>
      </c>
      <c r="E73" s="121">
        <v>1886</v>
      </c>
      <c r="F73" s="122">
        <v>3592</v>
      </c>
    </row>
    <row r="74" spans="1:6" ht="15" customHeight="1" x14ac:dyDescent="0.3">
      <c r="A74" s="192"/>
      <c r="B74" s="197" t="s">
        <v>5</v>
      </c>
      <c r="C74" s="60" t="s">
        <v>23</v>
      </c>
      <c r="D74" s="61">
        <v>37707</v>
      </c>
      <c r="E74" s="62">
        <v>33439</v>
      </c>
      <c r="F74" s="63">
        <v>71146</v>
      </c>
    </row>
    <row r="75" spans="1:6" ht="15" customHeight="1" x14ac:dyDescent="0.3">
      <c r="A75" s="192"/>
      <c r="B75" s="195"/>
      <c r="C75" s="115" t="s">
        <v>24</v>
      </c>
      <c r="D75" s="116">
        <v>85057</v>
      </c>
      <c r="E75" s="117">
        <v>88567</v>
      </c>
      <c r="F75" s="118">
        <v>173624</v>
      </c>
    </row>
    <row r="76" spans="1:6" ht="15" customHeight="1" x14ac:dyDescent="0.3">
      <c r="A76" s="192"/>
      <c r="B76" s="195"/>
      <c r="C76" s="52" t="s">
        <v>25</v>
      </c>
      <c r="D76" s="53">
        <v>183701</v>
      </c>
      <c r="E76" s="54">
        <v>180953</v>
      </c>
      <c r="F76" s="55">
        <v>364654</v>
      </c>
    </row>
    <row r="77" spans="1:6" ht="15" customHeight="1" x14ac:dyDescent="0.3">
      <c r="A77" s="192"/>
      <c r="B77" s="195"/>
      <c r="C77" s="115" t="s">
        <v>26</v>
      </c>
      <c r="D77" s="116">
        <v>80685</v>
      </c>
      <c r="E77" s="117">
        <v>81505</v>
      </c>
      <c r="F77" s="118">
        <v>162190</v>
      </c>
    </row>
    <row r="78" spans="1:6" ht="15" customHeight="1" x14ac:dyDescent="0.3">
      <c r="A78" s="192"/>
      <c r="B78" s="195"/>
      <c r="C78" s="52" t="s">
        <v>27</v>
      </c>
      <c r="D78" s="53">
        <v>81505</v>
      </c>
      <c r="E78" s="54">
        <v>80685</v>
      </c>
      <c r="F78" s="55">
        <v>162190</v>
      </c>
    </row>
    <row r="79" spans="1:6" ht="15" customHeight="1" x14ac:dyDescent="0.3">
      <c r="A79" s="192"/>
      <c r="B79" s="196"/>
      <c r="C79" s="119" t="s">
        <v>28</v>
      </c>
      <c r="D79" s="120">
        <v>23777</v>
      </c>
      <c r="E79" s="121">
        <v>24523</v>
      </c>
      <c r="F79" s="122">
        <v>48300</v>
      </c>
    </row>
    <row r="80" spans="1:6" ht="15" customHeight="1" x14ac:dyDescent="0.3">
      <c r="A80" s="192"/>
      <c r="B80" s="197" t="s">
        <v>6</v>
      </c>
      <c r="C80" s="52" t="s">
        <v>30</v>
      </c>
      <c r="D80" s="53">
        <v>50555</v>
      </c>
      <c r="E80" s="54">
        <v>53048</v>
      </c>
      <c r="F80" s="55">
        <v>103603</v>
      </c>
    </row>
    <row r="81" spans="1:6" ht="15" customHeight="1" x14ac:dyDescent="0.3">
      <c r="A81" s="192"/>
      <c r="B81" s="195"/>
      <c r="C81" s="115" t="s">
        <v>6</v>
      </c>
      <c r="D81" s="116">
        <v>774</v>
      </c>
      <c r="E81" s="117">
        <v>829</v>
      </c>
      <c r="F81" s="118">
        <v>1603</v>
      </c>
    </row>
    <row r="82" spans="1:6" ht="15" customHeight="1" x14ac:dyDescent="0.3">
      <c r="A82" s="192"/>
      <c r="B82" s="196"/>
      <c r="C82" s="56" t="s">
        <v>31</v>
      </c>
      <c r="D82" s="57">
        <v>87754</v>
      </c>
      <c r="E82" s="58">
        <v>89632</v>
      </c>
      <c r="F82" s="59">
        <v>177386</v>
      </c>
    </row>
    <row r="83" spans="1:6" ht="15" customHeight="1" x14ac:dyDescent="0.3">
      <c r="A83" s="192"/>
      <c r="B83" s="197" t="s">
        <v>2</v>
      </c>
      <c r="C83" s="123" t="s">
        <v>2</v>
      </c>
      <c r="D83" s="124">
        <v>334301</v>
      </c>
      <c r="E83" s="125">
        <v>338490</v>
      </c>
      <c r="F83" s="126">
        <v>672791</v>
      </c>
    </row>
    <row r="84" spans="1:6" ht="15" customHeight="1" x14ac:dyDescent="0.3">
      <c r="A84" s="192"/>
      <c r="B84" s="196"/>
      <c r="C84" s="56" t="s">
        <v>32</v>
      </c>
      <c r="D84" s="57">
        <v>24523</v>
      </c>
      <c r="E84" s="58">
        <v>23777</v>
      </c>
      <c r="F84" s="59">
        <v>48300</v>
      </c>
    </row>
    <row r="85" spans="1:6" ht="15" customHeight="1" x14ac:dyDescent="0.3">
      <c r="A85" s="192"/>
      <c r="B85" s="197" t="s">
        <v>3</v>
      </c>
      <c r="C85" s="123" t="s">
        <v>33</v>
      </c>
      <c r="D85" s="124">
        <v>56505</v>
      </c>
      <c r="E85" s="125">
        <v>54970</v>
      </c>
      <c r="F85" s="126">
        <v>111475</v>
      </c>
    </row>
    <row r="86" spans="1:6" ht="15" customHeight="1" x14ac:dyDescent="0.3">
      <c r="A86" s="192"/>
      <c r="B86" s="196"/>
      <c r="C86" s="56" t="s">
        <v>34</v>
      </c>
      <c r="D86" s="57">
        <v>0</v>
      </c>
      <c r="E86" s="58">
        <v>0</v>
      </c>
      <c r="F86" s="59">
        <v>0</v>
      </c>
    </row>
    <row r="87" spans="1:6" ht="15" customHeight="1" thickBot="1" x14ac:dyDescent="0.35">
      <c r="A87" s="193"/>
      <c r="B87" s="127" t="s">
        <v>133</v>
      </c>
      <c r="C87" s="128"/>
      <c r="D87" s="129">
        <v>1691644</v>
      </c>
      <c r="E87" s="130">
        <v>1696252</v>
      </c>
      <c r="F87" s="130">
        <v>3387896</v>
      </c>
    </row>
    <row r="88" spans="1:6" ht="15" customHeight="1" x14ac:dyDescent="0.3">
      <c r="A88" s="191">
        <v>2020</v>
      </c>
      <c r="B88" s="194" t="s">
        <v>4</v>
      </c>
      <c r="C88" s="52" t="s">
        <v>4</v>
      </c>
      <c r="D88" s="53">
        <v>349549</v>
      </c>
      <c r="E88" s="54">
        <v>340989</v>
      </c>
      <c r="F88" s="55">
        <f>SUM(D88:E88)</f>
        <v>690538</v>
      </c>
    </row>
    <row r="89" spans="1:6" ht="15" customHeight="1" x14ac:dyDescent="0.3">
      <c r="A89" s="192"/>
      <c r="B89" s="195"/>
      <c r="C89" s="115" t="s">
        <v>18</v>
      </c>
      <c r="D89" s="116">
        <v>59675</v>
      </c>
      <c r="E89" s="117">
        <v>56782</v>
      </c>
      <c r="F89" s="118">
        <f t="shared" ref="F89:F106" si="0">SUM(D89:E89)</f>
        <v>116457</v>
      </c>
    </row>
    <row r="90" spans="1:6" ht="15" customHeight="1" x14ac:dyDescent="0.3">
      <c r="A90" s="192"/>
      <c r="B90" s="195"/>
      <c r="C90" s="52" t="s">
        <v>19</v>
      </c>
      <c r="D90" s="53">
        <v>44604</v>
      </c>
      <c r="E90" s="54">
        <v>44147</v>
      </c>
      <c r="F90" s="55">
        <f t="shared" si="0"/>
        <v>88751</v>
      </c>
    </row>
    <row r="91" spans="1:6" ht="15" customHeight="1" x14ac:dyDescent="0.3">
      <c r="A91" s="192"/>
      <c r="B91" s="195"/>
      <c r="C91" s="115" t="s">
        <v>20</v>
      </c>
      <c r="D91" s="116">
        <v>1863</v>
      </c>
      <c r="E91" s="117">
        <v>2054</v>
      </c>
      <c r="F91" s="118">
        <f t="shared" si="0"/>
        <v>3917</v>
      </c>
    </row>
    <row r="92" spans="1:6" ht="15" customHeight="1" x14ac:dyDescent="0.3">
      <c r="A92" s="192"/>
      <c r="B92" s="195"/>
      <c r="C92" s="52" t="s">
        <v>21</v>
      </c>
      <c r="D92" s="53">
        <v>625</v>
      </c>
      <c r="E92" s="54">
        <v>562</v>
      </c>
      <c r="F92" s="55">
        <f t="shared" si="0"/>
        <v>1187</v>
      </c>
    </row>
    <row r="93" spans="1:6" ht="15" customHeight="1" x14ac:dyDescent="0.3">
      <c r="A93" s="192"/>
      <c r="B93" s="196"/>
      <c r="C93" s="119" t="s">
        <v>22</v>
      </c>
      <c r="D93" s="120">
        <v>1285</v>
      </c>
      <c r="E93" s="121">
        <v>1111</v>
      </c>
      <c r="F93" s="122">
        <f t="shared" si="0"/>
        <v>2396</v>
      </c>
    </row>
    <row r="94" spans="1:6" ht="15" customHeight="1" x14ac:dyDescent="0.3">
      <c r="A94" s="192"/>
      <c r="B94" s="197" t="s">
        <v>5</v>
      </c>
      <c r="C94" s="60" t="s">
        <v>23</v>
      </c>
      <c r="D94" s="61">
        <v>15671</v>
      </c>
      <c r="E94" s="62">
        <v>14268</v>
      </c>
      <c r="F94" s="63">
        <f t="shared" si="0"/>
        <v>29939</v>
      </c>
    </row>
    <row r="95" spans="1:6" ht="15" customHeight="1" x14ac:dyDescent="0.3">
      <c r="A95" s="192"/>
      <c r="B95" s="195"/>
      <c r="C95" s="115" t="s">
        <v>24</v>
      </c>
      <c r="D95" s="116">
        <v>70664</v>
      </c>
      <c r="E95" s="117">
        <v>73263</v>
      </c>
      <c r="F95" s="118">
        <f t="shared" si="0"/>
        <v>143927</v>
      </c>
    </row>
    <row r="96" spans="1:6" ht="15" customHeight="1" x14ac:dyDescent="0.3">
      <c r="A96" s="192"/>
      <c r="B96" s="195"/>
      <c r="C96" s="52" t="s">
        <v>25</v>
      </c>
      <c r="D96" s="53">
        <v>151911</v>
      </c>
      <c r="E96" s="54">
        <v>147600</v>
      </c>
      <c r="F96" s="55">
        <f t="shared" si="0"/>
        <v>299511</v>
      </c>
    </row>
    <row r="97" spans="1:6" ht="15" customHeight="1" x14ac:dyDescent="0.3">
      <c r="A97" s="192"/>
      <c r="B97" s="195"/>
      <c r="C97" s="115" t="s">
        <v>26</v>
      </c>
      <c r="D97" s="116">
        <v>92850</v>
      </c>
      <c r="E97" s="117">
        <v>98547</v>
      </c>
      <c r="F97" s="118">
        <f t="shared" si="0"/>
        <v>191397</v>
      </c>
    </row>
    <row r="98" spans="1:6" ht="15" customHeight="1" x14ac:dyDescent="0.3">
      <c r="A98" s="192"/>
      <c r="B98" s="195"/>
      <c r="C98" s="52" t="s">
        <v>27</v>
      </c>
      <c r="D98" s="53">
        <v>98547</v>
      </c>
      <c r="E98" s="54">
        <v>92850</v>
      </c>
      <c r="F98" s="55">
        <f t="shared" si="0"/>
        <v>191397</v>
      </c>
    </row>
    <row r="99" spans="1:6" ht="15" customHeight="1" x14ac:dyDescent="0.3">
      <c r="A99" s="192"/>
      <c r="B99" s="196"/>
      <c r="C99" s="119" t="s">
        <v>28</v>
      </c>
      <c r="D99" s="120">
        <v>11924</v>
      </c>
      <c r="E99" s="121">
        <v>11727</v>
      </c>
      <c r="F99" s="122">
        <f t="shared" si="0"/>
        <v>23651</v>
      </c>
    </row>
    <row r="100" spans="1:6" ht="15" customHeight="1" x14ac:dyDescent="0.3">
      <c r="A100" s="192"/>
      <c r="B100" s="197" t="s">
        <v>6</v>
      </c>
      <c r="C100" s="52" t="s">
        <v>30</v>
      </c>
      <c r="D100" s="53">
        <v>39816</v>
      </c>
      <c r="E100" s="54">
        <v>39858</v>
      </c>
      <c r="F100" s="55">
        <f t="shared" si="0"/>
        <v>79674</v>
      </c>
    </row>
    <row r="101" spans="1:6" ht="15" customHeight="1" x14ac:dyDescent="0.3">
      <c r="A101" s="192"/>
      <c r="B101" s="195"/>
      <c r="C101" s="115" t="s">
        <v>6</v>
      </c>
      <c r="D101" s="116">
        <v>620</v>
      </c>
      <c r="E101" s="117">
        <v>589</v>
      </c>
      <c r="F101" s="118">
        <f t="shared" si="0"/>
        <v>1209</v>
      </c>
    </row>
    <row r="102" spans="1:6" ht="15" customHeight="1" x14ac:dyDescent="0.3">
      <c r="A102" s="192"/>
      <c r="B102" s="196"/>
      <c r="C102" s="56" t="s">
        <v>31</v>
      </c>
      <c r="D102" s="57">
        <v>56915</v>
      </c>
      <c r="E102" s="58">
        <v>58039</v>
      </c>
      <c r="F102" s="59">
        <f t="shared" si="0"/>
        <v>114954</v>
      </c>
    </row>
    <row r="103" spans="1:6" ht="15" customHeight="1" x14ac:dyDescent="0.3">
      <c r="A103" s="192"/>
      <c r="B103" s="197" t="s">
        <v>2</v>
      </c>
      <c r="C103" s="123" t="s">
        <v>2</v>
      </c>
      <c r="D103" s="124">
        <v>245629</v>
      </c>
      <c r="E103" s="125">
        <v>241673</v>
      </c>
      <c r="F103" s="126">
        <f t="shared" si="0"/>
        <v>487302</v>
      </c>
    </row>
    <row r="104" spans="1:6" ht="15" customHeight="1" x14ac:dyDescent="0.3">
      <c r="A104" s="192"/>
      <c r="B104" s="196"/>
      <c r="C104" s="56" t="s">
        <v>32</v>
      </c>
      <c r="D104" s="57">
        <v>11727</v>
      </c>
      <c r="E104" s="58">
        <v>11924</v>
      </c>
      <c r="F104" s="59">
        <f t="shared" si="0"/>
        <v>23651</v>
      </c>
    </row>
    <row r="105" spans="1:6" ht="15" customHeight="1" x14ac:dyDescent="0.3">
      <c r="A105" s="192"/>
      <c r="B105" s="197" t="s">
        <v>3</v>
      </c>
      <c r="C105" s="123" t="s">
        <v>33</v>
      </c>
      <c r="D105" s="124">
        <v>41379</v>
      </c>
      <c r="E105" s="125">
        <v>38121</v>
      </c>
      <c r="F105" s="126">
        <f t="shared" si="0"/>
        <v>79500</v>
      </c>
    </row>
    <row r="106" spans="1:6" ht="15" customHeight="1" x14ac:dyDescent="0.3">
      <c r="A106" s="192"/>
      <c r="B106" s="196"/>
      <c r="C106" s="56" t="s">
        <v>34</v>
      </c>
      <c r="D106" s="57">
        <v>3962</v>
      </c>
      <c r="E106" s="58">
        <v>3947</v>
      </c>
      <c r="F106" s="59">
        <f t="shared" si="0"/>
        <v>7909</v>
      </c>
    </row>
    <row r="107" spans="1:6" ht="15" customHeight="1" thickBot="1" x14ac:dyDescent="0.35">
      <c r="A107" s="193"/>
      <c r="B107" s="127" t="s">
        <v>133</v>
      </c>
      <c r="C107" s="128"/>
      <c r="D107" s="129">
        <f>SUM(D88:D106)</f>
        <v>1299216</v>
      </c>
      <c r="E107" s="130">
        <f>SUM(E88:E106)</f>
        <v>1278051</v>
      </c>
      <c r="F107" s="130">
        <f>SUM(F88:F106)</f>
        <v>2577267</v>
      </c>
    </row>
    <row r="108" spans="1:6" ht="15" customHeight="1" x14ac:dyDescent="0.3">
      <c r="A108" s="191">
        <v>2019</v>
      </c>
      <c r="B108" s="198" t="s">
        <v>4</v>
      </c>
      <c r="C108" s="52" t="s">
        <v>4</v>
      </c>
      <c r="D108" s="53">
        <v>761204</v>
      </c>
      <c r="E108" s="54">
        <v>756007</v>
      </c>
      <c r="F108" s="55">
        <v>1517211</v>
      </c>
    </row>
    <row r="109" spans="1:6" ht="15" customHeight="1" x14ac:dyDescent="0.3">
      <c r="A109" s="192"/>
      <c r="B109" s="195"/>
      <c r="C109" s="115" t="s">
        <v>18</v>
      </c>
      <c r="D109" s="116">
        <v>124045</v>
      </c>
      <c r="E109" s="117">
        <v>124425</v>
      </c>
      <c r="F109" s="118">
        <v>248470</v>
      </c>
    </row>
    <row r="110" spans="1:6" ht="15" customHeight="1" x14ac:dyDescent="0.3">
      <c r="A110" s="192"/>
      <c r="B110" s="195"/>
      <c r="C110" s="52" t="s">
        <v>19</v>
      </c>
      <c r="D110" s="53">
        <v>74040</v>
      </c>
      <c r="E110" s="54">
        <v>79925</v>
      </c>
      <c r="F110" s="55">
        <v>153965</v>
      </c>
    </row>
    <row r="111" spans="1:6" ht="15" customHeight="1" x14ac:dyDescent="0.3">
      <c r="A111" s="192"/>
      <c r="B111" s="195"/>
      <c r="C111" s="115" t="s">
        <v>20</v>
      </c>
      <c r="D111" s="116">
        <v>2919</v>
      </c>
      <c r="E111" s="117">
        <v>3152</v>
      </c>
      <c r="F111" s="118">
        <v>6071</v>
      </c>
    </row>
    <row r="112" spans="1:6" ht="15" customHeight="1" x14ac:dyDescent="0.3">
      <c r="A112" s="192"/>
      <c r="B112" s="195"/>
      <c r="C112" s="52" t="s">
        <v>21</v>
      </c>
      <c r="D112" s="53">
        <v>769</v>
      </c>
      <c r="E112" s="54">
        <v>628</v>
      </c>
      <c r="F112" s="55">
        <v>1397</v>
      </c>
    </row>
    <row r="113" spans="1:6" ht="15" customHeight="1" x14ac:dyDescent="0.3">
      <c r="A113" s="192"/>
      <c r="B113" s="196"/>
      <c r="C113" s="119" t="s">
        <v>22</v>
      </c>
      <c r="D113" s="120">
        <v>1886</v>
      </c>
      <c r="E113" s="121">
        <v>2493</v>
      </c>
      <c r="F113" s="122">
        <v>4379</v>
      </c>
    </row>
    <row r="114" spans="1:6" ht="15" customHeight="1" x14ac:dyDescent="0.3">
      <c r="A114" s="192"/>
      <c r="B114" s="197" t="s">
        <v>5</v>
      </c>
      <c r="C114" s="60" t="s">
        <v>23</v>
      </c>
      <c r="D114" s="61">
        <v>47261</v>
      </c>
      <c r="E114" s="62">
        <v>41090</v>
      </c>
      <c r="F114" s="63">
        <v>88351</v>
      </c>
    </row>
    <row r="115" spans="1:6" ht="15" customHeight="1" x14ac:dyDescent="0.3">
      <c r="A115" s="192"/>
      <c r="B115" s="195"/>
      <c r="C115" s="115" t="s">
        <v>24</v>
      </c>
      <c r="D115" s="116">
        <v>113213</v>
      </c>
      <c r="E115" s="117">
        <v>115464</v>
      </c>
      <c r="F115" s="118">
        <v>228677</v>
      </c>
    </row>
    <row r="116" spans="1:6" ht="15" customHeight="1" x14ac:dyDescent="0.3">
      <c r="A116" s="192"/>
      <c r="B116" s="195"/>
      <c r="C116" s="52" t="s">
        <v>25</v>
      </c>
      <c r="D116" s="53">
        <v>268045</v>
      </c>
      <c r="E116" s="54">
        <v>279267</v>
      </c>
      <c r="F116" s="55">
        <v>547312</v>
      </c>
    </row>
    <row r="117" spans="1:6" ht="15" customHeight="1" x14ac:dyDescent="0.3">
      <c r="A117" s="192"/>
      <c r="B117" s="195"/>
      <c r="C117" s="115" t="s">
        <v>26</v>
      </c>
      <c r="D117" s="116">
        <v>216967</v>
      </c>
      <c r="E117" s="117">
        <v>245616</v>
      </c>
      <c r="F117" s="118">
        <v>462583</v>
      </c>
    </row>
    <row r="118" spans="1:6" ht="15" customHeight="1" x14ac:dyDescent="0.3">
      <c r="A118" s="192"/>
      <c r="B118" s="195"/>
      <c r="C118" s="52" t="s">
        <v>27</v>
      </c>
      <c r="D118" s="53">
        <v>245616</v>
      </c>
      <c r="E118" s="54">
        <v>216967</v>
      </c>
      <c r="F118" s="55">
        <v>462583</v>
      </c>
    </row>
    <row r="119" spans="1:6" ht="15" customHeight="1" x14ac:dyDescent="0.3">
      <c r="A119" s="192"/>
      <c r="B119" s="196"/>
      <c r="C119" s="119" t="s">
        <v>28</v>
      </c>
      <c r="D119" s="120">
        <v>43379</v>
      </c>
      <c r="E119" s="121">
        <v>44251</v>
      </c>
      <c r="F119" s="122">
        <v>87630</v>
      </c>
    </row>
    <row r="120" spans="1:6" ht="15" customHeight="1" x14ac:dyDescent="0.3">
      <c r="A120" s="192"/>
      <c r="B120" s="197" t="s">
        <v>6</v>
      </c>
      <c r="C120" s="60" t="s">
        <v>29</v>
      </c>
      <c r="D120" s="61"/>
      <c r="E120" s="62"/>
      <c r="F120" s="63">
        <v>0</v>
      </c>
    </row>
    <row r="121" spans="1:6" ht="15" customHeight="1" x14ac:dyDescent="0.3">
      <c r="A121" s="192"/>
      <c r="B121" s="195"/>
      <c r="C121" s="115" t="s">
        <v>30</v>
      </c>
      <c r="D121" s="116">
        <v>59259</v>
      </c>
      <c r="E121" s="117">
        <v>60506</v>
      </c>
      <c r="F121" s="118">
        <v>119765</v>
      </c>
    </row>
    <row r="122" spans="1:6" ht="15" customHeight="1" x14ac:dyDescent="0.3">
      <c r="A122" s="192"/>
      <c r="B122" s="195"/>
      <c r="C122" s="52" t="s">
        <v>6</v>
      </c>
      <c r="D122" s="53">
        <v>1239</v>
      </c>
      <c r="E122" s="54">
        <v>1052</v>
      </c>
      <c r="F122" s="55">
        <v>2291</v>
      </c>
    </row>
    <row r="123" spans="1:6" ht="15" customHeight="1" x14ac:dyDescent="0.3">
      <c r="A123" s="192"/>
      <c r="B123" s="196"/>
      <c r="C123" s="119" t="s">
        <v>31</v>
      </c>
      <c r="D123" s="120">
        <v>108336</v>
      </c>
      <c r="E123" s="121">
        <v>112889</v>
      </c>
      <c r="F123" s="122">
        <v>221225</v>
      </c>
    </row>
    <row r="124" spans="1:6" ht="15" customHeight="1" x14ac:dyDescent="0.3">
      <c r="A124" s="192"/>
      <c r="B124" s="197" t="s">
        <v>2</v>
      </c>
      <c r="C124" s="60" t="s">
        <v>2</v>
      </c>
      <c r="D124" s="61">
        <v>545227</v>
      </c>
      <c r="E124" s="62">
        <v>552810</v>
      </c>
      <c r="F124" s="63">
        <v>1098037</v>
      </c>
    </row>
    <row r="125" spans="1:6" ht="15" customHeight="1" x14ac:dyDescent="0.3">
      <c r="A125" s="192"/>
      <c r="B125" s="196"/>
      <c r="C125" s="119" t="s">
        <v>32</v>
      </c>
      <c r="D125" s="120">
        <v>44251</v>
      </c>
      <c r="E125" s="121">
        <v>43379</v>
      </c>
      <c r="F125" s="122">
        <v>87630</v>
      </c>
    </row>
    <row r="126" spans="1:6" ht="15" customHeight="1" x14ac:dyDescent="0.3">
      <c r="A126" s="192"/>
      <c r="B126" s="197" t="s">
        <v>3</v>
      </c>
      <c r="C126" s="60" t="s">
        <v>33</v>
      </c>
      <c r="D126" s="61">
        <v>75038</v>
      </c>
      <c r="E126" s="62">
        <v>74326</v>
      </c>
      <c r="F126" s="63">
        <v>149364</v>
      </c>
    </row>
    <row r="127" spans="1:6" ht="15" customHeight="1" x14ac:dyDescent="0.3">
      <c r="A127" s="192"/>
      <c r="B127" s="195"/>
      <c r="C127" s="115" t="s">
        <v>34</v>
      </c>
      <c r="D127" s="116">
        <v>6571</v>
      </c>
      <c r="E127" s="117">
        <v>6923</v>
      </c>
      <c r="F127" s="118">
        <v>13494</v>
      </c>
    </row>
    <row r="128" spans="1:6" ht="15" customHeight="1" x14ac:dyDescent="0.3">
      <c r="A128" s="192"/>
      <c r="B128" s="196"/>
      <c r="C128" s="56" t="s">
        <v>3</v>
      </c>
      <c r="D128" s="57"/>
      <c r="E128" s="58"/>
      <c r="F128" s="59">
        <v>0</v>
      </c>
    </row>
    <row r="129" spans="1:6" ht="15" customHeight="1" thickBot="1" x14ac:dyDescent="0.35">
      <c r="A129" s="193"/>
      <c r="B129" s="127" t="s">
        <v>133</v>
      </c>
      <c r="C129" s="128"/>
      <c r="D129" s="129">
        <v>2739265</v>
      </c>
      <c r="E129" s="130">
        <v>2761170</v>
      </c>
      <c r="F129" s="130">
        <v>5500435</v>
      </c>
    </row>
    <row r="130" spans="1:6" ht="15" customHeight="1" x14ac:dyDescent="0.3">
      <c r="A130" s="191">
        <v>2018</v>
      </c>
      <c r="B130" s="198" t="s">
        <v>4</v>
      </c>
      <c r="C130" s="52" t="s">
        <v>4</v>
      </c>
      <c r="D130" s="53">
        <v>788179</v>
      </c>
      <c r="E130" s="54">
        <v>775429</v>
      </c>
      <c r="F130" s="55">
        <f>SUM(D130:E130)</f>
        <v>1563608</v>
      </c>
    </row>
    <row r="131" spans="1:6" ht="15" customHeight="1" x14ac:dyDescent="0.3">
      <c r="A131" s="192"/>
      <c r="B131" s="195"/>
      <c r="C131" s="115" t="s">
        <v>18</v>
      </c>
      <c r="D131" s="116">
        <v>174478</v>
      </c>
      <c r="E131" s="117">
        <v>170813</v>
      </c>
      <c r="F131" s="118">
        <f t="shared" ref="F131" si="1">SUM(D131:E131)</f>
        <v>345291</v>
      </c>
    </row>
    <row r="132" spans="1:6" ht="15" customHeight="1" x14ac:dyDescent="0.3">
      <c r="A132" s="192"/>
      <c r="B132" s="195"/>
      <c r="C132" s="52" t="s">
        <v>19</v>
      </c>
      <c r="D132" s="53">
        <v>89052</v>
      </c>
      <c r="E132" s="54">
        <v>90623</v>
      </c>
      <c r="F132" s="55">
        <f>SUM(D132:E132)</f>
        <v>179675</v>
      </c>
    </row>
    <row r="133" spans="1:6" ht="15" customHeight="1" x14ac:dyDescent="0.3">
      <c r="A133" s="192"/>
      <c r="B133" s="195"/>
      <c r="C133" s="115" t="s">
        <v>20</v>
      </c>
      <c r="D133" s="116">
        <v>487</v>
      </c>
      <c r="E133" s="117">
        <v>497</v>
      </c>
      <c r="F133" s="118">
        <f>SUM(D133:E133)</f>
        <v>984</v>
      </c>
    </row>
    <row r="134" spans="1:6" ht="15" customHeight="1" x14ac:dyDescent="0.3">
      <c r="A134" s="192"/>
      <c r="B134" s="195"/>
      <c r="C134" s="52" t="s">
        <v>21</v>
      </c>
      <c r="D134" s="53">
        <v>541</v>
      </c>
      <c r="E134" s="54">
        <v>521</v>
      </c>
      <c r="F134" s="55">
        <f>SUM(D134:E134)</f>
        <v>1062</v>
      </c>
    </row>
    <row r="135" spans="1:6" ht="15" customHeight="1" x14ac:dyDescent="0.3">
      <c r="A135" s="192"/>
      <c r="B135" s="196"/>
      <c r="C135" s="119" t="s">
        <v>22</v>
      </c>
      <c r="D135" s="120">
        <v>227</v>
      </c>
      <c r="E135" s="121">
        <v>270</v>
      </c>
      <c r="F135" s="122">
        <f>SUM(D135:E135)</f>
        <v>497</v>
      </c>
    </row>
    <row r="136" spans="1:6" ht="15" customHeight="1" x14ac:dyDescent="0.3">
      <c r="A136" s="192"/>
      <c r="B136" s="197" t="s">
        <v>5</v>
      </c>
      <c r="C136" s="60" t="s">
        <v>23</v>
      </c>
      <c r="D136" s="61">
        <v>46646</v>
      </c>
      <c r="E136" s="62">
        <v>40578</v>
      </c>
      <c r="F136" s="63">
        <f t="shared" ref="F136:F149" si="2">SUM(D136:E136)</f>
        <v>87224</v>
      </c>
    </row>
    <row r="137" spans="1:6" ht="15" customHeight="1" x14ac:dyDescent="0.3">
      <c r="A137" s="192"/>
      <c r="B137" s="195"/>
      <c r="C137" s="115" t="s">
        <v>24</v>
      </c>
      <c r="D137" s="116">
        <v>125670</v>
      </c>
      <c r="E137" s="117">
        <v>120211</v>
      </c>
      <c r="F137" s="118">
        <f t="shared" si="2"/>
        <v>245881</v>
      </c>
    </row>
    <row r="138" spans="1:6" ht="15" customHeight="1" x14ac:dyDescent="0.3">
      <c r="A138" s="192"/>
      <c r="B138" s="195"/>
      <c r="C138" s="52" t="s">
        <v>25</v>
      </c>
      <c r="D138" s="53">
        <v>237894</v>
      </c>
      <c r="E138" s="54">
        <v>243878</v>
      </c>
      <c r="F138" s="55">
        <f t="shared" si="2"/>
        <v>481772</v>
      </c>
    </row>
    <row r="139" spans="1:6" ht="15" customHeight="1" x14ac:dyDescent="0.3">
      <c r="A139" s="192"/>
      <c r="B139" s="195"/>
      <c r="C139" s="115" t="s">
        <v>26</v>
      </c>
      <c r="D139" s="116">
        <v>229564</v>
      </c>
      <c r="E139" s="117">
        <v>254321</v>
      </c>
      <c r="F139" s="118">
        <f t="shared" si="2"/>
        <v>483885</v>
      </c>
    </row>
    <row r="140" spans="1:6" ht="15" customHeight="1" x14ac:dyDescent="0.3">
      <c r="A140" s="192"/>
      <c r="B140" s="195"/>
      <c r="C140" s="52" t="s">
        <v>27</v>
      </c>
      <c r="D140" s="53">
        <v>254321</v>
      </c>
      <c r="E140" s="54">
        <v>229564</v>
      </c>
      <c r="F140" s="55">
        <f t="shared" si="2"/>
        <v>483885</v>
      </c>
    </row>
    <row r="141" spans="1:6" ht="15" customHeight="1" x14ac:dyDescent="0.3">
      <c r="A141" s="192"/>
      <c r="B141" s="196"/>
      <c r="C141" s="119" t="s">
        <v>28</v>
      </c>
      <c r="D141" s="120">
        <v>37222</v>
      </c>
      <c r="E141" s="121">
        <v>42205</v>
      </c>
      <c r="F141" s="122">
        <f t="shared" si="2"/>
        <v>79427</v>
      </c>
    </row>
    <row r="142" spans="1:6" ht="15" customHeight="1" x14ac:dyDescent="0.3">
      <c r="A142" s="192"/>
      <c r="B142" s="197" t="s">
        <v>6</v>
      </c>
      <c r="C142" s="60" t="s">
        <v>29</v>
      </c>
      <c r="D142" s="61"/>
      <c r="E142" s="62"/>
      <c r="F142" s="63">
        <f t="shared" si="2"/>
        <v>0</v>
      </c>
    </row>
    <row r="143" spans="1:6" ht="15" customHeight="1" x14ac:dyDescent="0.3">
      <c r="A143" s="192"/>
      <c r="B143" s="195"/>
      <c r="C143" s="115" t="s">
        <v>30</v>
      </c>
      <c r="D143" s="116">
        <v>56653</v>
      </c>
      <c r="E143" s="117">
        <v>57058</v>
      </c>
      <c r="F143" s="118">
        <f t="shared" si="2"/>
        <v>113711</v>
      </c>
    </row>
    <row r="144" spans="1:6" ht="15" customHeight="1" x14ac:dyDescent="0.3">
      <c r="A144" s="192"/>
      <c r="B144" s="195"/>
      <c r="C144" s="52" t="s">
        <v>6</v>
      </c>
      <c r="D144" s="53">
        <v>1356</v>
      </c>
      <c r="E144" s="54">
        <v>1595</v>
      </c>
      <c r="F144" s="55">
        <f t="shared" si="2"/>
        <v>2951</v>
      </c>
    </row>
    <row r="145" spans="1:6" ht="15" customHeight="1" x14ac:dyDescent="0.3">
      <c r="A145" s="192"/>
      <c r="B145" s="196"/>
      <c r="C145" s="119" t="s">
        <v>31</v>
      </c>
      <c r="D145" s="120">
        <v>102951</v>
      </c>
      <c r="E145" s="121">
        <v>108492</v>
      </c>
      <c r="F145" s="122">
        <f t="shared" si="2"/>
        <v>211443</v>
      </c>
    </row>
    <row r="146" spans="1:6" ht="15" customHeight="1" x14ac:dyDescent="0.3">
      <c r="A146" s="192"/>
      <c r="B146" s="197" t="s">
        <v>2</v>
      </c>
      <c r="C146" s="60" t="s">
        <v>2</v>
      </c>
      <c r="D146" s="61">
        <v>541388</v>
      </c>
      <c r="E146" s="62">
        <v>554927</v>
      </c>
      <c r="F146" s="63">
        <f t="shared" si="2"/>
        <v>1096315</v>
      </c>
    </row>
    <row r="147" spans="1:6" ht="15" customHeight="1" x14ac:dyDescent="0.3">
      <c r="A147" s="192"/>
      <c r="B147" s="196"/>
      <c r="C147" s="119" t="s">
        <v>32</v>
      </c>
      <c r="D147" s="120">
        <v>42205</v>
      </c>
      <c r="E147" s="121">
        <v>37222</v>
      </c>
      <c r="F147" s="122">
        <f t="shared" si="2"/>
        <v>79427</v>
      </c>
    </row>
    <row r="148" spans="1:6" ht="15" customHeight="1" x14ac:dyDescent="0.3">
      <c r="A148" s="192"/>
      <c r="B148" s="197" t="s">
        <v>3</v>
      </c>
      <c r="C148" s="60" t="s">
        <v>33</v>
      </c>
      <c r="D148" s="61">
        <v>69640</v>
      </c>
      <c r="E148" s="62">
        <v>67265</v>
      </c>
      <c r="F148" s="63">
        <f t="shared" si="2"/>
        <v>136905</v>
      </c>
    </row>
    <row r="149" spans="1:6" ht="15" customHeight="1" x14ac:dyDescent="0.3">
      <c r="A149" s="192"/>
      <c r="B149" s="195"/>
      <c r="C149" s="115" t="s">
        <v>34</v>
      </c>
      <c r="D149" s="116">
        <v>5285</v>
      </c>
      <c r="E149" s="117">
        <v>5407</v>
      </c>
      <c r="F149" s="118">
        <f t="shared" si="2"/>
        <v>10692</v>
      </c>
    </row>
    <row r="150" spans="1:6" ht="15" customHeight="1" x14ac:dyDescent="0.3">
      <c r="A150" s="192"/>
      <c r="B150" s="196"/>
      <c r="C150" s="56" t="s">
        <v>3</v>
      </c>
      <c r="D150" s="57"/>
      <c r="E150" s="58"/>
      <c r="F150" s="59">
        <f>SUM(D150:E150)</f>
        <v>0</v>
      </c>
    </row>
    <row r="151" spans="1:6" ht="15" customHeight="1" thickBot="1" x14ac:dyDescent="0.35">
      <c r="A151" s="193"/>
      <c r="B151" s="127" t="s">
        <v>133</v>
      </c>
      <c r="C151" s="128"/>
      <c r="D151" s="129">
        <f>SUM(D130:D150)</f>
        <v>2803759</v>
      </c>
      <c r="E151" s="130">
        <f>SUM(E130:E150)</f>
        <v>2800876</v>
      </c>
      <c r="F151" s="130">
        <f>SUM(F130:F150)</f>
        <v>5604635</v>
      </c>
    </row>
    <row r="152" spans="1:6" ht="15" customHeight="1" x14ac:dyDescent="0.3">
      <c r="A152" s="191">
        <v>2017</v>
      </c>
      <c r="B152" s="198" t="s">
        <v>4</v>
      </c>
      <c r="C152" s="52" t="s">
        <v>4</v>
      </c>
      <c r="D152" s="53">
        <v>780633</v>
      </c>
      <c r="E152" s="54">
        <v>800439</v>
      </c>
      <c r="F152" s="55">
        <f>SUM(D152:E152)</f>
        <v>1581072</v>
      </c>
    </row>
    <row r="153" spans="1:6" ht="15" customHeight="1" x14ac:dyDescent="0.3">
      <c r="A153" s="192"/>
      <c r="B153" s="195"/>
      <c r="C153" s="115" t="s">
        <v>18</v>
      </c>
      <c r="D153" s="116">
        <v>111081</v>
      </c>
      <c r="E153" s="117">
        <v>108388</v>
      </c>
      <c r="F153" s="118">
        <f t="shared" ref="F153" si="3">SUM(D153:E153)</f>
        <v>219469</v>
      </c>
    </row>
    <row r="154" spans="1:6" ht="15" customHeight="1" x14ac:dyDescent="0.3">
      <c r="A154" s="192"/>
      <c r="B154" s="195"/>
      <c r="C154" s="52" t="s">
        <v>19</v>
      </c>
      <c r="D154" s="53">
        <v>77323</v>
      </c>
      <c r="E154" s="54">
        <v>82458</v>
      </c>
      <c r="F154" s="55">
        <f>SUM(D154:E154)</f>
        <v>159781</v>
      </c>
    </row>
    <row r="155" spans="1:6" ht="15" customHeight="1" x14ac:dyDescent="0.3">
      <c r="A155" s="192"/>
      <c r="B155" s="195"/>
      <c r="C155" s="115" t="s">
        <v>20</v>
      </c>
      <c r="D155" s="116">
        <v>2324</v>
      </c>
      <c r="E155" s="117">
        <v>2235</v>
      </c>
      <c r="F155" s="118">
        <f>SUM(D155:E155)</f>
        <v>4559</v>
      </c>
    </row>
    <row r="156" spans="1:6" ht="15" customHeight="1" x14ac:dyDescent="0.3">
      <c r="A156" s="192"/>
      <c r="B156" s="195"/>
      <c r="C156" s="52" t="s">
        <v>21</v>
      </c>
      <c r="D156" s="53">
        <v>644</v>
      </c>
      <c r="E156" s="54">
        <v>684</v>
      </c>
      <c r="F156" s="55">
        <f>SUM(D156:E156)</f>
        <v>1328</v>
      </c>
    </row>
    <row r="157" spans="1:6" ht="15" customHeight="1" x14ac:dyDescent="0.3">
      <c r="A157" s="192"/>
      <c r="B157" s="196"/>
      <c r="C157" s="119" t="s">
        <v>22</v>
      </c>
      <c r="D157" s="120">
        <v>1575</v>
      </c>
      <c r="E157" s="121">
        <v>1387</v>
      </c>
      <c r="F157" s="122">
        <f>SUM(D157:E157)</f>
        <v>2962</v>
      </c>
    </row>
    <row r="158" spans="1:6" ht="15" customHeight="1" x14ac:dyDescent="0.3">
      <c r="A158" s="192"/>
      <c r="B158" s="197" t="s">
        <v>5</v>
      </c>
      <c r="C158" s="60" t="s">
        <v>23</v>
      </c>
      <c r="D158" s="61">
        <v>44211</v>
      </c>
      <c r="E158" s="62">
        <v>37971</v>
      </c>
      <c r="F158" s="63">
        <f t="shared" ref="F158:F171" si="4">SUM(D158:E158)</f>
        <v>82182</v>
      </c>
    </row>
    <row r="159" spans="1:6" ht="15" customHeight="1" x14ac:dyDescent="0.3">
      <c r="A159" s="192"/>
      <c r="B159" s="195"/>
      <c r="C159" s="115" t="s">
        <v>24</v>
      </c>
      <c r="D159" s="116">
        <v>57109</v>
      </c>
      <c r="E159" s="117">
        <v>59624</v>
      </c>
      <c r="F159" s="118">
        <f t="shared" si="4"/>
        <v>116733</v>
      </c>
    </row>
    <row r="160" spans="1:6" ht="15" customHeight="1" x14ac:dyDescent="0.3">
      <c r="A160" s="192"/>
      <c r="B160" s="195"/>
      <c r="C160" s="52" t="s">
        <v>25</v>
      </c>
      <c r="D160" s="53">
        <v>296075</v>
      </c>
      <c r="E160" s="54">
        <v>299565</v>
      </c>
      <c r="F160" s="55">
        <f t="shared" si="4"/>
        <v>595640</v>
      </c>
    </row>
    <row r="161" spans="1:6" ht="15" customHeight="1" x14ac:dyDescent="0.3">
      <c r="A161" s="192"/>
      <c r="B161" s="195"/>
      <c r="C161" s="115" t="s">
        <v>26</v>
      </c>
      <c r="D161" s="116">
        <v>202654</v>
      </c>
      <c r="E161" s="117">
        <v>195725</v>
      </c>
      <c r="F161" s="118">
        <f t="shared" si="4"/>
        <v>398379</v>
      </c>
    </row>
    <row r="162" spans="1:6" ht="15" customHeight="1" x14ac:dyDescent="0.3">
      <c r="A162" s="192"/>
      <c r="B162" s="195"/>
      <c r="C162" s="52" t="s">
        <v>27</v>
      </c>
      <c r="D162" s="53">
        <v>195725</v>
      </c>
      <c r="E162" s="54">
        <v>202654</v>
      </c>
      <c r="F162" s="55">
        <f t="shared" si="4"/>
        <v>398379</v>
      </c>
    </row>
    <row r="163" spans="1:6" ht="15" customHeight="1" x14ac:dyDescent="0.3">
      <c r="A163" s="192"/>
      <c r="B163" s="196"/>
      <c r="C163" s="119" t="s">
        <v>28</v>
      </c>
      <c r="D163" s="120">
        <v>45540</v>
      </c>
      <c r="E163" s="121">
        <v>46496</v>
      </c>
      <c r="F163" s="122">
        <f t="shared" si="4"/>
        <v>92036</v>
      </c>
    </row>
    <row r="164" spans="1:6" ht="15" customHeight="1" x14ac:dyDescent="0.3">
      <c r="A164" s="192"/>
      <c r="B164" s="197" t="s">
        <v>6</v>
      </c>
      <c r="C164" s="60" t="s">
        <v>29</v>
      </c>
      <c r="D164" s="61"/>
      <c r="E164" s="62"/>
      <c r="F164" s="63">
        <f t="shared" si="4"/>
        <v>0</v>
      </c>
    </row>
    <row r="165" spans="1:6" ht="15" customHeight="1" x14ac:dyDescent="0.3">
      <c r="A165" s="192"/>
      <c r="B165" s="195"/>
      <c r="C165" s="115" t="s">
        <v>30</v>
      </c>
      <c r="D165" s="116">
        <v>58168</v>
      </c>
      <c r="E165" s="117">
        <v>59104</v>
      </c>
      <c r="F165" s="118">
        <f t="shared" si="4"/>
        <v>117272</v>
      </c>
    </row>
    <row r="166" spans="1:6" ht="15" customHeight="1" x14ac:dyDescent="0.3">
      <c r="A166" s="192"/>
      <c r="B166" s="195"/>
      <c r="C166" s="52" t="s">
        <v>6</v>
      </c>
      <c r="D166" s="53"/>
      <c r="E166" s="54"/>
      <c r="F166" s="55">
        <f t="shared" si="4"/>
        <v>0</v>
      </c>
    </row>
    <row r="167" spans="1:6" ht="15" customHeight="1" x14ac:dyDescent="0.3">
      <c r="A167" s="192"/>
      <c r="B167" s="196"/>
      <c r="C167" s="119" t="s">
        <v>31</v>
      </c>
      <c r="D167" s="120">
        <v>103087</v>
      </c>
      <c r="E167" s="121">
        <v>108564</v>
      </c>
      <c r="F167" s="122">
        <f t="shared" si="4"/>
        <v>211651</v>
      </c>
    </row>
    <row r="168" spans="1:6" ht="15" customHeight="1" x14ac:dyDescent="0.3">
      <c r="A168" s="192"/>
      <c r="B168" s="197" t="s">
        <v>2</v>
      </c>
      <c r="C168" s="60" t="s">
        <v>2</v>
      </c>
      <c r="D168" s="61">
        <v>514102</v>
      </c>
      <c r="E168" s="62">
        <v>516541</v>
      </c>
      <c r="F168" s="63">
        <f t="shared" si="4"/>
        <v>1030643</v>
      </c>
    </row>
    <row r="169" spans="1:6" ht="15" customHeight="1" x14ac:dyDescent="0.3">
      <c r="A169" s="192"/>
      <c r="B169" s="196"/>
      <c r="C169" s="119" t="s">
        <v>32</v>
      </c>
      <c r="D169" s="120">
        <v>46496</v>
      </c>
      <c r="E169" s="121">
        <v>45540</v>
      </c>
      <c r="F169" s="122">
        <f t="shared" si="4"/>
        <v>92036</v>
      </c>
    </row>
    <row r="170" spans="1:6" ht="15" customHeight="1" x14ac:dyDescent="0.3">
      <c r="A170" s="192"/>
      <c r="B170" s="197" t="s">
        <v>3</v>
      </c>
      <c r="C170" s="60" t="s">
        <v>33</v>
      </c>
      <c r="D170" s="61">
        <v>54263</v>
      </c>
      <c r="E170" s="62">
        <v>53993</v>
      </c>
      <c r="F170" s="63">
        <f t="shared" si="4"/>
        <v>108256</v>
      </c>
    </row>
    <row r="171" spans="1:6" ht="15" customHeight="1" x14ac:dyDescent="0.3">
      <c r="A171" s="192"/>
      <c r="B171" s="195"/>
      <c r="C171" s="115" t="s">
        <v>34</v>
      </c>
      <c r="D171" s="116">
        <v>6217</v>
      </c>
      <c r="E171" s="117">
        <v>6044</v>
      </c>
      <c r="F171" s="118">
        <f t="shared" si="4"/>
        <v>12261</v>
      </c>
    </row>
    <row r="172" spans="1:6" ht="15" customHeight="1" x14ac:dyDescent="0.3">
      <c r="A172" s="192"/>
      <c r="B172" s="196"/>
      <c r="C172" s="56" t="s">
        <v>3</v>
      </c>
      <c r="D172" s="57">
        <v>0</v>
      </c>
      <c r="E172" s="58">
        <v>0</v>
      </c>
      <c r="F172" s="59">
        <f>SUM(D172:E172)</f>
        <v>0</v>
      </c>
    </row>
    <row r="173" spans="1:6" ht="15" customHeight="1" thickBot="1" x14ac:dyDescent="0.35">
      <c r="A173" s="193"/>
      <c r="B173" s="127" t="s">
        <v>133</v>
      </c>
      <c r="C173" s="128"/>
      <c r="D173" s="129">
        <f>SUM(D152:D172)</f>
        <v>2597227</v>
      </c>
      <c r="E173" s="130">
        <f>SUM(E152:E172)</f>
        <v>2627412</v>
      </c>
      <c r="F173" s="130">
        <f>SUM(F152:F172)</f>
        <v>5224639</v>
      </c>
    </row>
    <row r="174" spans="1:6" ht="15" customHeight="1" x14ac:dyDescent="0.3">
      <c r="A174" s="191">
        <v>2016</v>
      </c>
      <c r="B174" s="198" t="s">
        <v>4</v>
      </c>
      <c r="C174" s="52" t="s">
        <v>4</v>
      </c>
      <c r="D174" s="53">
        <v>702018</v>
      </c>
      <c r="E174" s="54">
        <v>694194</v>
      </c>
      <c r="F174" s="55">
        <f>SUM(D174:E174)</f>
        <v>1396212</v>
      </c>
    </row>
    <row r="175" spans="1:6" ht="15" customHeight="1" x14ac:dyDescent="0.3">
      <c r="A175" s="192"/>
      <c r="B175" s="195"/>
      <c r="C175" s="115" t="s">
        <v>18</v>
      </c>
      <c r="D175" s="116">
        <v>87549</v>
      </c>
      <c r="E175" s="117">
        <v>75385</v>
      </c>
      <c r="F175" s="118">
        <f t="shared" ref="F175" si="5">SUM(D175:E175)</f>
        <v>162934</v>
      </c>
    </row>
    <row r="176" spans="1:6" ht="15" customHeight="1" x14ac:dyDescent="0.3">
      <c r="A176" s="192"/>
      <c r="B176" s="195"/>
      <c r="C176" s="52" t="s">
        <v>19</v>
      </c>
      <c r="D176" s="53">
        <v>32684</v>
      </c>
      <c r="E176" s="54">
        <v>32320</v>
      </c>
      <c r="F176" s="55">
        <f>SUM(D176:E176)</f>
        <v>65004</v>
      </c>
    </row>
    <row r="177" spans="1:6" ht="15" customHeight="1" x14ac:dyDescent="0.3">
      <c r="A177" s="192"/>
      <c r="B177" s="195"/>
      <c r="C177" s="115" t="s">
        <v>20</v>
      </c>
      <c r="D177" s="116">
        <v>2397</v>
      </c>
      <c r="E177" s="117">
        <v>2358</v>
      </c>
      <c r="F177" s="118">
        <f>SUM(D177:E177)</f>
        <v>4755</v>
      </c>
    </row>
    <row r="178" spans="1:6" ht="15" customHeight="1" x14ac:dyDescent="0.3">
      <c r="A178" s="192"/>
      <c r="B178" s="195"/>
      <c r="C178" s="52" t="s">
        <v>21</v>
      </c>
      <c r="D178" s="53">
        <v>644</v>
      </c>
      <c r="E178" s="54">
        <v>648</v>
      </c>
      <c r="F178" s="55">
        <f>SUM(D178:E178)</f>
        <v>1292</v>
      </c>
    </row>
    <row r="179" spans="1:6" ht="15" customHeight="1" x14ac:dyDescent="0.3">
      <c r="A179" s="192"/>
      <c r="B179" s="196"/>
      <c r="C179" s="119" t="s">
        <v>22</v>
      </c>
      <c r="D179" s="120">
        <v>1287</v>
      </c>
      <c r="E179" s="121">
        <v>1492</v>
      </c>
      <c r="F179" s="122">
        <f>SUM(D179:E179)</f>
        <v>2779</v>
      </c>
    </row>
    <row r="180" spans="1:6" ht="15" customHeight="1" x14ac:dyDescent="0.3">
      <c r="A180" s="192"/>
      <c r="B180" s="197" t="s">
        <v>5</v>
      </c>
      <c r="C180" s="60" t="s">
        <v>23</v>
      </c>
      <c r="D180" s="61">
        <v>36303</v>
      </c>
      <c r="E180" s="62">
        <v>31452</v>
      </c>
      <c r="F180" s="63">
        <f t="shared" ref="F180:F193" si="6">SUM(D180:E180)</f>
        <v>67755</v>
      </c>
    </row>
    <row r="181" spans="1:6" ht="15" customHeight="1" x14ac:dyDescent="0.3">
      <c r="A181" s="192"/>
      <c r="B181" s="195"/>
      <c r="C181" s="115" t="s">
        <v>24</v>
      </c>
      <c r="D181" s="116">
        <v>90296</v>
      </c>
      <c r="E181" s="117">
        <v>88710</v>
      </c>
      <c r="F181" s="118">
        <f t="shared" si="6"/>
        <v>179006</v>
      </c>
    </row>
    <row r="182" spans="1:6" ht="15" customHeight="1" x14ac:dyDescent="0.3">
      <c r="A182" s="192"/>
      <c r="B182" s="195"/>
      <c r="C182" s="52" t="s">
        <v>25</v>
      </c>
      <c r="D182" s="53">
        <v>253327</v>
      </c>
      <c r="E182" s="54">
        <v>231926</v>
      </c>
      <c r="F182" s="55">
        <f t="shared" si="6"/>
        <v>485253</v>
      </c>
    </row>
    <row r="183" spans="1:6" ht="15" customHeight="1" x14ac:dyDescent="0.3">
      <c r="A183" s="192"/>
      <c r="B183" s="195"/>
      <c r="C183" s="115" t="s">
        <v>26</v>
      </c>
      <c r="D183" s="116">
        <v>249460</v>
      </c>
      <c r="E183" s="117">
        <v>244452</v>
      </c>
      <c r="F183" s="118">
        <f t="shared" si="6"/>
        <v>493912</v>
      </c>
    </row>
    <row r="184" spans="1:6" ht="15" customHeight="1" x14ac:dyDescent="0.3">
      <c r="A184" s="192"/>
      <c r="B184" s="195"/>
      <c r="C184" s="52" t="s">
        <v>27</v>
      </c>
      <c r="D184" s="53">
        <v>244452</v>
      </c>
      <c r="E184" s="54">
        <v>249460</v>
      </c>
      <c r="F184" s="55">
        <f t="shared" si="6"/>
        <v>493912</v>
      </c>
    </row>
    <row r="185" spans="1:6" ht="15" customHeight="1" x14ac:dyDescent="0.3">
      <c r="A185" s="192"/>
      <c r="B185" s="196"/>
      <c r="C185" s="119" t="s">
        <v>28</v>
      </c>
      <c r="D185" s="120">
        <v>37674</v>
      </c>
      <c r="E185" s="121">
        <v>36732</v>
      </c>
      <c r="F185" s="122">
        <f t="shared" si="6"/>
        <v>74406</v>
      </c>
    </row>
    <row r="186" spans="1:6" ht="15" customHeight="1" x14ac:dyDescent="0.3">
      <c r="A186" s="192"/>
      <c r="B186" s="197" t="s">
        <v>6</v>
      </c>
      <c r="C186" s="60" t="s">
        <v>29</v>
      </c>
      <c r="D186" s="61"/>
      <c r="E186" s="62"/>
      <c r="F186" s="63">
        <f t="shared" si="6"/>
        <v>0</v>
      </c>
    </row>
    <row r="187" spans="1:6" ht="15" customHeight="1" x14ac:dyDescent="0.3">
      <c r="A187" s="192"/>
      <c r="B187" s="195"/>
      <c r="C187" s="115" t="s">
        <v>30</v>
      </c>
      <c r="D187" s="116">
        <v>57482</v>
      </c>
      <c r="E187" s="117">
        <v>55291</v>
      </c>
      <c r="F187" s="118">
        <f t="shared" si="6"/>
        <v>112773</v>
      </c>
    </row>
    <row r="188" spans="1:6" ht="15" customHeight="1" x14ac:dyDescent="0.3">
      <c r="A188" s="192"/>
      <c r="B188" s="195"/>
      <c r="C188" s="52" t="s">
        <v>6</v>
      </c>
      <c r="D188" s="53"/>
      <c r="E188" s="54"/>
      <c r="F188" s="55">
        <f t="shared" si="6"/>
        <v>0</v>
      </c>
    </row>
    <row r="189" spans="1:6" ht="15" customHeight="1" x14ac:dyDescent="0.3">
      <c r="A189" s="192"/>
      <c r="B189" s="196"/>
      <c r="C189" s="119" t="s">
        <v>31</v>
      </c>
      <c r="D189" s="120">
        <v>91982</v>
      </c>
      <c r="E189" s="121">
        <v>98896</v>
      </c>
      <c r="F189" s="122">
        <f t="shared" si="6"/>
        <v>190878</v>
      </c>
    </row>
    <row r="190" spans="1:6" ht="15" customHeight="1" x14ac:dyDescent="0.3">
      <c r="A190" s="192"/>
      <c r="B190" s="197" t="s">
        <v>2</v>
      </c>
      <c r="C190" s="60" t="s">
        <v>2</v>
      </c>
      <c r="D190" s="61">
        <v>482104</v>
      </c>
      <c r="E190" s="62">
        <v>478911</v>
      </c>
      <c r="F190" s="63">
        <f t="shared" si="6"/>
        <v>961015</v>
      </c>
    </row>
    <row r="191" spans="1:6" ht="15" customHeight="1" x14ac:dyDescent="0.3">
      <c r="A191" s="192"/>
      <c r="B191" s="196"/>
      <c r="C191" s="119" t="s">
        <v>32</v>
      </c>
      <c r="D191" s="120">
        <v>36732</v>
      </c>
      <c r="E191" s="121">
        <v>37674</v>
      </c>
      <c r="F191" s="122">
        <f t="shared" si="6"/>
        <v>74406</v>
      </c>
    </row>
    <row r="192" spans="1:6" ht="15" customHeight="1" x14ac:dyDescent="0.3">
      <c r="A192" s="192"/>
      <c r="B192" s="197" t="s">
        <v>3</v>
      </c>
      <c r="C192" s="60" t="s">
        <v>33</v>
      </c>
      <c r="D192" s="61">
        <v>57967</v>
      </c>
      <c r="E192" s="62">
        <v>57315</v>
      </c>
      <c r="F192" s="63">
        <f t="shared" si="6"/>
        <v>115282</v>
      </c>
    </row>
    <row r="193" spans="1:6" ht="15" customHeight="1" x14ac:dyDescent="0.3">
      <c r="A193" s="192"/>
      <c r="B193" s="195"/>
      <c r="C193" s="115" t="s">
        <v>34</v>
      </c>
      <c r="D193" s="116">
        <v>5111</v>
      </c>
      <c r="E193" s="117">
        <v>5239</v>
      </c>
      <c r="F193" s="118">
        <f t="shared" si="6"/>
        <v>10350</v>
      </c>
    </row>
    <row r="194" spans="1:6" ht="15" customHeight="1" x14ac:dyDescent="0.3">
      <c r="A194" s="192"/>
      <c r="B194" s="196"/>
      <c r="C194" s="56" t="s">
        <v>3</v>
      </c>
      <c r="D194" s="57">
        <v>1426</v>
      </c>
      <c r="E194" s="58">
        <v>1830</v>
      </c>
      <c r="F194" s="59">
        <f>SUM(D194:E194)</f>
        <v>3256</v>
      </c>
    </row>
    <row r="195" spans="1:6" ht="15" customHeight="1" thickBot="1" x14ac:dyDescent="0.35">
      <c r="A195" s="193"/>
      <c r="B195" s="127" t="s">
        <v>133</v>
      </c>
      <c r="C195" s="128"/>
      <c r="D195" s="129">
        <f>SUM(D174:D194)</f>
        <v>2470895</v>
      </c>
      <c r="E195" s="130">
        <f>SUM(E174:E194)</f>
        <v>2424285</v>
      </c>
      <c r="F195" s="130">
        <f>SUM(F174:F194)</f>
        <v>4895180</v>
      </c>
    </row>
    <row r="196" spans="1:6" ht="15" customHeight="1" x14ac:dyDescent="0.3">
      <c r="A196" s="191">
        <v>2015</v>
      </c>
      <c r="B196" s="198" t="s">
        <v>4</v>
      </c>
      <c r="C196" s="52" t="s">
        <v>4</v>
      </c>
      <c r="D196" s="53">
        <v>689716</v>
      </c>
      <c r="E196" s="54">
        <v>660880</v>
      </c>
      <c r="F196" s="55">
        <f>SUM(D196:E196)</f>
        <v>1350596</v>
      </c>
    </row>
    <row r="197" spans="1:6" ht="15" customHeight="1" x14ac:dyDescent="0.3">
      <c r="A197" s="192"/>
      <c r="B197" s="195"/>
      <c r="C197" s="115" t="s">
        <v>18</v>
      </c>
      <c r="D197" s="116">
        <v>81931</v>
      </c>
      <c r="E197" s="117">
        <v>75450</v>
      </c>
      <c r="F197" s="118">
        <f t="shared" ref="F197:F215" si="7">SUM(D197:E197)</f>
        <v>157381</v>
      </c>
    </row>
    <row r="198" spans="1:6" ht="15" customHeight="1" x14ac:dyDescent="0.3">
      <c r="A198" s="192"/>
      <c r="B198" s="195"/>
      <c r="C198" s="52" t="s">
        <v>19</v>
      </c>
      <c r="D198" s="53">
        <v>30440</v>
      </c>
      <c r="E198" s="54">
        <v>30337</v>
      </c>
      <c r="F198" s="55">
        <f>SUM(D198:E198)</f>
        <v>60777</v>
      </c>
    </row>
    <row r="199" spans="1:6" ht="15" customHeight="1" x14ac:dyDescent="0.3">
      <c r="A199" s="192"/>
      <c r="B199" s="195"/>
      <c r="C199" s="115" t="s">
        <v>20</v>
      </c>
      <c r="D199" s="116">
        <v>1961</v>
      </c>
      <c r="E199" s="117">
        <v>1717</v>
      </c>
      <c r="F199" s="118">
        <f>SUM(D199:E199)</f>
        <v>3678</v>
      </c>
    </row>
    <row r="200" spans="1:6" ht="15" customHeight="1" x14ac:dyDescent="0.3">
      <c r="A200" s="192"/>
      <c r="B200" s="195"/>
      <c r="C200" s="52" t="s">
        <v>21</v>
      </c>
      <c r="D200" s="53">
        <v>970</v>
      </c>
      <c r="E200" s="54">
        <v>1046</v>
      </c>
      <c r="F200" s="55">
        <f>SUM(D200:E200)</f>
        <v>2016</v>
      </c>
    </row>
    <row r="201" spans="1:6" ht="15" customHeight="1" x14ac:dyDescent="0.3">
      <c r="A201" s="192"/>
      <c r="B201" s="196"/>
      <c r="C201" s="119" t="s">
        <v>22</v>
      </c>
      <c r="D201" s="120">
        <v>1145</v>
      </c>
      <c r="E201" s="121">
        <v>1142</v>
      </c>
      <c r="F201" s="122">
        <f>SUM(D201:E201)</f>
        <v>2287</v>
      </c>
    </row>
    <row r="202" spans="1:6" ht="15" customHeight="1" x14ac:dyDescent="0.3">
      <c r="A202" s="192"/>
      <c r="B202" s="197" t="s">
        <v>5</v>
      </c>
      <c r="C202" s="60" t="s">
        <v>23</v>
      </c>
      <c r="D202" s="61">
        <v>32037</v>
      </c>
      <c r="E202" s="62">
        <v>27633</v>
      </c>
      <c r="F202" s="63">
        <f t="shared" si="7"/>
        <v>59670</v>
      </c>
    </row>
    <row r="203" spans="1:6" ht="15" customHeight="1" x14ac:dyDescent="0.3">
      <c r="A203" s="192"/>
      <c r="B203" s="195"/>
      <c r="C203" s="115" t="s">
        <v>24</v>
      </c>
      <c r="D203" s="116">
        <v>58729</v>
      </c>
      <c r="E203" s="117">
        <v>67429</v>
      </c>
      <c r="F203" s="118">
        <f t="shared" ref="F203:F211" si="8">SUM(D203:E203)</f>
        <v>126158</v>
      </c>
    </row>
    <row r="204" spans="1:6" ht="15" customHeight="1" x14ac:dyDescent="0.3">
      <c r="A204" s="192"/>
      <c r="B204" s="195"/>
      <c r="C204" s="52" t="s">
        <v>25</v>
      </c>
      <c r="D204" s="53">
        <v>254495</v>
      </c>
      <c r="E204" s="54">
        <v>250288</v>
      </c>
      <c r="F204" s="55">
        <f t="shared" si="8"/>
        <v>504783</v>
      </c>
    </row>
    <row r="205" spans="1:6" ht="15" customHeight="1" x14ac:dyDescent="0.3">
      <c r="A205" s="192"/>
      <c r="B205" s="195"/>
      <c r="C205" s="115" t="s">
        <v>26</v>
      </c>
      <c r="D205" s="116">
        <v>242964</v>
      </c>
      <c r="E205" s="117">
        <v>233692</v>
      </c>
      <c r="F205" s="118">
        <f t="shared" si="8"/>
        <v>476656</v>
      </c>
    </row>
    <row r="206" spans="1:6" ht="15" customHeight="1" x14ac:dyDescent="0.3">
      <c r="A206" s="192"/>
      <c r="B206" s="195"/>
      <c r="C206" s="52" t="s">
        <v>27</v>
      </c>
      <c r="D206" s="53">
        <v>233692</v>
      </c>
      <c r="E206" s="54">
        <v>242964</v>
      </c>
      <c r="F206" s="55">
        <f t="shared" si="8"/>
        <v>476656</v>
      </c>
    </row>
    <row r="207" spans="1:6" ht="15" customHeight="1" x14ac:dyDescent="0.3">
      <c r="A207" s="192"/>
      <c r="B207" s="196"/>
      <c r="C207" s="119" t="s">
        <v>28</v>
      </c>
      <c r="D207" s="120">
        <v>31612</v>
      </c>
      <c r="E207" s="121">
        <v>31649</v>
      </c>
      <c r="F207" s="122">
        <f t="shared" si="8"/>
        <v>63261</v>
      </c>
    </row>
    <row r="208" spans="1:6" ht="15" customHeight="1" x14ac:dyDescent="0.3">
      <c r="A208" s="192"/>
      <c r="B208" s="197" t="s">
        <v>6</v>
      </c>
      <c r="C208" s="60" t="s">
        <v>29</v>
      </c>
      <c r="D208" s="61">
        <v>27622</v>
      </c>
      <c r="E208" s="62">
        <v>32155</v>
      </c>
      <c r="F208" s="63">
        <f t="shared" si="8"/>
        <v>59777</v>
      </c>
    </row>
    <row r="209" spans="1:6" ht="15" customHeight="1" x14ac:dyDescent="0.3">
      <c r="A209" s="192"/>
      <c r="B209" s="195"/>
      <c r="C209" s="115" t="s">
        <v>30</v>
      </c>
      <c r="D209" s="116">
        <v>58574</v>
      </c>
      <c r="E209" s="117">
        <v>64449</v>
      </c>
      <c r="F209" s="118">
        <f t="shared" si="8"/>
        <v>123023</v>
      </c>
    </row>
    <row r="210" spans="1:6" ht="15" customHeight="1" x14ac:dyDescent="0.3">
      <c r="A210" s="192"/>
      <c r="B210" s="195"/>
      <c r="C210" s="52" t="s">
        <v>6</v>
      </c>
      <c r="D210" s="53">
        <v>6341</v>
      </c>
      <c r="E210" s="54">
        <v>6901</v>
      </c>
      <c r="F210" s="55">
        <f t="shared" si="8"/>
        <v>13242</v>
      </c>
    </row>
    <row r="211" spans="1:6" ht="15" customHeight="1" x14ac:dyDescent="0.3">
      <c r="A211" s="192"/>
      <c r="B211" s="196"/>
      <c r="C211" s="119" t="s">
        <v>31</v>
      </c>
      <c r="D211" s="120">
        <v>62182</v>
      </c>
      <c r="E211" s="121">
        <v>61309</v>
      </c>
      <c r="F211" s="122">
        <f t="shared" si="8"/>
        <v>123491</v>
      </c>
    </row>
    <row r="212" spans="1:6" ht="15" customHeight="1" x14ac:dyDescent="0.3">
      <c r="A212" s="192"/>
      <c r="B212" s="197" t="s">
        <v>2</v>
      </c>
      <c r="C212" s="60" t="s">
        <v>2</v>
      </c>
      <c r="D212" s="61">
        <v>465140</v>
      </c>
      <c r="E212" s="62">
        <v>456364</v>
      </c>
      <c r="F212" s="63">
        <f t="shared" si="7"/>
        <v>921504</v>
      </c>
    </row>
    <row r="213" spans="1:6" ht="15" customHeight="1" x14ac:dyDescent="0.3">
      <c r="A213" s="192"/>
      <c r="B213" s="196"/>
      <c r="C213" s="119" t="s">
        <v>32</v>
      </c>
      <c r="D213" s="120">
        <v>31649</v>
      </c>
      <c r="E213" s="121">
        <v>31612</v>
      </c>
      <c r="F213" s="122">
        <f t="shared" si="7"/>
        <v>63261</v>
      </c>
    </row>
    <row r="214" spans="1:6" ht="15" customHeight="1" x14ac:dyDescent="0.3">
      <c r="A214" s="192"/>
      <c r="B214" s="197" t="s">
        <v>3</v>
      </c>
      <c r="C214" s="60" t="s">
        <v>33</v>
      </c>
      <c r="D214" s="61">
        <v>37010</v>
      </c>
      <c r="E214" s="62">
        <v>32594</v>
      </c>
      <c r="F214" s="63">
        <f t="shared" si="7"/>
        <v>69604</v>
      </c>
    </row>
    <row r="215" spans="1:6" ht="15" customHeight="1" x14ac:dyDescent="0.3">
      <c r="A215" s="192"/>
      <c r="B215" s="195"/>
      <c r="C215" s="115" t="s">
        <v>34</v>
      </c>
      <c r="D215" s="116">
        <v>3768</v>
      </c>
      <c r="E215" s="117">
        <v>4022</v>
      </c>
      <c r="F215" s="118">
        <f t="shared" si="7"/>
        <v>7790</v>
      </c>
    </row>
    <row r="216" spans="1:6" ht="15" customHeight="1" x14ac:dyDescent="0.3">
      <c r="A216" s="192"/>
      <c r="B216" s="196"/>
      <c r="C216" s="56" t="s">
        <v>3</v>
      </c>
      <c r="D216" s="57">
        <v>15717</v>
      </c>
      <c r="E216" s="58">
        <v>18999</v>
      </c>
      <c r="F216" s="59">
        <f>SUM(D216:E216)</f>
        <v>34716</v>
      </c>
    </row>
    <row r="217" spans="1:6" ht="15" customHeight="1" thickBot="1" x14ac:dyDescent="0.35">
      <c r="A217" s="193"/>
      <c r="B217" s="127" t="s">
        <v>133</v>
      </c>
      <c r="C217" s="128"/>
      <c r="D217" s="129">
        <f>SUM(D196:D216)</f>
        <v>2367695</v>
      </c>
      <c r="E217" s="130">
        <f>SUM(E196:E216)</f>
        <v>2332632</v>
      </c>
      <c r="F217" s="130">
        <f>SUM(F196:F216)</f>
        <v>4700327</v>
      </c>
    </row>
    <row r="218" spans="1:6" ht="15" customHeight="1" x14ac:dyDescent="0.3">
      <c r="A218" s="191">
        <v>2014</v>
      </c>
      <c r="B218" s="198" t="s">
        <v>4</v>
      </c>
      <c r="C218" s="52" t="s">
        <v>4</v>
      </c>
      <c r="D218" s="53">
        <v>728660</v>
      </c>
      <c r="E218" s="54">
        <v>701684</v>
      </c>
      <c r="F218" s="55">
        <f t="shared" ref="F218:F237" si="9">SUM(D218:E218)</f>
        <v>1430344</v>
      </c>
    </row>
    <row r="219" spans="1:6" ht="15" customHeight="1" x14ac:dyDescent="0.3">
      <c r="A219" s="192"/>
      <c r="B219" s="195"/>
      <c r="C219" s="115" t="s">
        <v>18</v>
      </c>
      <c r="D219" s="116">
        <v>84058</v>
      </c>
      <c r="E219" s="117">
        <v>81908</v>
      </c>
      <c r="F219" s="118">
        <f t="shared" si="9"/>
        <v>165966</v>
      </c>
    </row>
    <row r="220" spans="1:6" ht="15" customHeight="1" x14ac:dyDescent="0.3">
      <c r="A220" s="192"/>
      <c r="B220" s="195"/>
      <c r="C220" s="52" t="s">
        <v>19</v>
      </c>
      <c r="D220" s="53">
        <v>32911</v>
      </c>
      <c r="E220" s="54">
        <v>32789</v>
      </c>
      <c r="F220" s="55">
        <f t="shared" si="9"/>
        <v>65700</v>
      </c>
    </row>
    <row r="221" spans="1:6" ht="15" customHeight="1" x14ac:dyDescent="0.3">
      <c r="A221" s="192"/>
      <c r="B221" s="195"/>
      <c r="C221" s="115" t="s">
        <v>20</v>
      </c>
      <c r="D221" s="116">
        <v>2242</v>
      </c>
      <c r="E221" s="117">
        <v>1863</v>
      </c>
      <c r="F221" s="118">
        <f t="shared" si="9"/>
        <v>4105</v>
      </c>
    </row>
    <row r="222" spans="1:6" ht="15" customHeight="1" x14ac:dyDescent="0.3">
      <c r="A222" s="192"/>
      <c r="B222" s="195"/>
      <c r="C222" s="52" t="s">
        <v>21</v>
      </c>
      <c r="D222" s="53">
        <v>894</v>
      </c>
      <c r="E222" s="54">
        <v>738</v>
      </c>
      <c r="F222" s="55">
        <f t="shared" si="9"/>
        <v>1632</v>
      </c>
    </row>
    <row r="223" spans="1:6" ht="15" customHeight="1" x14ac:dyDescent="0.3">
      <c r="A223" s="192"/>
      <c r="B223" s="196"/>
      <c r="C223" s="119" t="s">
        <v>22</v>
      </c>
      <c r="D223" s="120">
        <v>1521</v>
      </c>
      <c r="E223" s="121">
        <v>1406</v>
      </c>
      <c r="F223" s="122">
        <f t="shared" si="9"/>
        <v>2927</v>
      </c>
    </row>
    <row r="224" spans="1:6" ht="15" customHeight="1" x14ac:dyDescent="0.3">
      <c r="A224" s="192"/>
      <c r="B224" s="197" t="s">
        <v>5</v>
      </c>
      <c r="C224" s="60" t="s">
        <v>23</v>
      </c>
      <c r="D224" s="61">
        <v>28870</v>
      </c>
      <c r="E224" s="62">
        <v>25204</v>
      </c>
      <c r="F224" s="63">
        <f t="shared" si="9"/>
        <v>54074</v>
      </c>
    </row>
    <row r="225" spans="1:6" ht="15" customHeight="1" x14ac:dyDescent="0.3">
      <c r="A225" s="192"/>
      <c r="B225" s="195"/>
      <c r="C225" s="115" t="s">
        <v>24</v>
      </c>
      <c r="D225" s="116">
        <v>36964</v>
      </c>
      <c r="E225" s="117">
        <v>42968</v>
      </c>
      <c r="F225" s="118">
        <f t="shared" si="9"/>
        <v>79932</v>
      </c>
    </row>
    <row r="226" spans="1:6" ht="15" customHeight="1" x14ac:dyDescent="0.3">
      <c r="A226" s="192"/>
      <c r="B226" s="195"/>
      <c r="C226" s="52" t="s">
        <v>25</v>
      </c>
      <c r="D226" s="53">
        <v>295590</v>
      </c>
      <c r="E226" s="54">
        <v>292133</v>
      </c>
      <c r="F226" s="55">
        <f t="shared" si="9"/>
        <v>587723</v>
      </c>
    </row>
    <row r="227" spans="1:6" ht="15" customHeight="1" x14ac:dyDescent="0.3">
      <c r="A227" s="192"/>
      <c r="B227" s="195"/>
      <c r="C227" s="115" t="s">
        <v>26</v>
      </c>
      <c r="D227" s="116">
        <v>278121</v>
      </c>
      <c r="E227" s="117">
        <v>278451</v>
      </c>
      <c r="F227" s="118">
        <f t="shared" si="9"/>
        <v>556572</v>
      </c>
    </row>
    <row r="228" spans="1:6" ht="15" customHeight="1" x14ac:dyDescent="0.3">
      <c r="A228" s="192"/>
      <c r="B228" s="195"/>
      <c r="C228" s="52" t="s">
        <v>27</v>
      </c>
      <c r="D228" s="53">
        <v>276609</v>
      </c>
      <c r="E228" s="54">
        <v>276740</v>
      </c>
      <c r="F228" s="55">
        <f t="shared" si="9"/>
        <v>553349</v>
      </c>
    </row>
    <row r="229" spans="1:6" ht="15" customHeight="1" x14ac:dyDescent="0.3">
      <c r="A229" s="192"/>
      <c r="B229" s="196"/>
      <c r="C229" s="119" t="s">
        <v>28</v>
      </c>
      <c r="D229" s="120">
        <v>27445</v>
      </c>
      <c r="E229" s="121">
        <v>27843</v>
      </c>
      <c r="F229" s="122">
        <f t="shared" si="9"/>
        <v>55288</v>
      </c>
    </row>
    <row r="230" spans="1:6" ht="15" customHeight="1" x14ac:dyDescent="0.3">
      <c r="A230" s="192"/>
      <c r="B230" s="197" t="s">
        <v>6</v>
      </c>
      <c r="C230" s="60" t="s">
        <v>29</v>
      </c>
      <c r="D230" s="61">
        <v>25104</v>
      </c>
      <c r="E230" s="62">
        <v>28926</v>
      </c>
      <c r="F230" s="63">
        <f t="shared" si="9"/>
        <v>54030</v>
      </c>
    </row>
    <row r="231" spans="1:6" ht="15" customHeight="1" x14ac:dyDescent="0.3">
      <c r="A231" s="192"/>
      <c r="B231" s="195"/>
      <c r="C231" s="115" t="s">
        <v>30</v>
      </c>
      <c r="D231" s="116">
        <v>69170</v>
      </c>
      <c r="E231" s="117">
        <v>61569</v>
      </c>
      <c r="F231" s="118">
        <f t="shared" si="9"/>
        <v>130739</v>
      </c>
    </row>
    <row r="232" spans="1:6" ht="15" customHeight="1" x14ac:dyDescent="0.3">
      <c r="A232" s="192"/>
      <c r="B232" s="195"/>
      <c r="C232" s="52" t="s">
        <v>6</v>
      </c>
      <c r="D232" s="53">
        <v>8053</v>
      </c>
      <c r="E232" s="54">
        <v>9219</v>
      </c>
      <c r="F232" s="55">
        <f t="shared" si="9"/>
        <v>17272</v>
      </c>
    </row>
    <row r="233" spans="1:6" ht="15" customHeight="1" x14ac:dyDescent="0.3">
      <c r="A233" s="192"/>
      <c r="B233" s="196"/>
      <c r="C233" s="119" t="s">
        <v>31</v>
      </c>
      <c r="D233" s="120">
        <v>56735</v>
      </c>
      <c r="E233" s="121">
        <v>63341</v>
      </c>
      <c r="F233" s="122">
        <f t="shared" si="9"/>
        <v>120076</v>
      </c>
    </row>
    <row r="234" spans="1:6" ht="15" customHeight="1" x14ac:dyDescent="0.3">
      <c r="A234" s="192"/>
      <c r="B234" s="197" t="s">
        <v>2</v>
      </c>
      <c r="C234" s="60" t="s">
        <v>2</v>
      </c>
      <c r="D234" s="61">
        <v>467371</v>
      </c>
      <c r="E234" s="62">
        <v>462940</v>
      </c>
      <c r="F234" s="63">
        <f t="shared" si="9"/>
        <v>930311</v>
      </c>
    </row>
    <row r="235" spans="1:6" ht="15" customHeight="1" x14ac:dyDescent="0.3">
      <c r="A235" s="192"/>
      <c r="B235" s="196"/>
      <c r="C235" s="119" t="s">
        <v>32</v>
      </c>
      <c r="D235" s="120">
        <v>27843</v>
      </c>
      <c r="E235" s="121">
        <v>27445</v>
      </c>
      <c r="F235" s="122">
        <f t="shared" si="9"/>
        <v>55288</v>
      </c>
    </row>
    <row r="236" spans="1:6" ht="15" customHeight="1" x14ac:dyDescent="0.3">
      <c r="A236" s="192"/>
      <c r="B236" s="197" t="s">
        <v>3</v>
      </c>
      <c r="C236" s="60" t="s">
        <v>33</v>
      </c>
      <c r="D236" s="61">
        <v>57086</v>
      </c>
      <c r="E236" s="62">
        <v>52217</v>
      </c>
      <c r="F236" s="63">
        <f t="shared" si="9"/>
        <v>109303</v>
      </c>
    </row>
    <row r="237" spans="1:6" ht="15" customHeight="1" x14ac:dyDescent="0.3">
      <c r="A237" s="192"/>
      <c r="B237" s="195"/>
      <c r="C237" s="115" t="s">
        <v>34</v>
      </c>
      <c r="D237" s="116">
        <v>3549</v>
      </c>
      <c r="E237" s="117">
        <v>3672</v>
      </c>
      <c r="F237" s="118">
        <f t="shared" si="9"/>
        <v>7221</v>
      </c>
    </row>
    <row r="238" spans="1:6" ht="15" customHeight="1" x14ac:dyDescent="0.3">
      <c r="A238" s="192"/>
      <c r="B238" s="196"/>
      <c r="C238" s="56" t="s">
        <v>3</v>
      </c>
      <c r="D238" s="57">
        <v>0</v>
      </c>
      <c r="E238" s="58">
        <v>0</v>
      </c>
      <c r="F238" s="59">
        <v>0</v>
      </c>
    </row>
    <row r="239" spans="1:6" ht="15" customHeight="1" thickBot="1" x14ac:dyDescent="0.35">
      <c r="A239" s="193"/>
      <c r="B239" s="127" t="s">
        <v>133</v>
      </c>
      <c r="C239" s="128"/>
      <c r="D239" s="129">
        <f>SUM(D218:D238)</f>
        <v>2508796</v>
      </c>
      <c r="E239" s="130">
        <f>SUM(E218:E238)</f>
        <v>2473056</v>
      </c>
      <c r="F239" s="130">
        <f>SUM(F218:F238)</f>
        <v>4981852</v>
      </c>
    </row>
    <row r="240" spans="1:6" ht="15" customHeight="1" x14ac:dyDescent="0.3">
      <c r="A240" s="201">
        <v>2013</v>
      </c>
      <c r="B240" s="198" t="s">
        <v>4</v>
      </c>
      <c r="C240" s="52" t="s">
        <v>4</v>
      </c>
      <c r="D240" s="53">
        <v>697436</v>
      </c>
      <c r="E240" s="54">
        <v>720650</v>
      </c>
      <c r="F240" s="55">
        <f>SUM(D240:E240)</f>
        <v>1418086</v>
      </c>
    </row>
    <row r="241" spans="1:6" ht="15" customHeight="1" x14ac:dyDescent="0.3">
      <c r="A241" s="192"/>
      <c r="B241" s="195"/>
      <c r="C241" s="115" t="s">
        <v>18</v>
      </c>
      <c r="D241" s="116">
        <v>81258</v>
      </c>
      <c r="E241" s="117">
        <v>83125</v>
      </c>
      <c r="F241" s="118">
        <f t="shared" ref="F241:F259" si="10">SUM(D241:E241)</f>
        <v>164383</v>
      </c>
    </row>
    <row r="242" spans="1:6" ht="15" customHeight="1" x14ac:dyDescent="0.3">
      <c r="A242" s="192"/>
      <c r="B242" s="195"/>
      <c r="C242" s="52" t="s">
        <v>19</v>
      </c>
      <c r="D242" s="53">
        <v>63339</v>
      </c>
      <c r="E242" s="54">
        <v>64141</v>
      </c>
      <c r="F242" s="55">
        <f t="shared" si="10"/>
        <v>127480</v>
      </c>
    </row>
    <row r="243" spans="1:6" ht="15" customHeight="1" x14ac:dyDescent="0.3">
      <c r="A243" s="192"/>
      <c r="B243" s="195"/>
      <c r="C243" s="115" t="s">
        <v>20</v>
      </c>
      <c r="D243" s="116">
        <v>2281</v>
      </c>
      <c r="E243" s="117">
        <v>7084</v>
      </c>
      <c r="F243" s="118">
        <f>SUM(D243:E243)</f>
        <v>9365</v>
      </c>
    </row>
    <row r="244" spans="1:6" ht="15" customHeight="1" x14ac:dyDescent="0.3">
      <c r="A244" s="192"/>
      <c r="B244" s="195"/>
      <c r="C244" s="52" t="s">
        <v>21</v>
      </c>
      <c r="D244" s="53">
        <v>970</v>
      </c>
      <c r="E244" s="54">
        <v>862</v>
      </c>
      <c r="F244" s="55">
        <f t="shared" ref="F244" si="11">SUM(D244:E244)</f>
        <v>1832</v>
      </c>
    </row>
    <row r="245" spans="1:6" ht="15" customHeight="1" x14ac:dyDescent="0.3">
      <c r="A245" s="192"/>
      <c r="B245" s="196"/>
      <c r="C245" s="119" t="s">
        <v>22</v>
      </c>
      <c r="D245" s="120">
        <v>1523</v>
      </c>
      <c r="E245" s="121">
        <v>1630</v>
      </c>
      <c r="F245" s="122">
        <f>SUM(D245:E245)</f>
        <v>3153</v>
      </c>
    </row>
    <row r="246" spans="1:6" ht="15" customHeight="1" x14ac:dyDescent="0.3">
      <c r="A246" s="192"/>
      <c r="B246" s="197" t="s">
        <v>5</v>
      </c>
      <c r="C246" s="60" t="s">
        <v>23</v>
      </c>
      <c r="D246" s="61">
        <v>32445</v>
      </c>
      <c r="E246" s="62">
        <v>30517</v>
      </c>
      <c r="F246" s="63">
        <f t="shared" si="10"/>
        <v>62962</v>
      </c>
    </row>
    <row r="247" spans="1:6" ht="15" customHeight="1" x14ac:dyDescent="0.3">
      <c r="A247" s="192"/>
      <c r="B247" s="195"/>
      <c r="C247" s="115" t="s">
        <v>24</v>
      </c>
      <c r="D247" s="116">
        <v>102515</v>
      </c>
      <c r="E247" s="117">
        <v>112078</v>
      </c>
      <c r="F247" s="118">
        <f t="shared" si="10"/>
        <v>214593</v>
      </c>
    </row>
    <row r="248" spans="1:6" ht="15" customHeight="1" x14ac:dyDescent="0.3">
      <c r="A248" s="192"/>
      <c r="B248" s="195"/>
      <c r="C248" s="52" t="s">
        <v>25</v>
      </c>
      <c r="D248" s="53">
        <v>180170</v>
      </c>
      <c r="E248" s="54">
        <v>195133</v>
      </c>
      <c r="F248" s="55">
        <f t="shared" si="10"/>
        <v>375303</v>
      </c>
    </row>
    <row r="249" spans="1:6" ht="15" customHeight="1" x14ac:dyDescent="0.3">
      <c r="A249" s="192"/>
      <c r="B249" s="195"/>
      <c r="C249" s="115" t="s">
        <v>26</v>
      </c>
      <c r="D249" s="116">
        <v>272146</v>
      </c>
      <c r="E249" s="117">
        <v>273232</v>
      </c>
      <c r="F249" s="118">
        <f>SUM(D249:E249)</f>
        <v>545378</v>
      </c>
    </row>
    <row r="250" spans="1:6" ht="15" customHeight="1" x14ac:dyDescent="0.3">
      <c r="A250" s="192"/>
      <c r="B250" s="195"/>
      <c r="C250" s="52" t="s">
        <v>27</v>
      </c>
      <c r="D250" s="53">
        <v>245125</v>
      </c>
      <c r="E250" s="54">
        <v>244655</v>
      </c>
      <c r="F250" s="55">
        <f t="shared" si="10"/>
        <v>489780</v>
      </c>
    </row>
    <row r="251" spans="1:6" ht="15" customHeight="1" x14ac:dyDescent="0.3">
      <c r="A251" s="192"/>
      <c r="B251" s="196"/>
      <c r="C251" s="119" t="s">
        <v>28</v>
      </c>
      <c r="D251" s="120">
        <v>29240</v>
      </c>
      <c r="E251" s="121">
        <v>28882</v>
      </c>
      <c r="F251" s="122">
        <f>SUM(D251:E251)</f>
        <v>58122</v>
      </c>
    </row>
    <row r="252" spans="1:6" ht="15" customHeight="1" x14ac:dyDescent="0.3">
      <c r="A252" s="192"/>
      <c r="B252" s="197" t="s">
        <v>6</v>
      </c>
      <c r="C252" s="60" t="s">
        <v>29</v>
      </c>
      <c r="D252" s="61">
        <v>31109</v>
      </c>
      <c r="E252" s="62">
        <v>32979</v>
      </c>
      <c r="F252" s="63">
        <f t="shared" si="10"/>
        <v>64088</v>
      </c>
    </row>
    <row r="253" spans="1:6" ht="15" customHeight="1" x14ac:dyDescent="0.3">
      <c r="A253" s="192"/>
      <c r="B253" s="195"/>
      <c r="C253" s="115" t="s">
        <v>30</v>
      </c>
      <c r="D253" s="116">
        <v>56496</v>
      </c>
      <c r="E253" s="117">
        <v>55320</v>
      </c>
      <c r="F253" s="118">
        <f>SUM(D253:E253)</f>
        <v>111816</v>
      </c>
    </row>
    <row r="254" spans="1:6" ht="15" customHeight="1" x14ac:dyDescent="0.3">
      <c r="A254" s="192"/>
      <c r="B254" s="195"/>
      <c r="C254" s="52" t="s">
        <v>6</v>
      </c>
      <c r="D254" s="53">
        <v>7065</v>
      </c>
      <c r="E254" s="54">
        <v>8020</v>
      </c>
      <c r="F254" s="55">
        <f>SUM(D254:E254)</f>
        <v>15085</v>
      </c>
    </row>
    <row r="255" spans="1:6" ht="15" customHeight="1" x14ac:dyDescent="0.3">
      <c r="A255" s="192"/>
      <c r="B255" s="196"/>
      <c r="C255" s="119" t="s">
        <v>31</v>
      </c>
      <c r="D255" s="120">
        <v>50651</v>
      </c>
      <c r="E255" s="121">
        <v>50953</v>
      </c>
      <c r="F255" s="122">
        <f t="shared" si="10"/>
        <v>101604</v>
      </c>
    </row>
    <row r="256" spans="1:6" ht="15" customHeight="1" x14ac:dyDescent="0.3">
      <c r="A256" s="192"/>
      <c r="B256" s="197" t="s">
        <v>2</v>
      </c>
      <c r="C256" s="60" t="s">
        <v>2</v>
      </c>
      <c r="D256" s="61">
        <v>406472</v>
      </c>
      <c r="E256" s="62">
        <v>451117</v>
      </c>
      <c r="F256" s="63">
        <f t="shared" si="10"/>
        <v>857589</v>
      </c>
    </row>
    <row r="257" spans="1:6" ht="15" customHeight="1" x14ac:dyDescent="0.3">
      <c r="A257" s="192"/>
      <c r="B257" s="196"/>
      <c r="C257" s="119" t="s">
        <v>32</v>
      </c>
      <c r="D257" s="120">
        <v>28882</v>
      </c>
      <c r="E257" s="121">
        <v>29240</v>
      </c>
      <c r="F257" s="122">
        <f t="shared" si="10"/>
        <v>58122</v>
      </c>
    </row>
    <row r="258" spans="1:6" ht="15" customHeight="1" x14ac:dyDescent="0.3">
      <c r="A258" s="192"/>
      <c r="B258" s="197" t="s">
        <v>3</v>
      </c>
      <c r="C258" s="60" t="s">
        <v>33</v>
      </c>
      <c r="D258" s="61">
        <v>27779</v>
      </c>
      <c r="E258" s="62">
        <v>16823</v>
      </c>
      <c r="F258" s="63">
        <f>SUM(D258:E258)</f>
        <v>44602</v>
      </c>
    </row>
    <row r="259" spans="1:6" ht="15" customHeight="1" x14ac:dyDescent="0.3">
      <c r="A259" s="192"/>
      <c r="B259" s="195"/>
      <c r="C259" s="115" t="s">
        <v>34</v>
      </c>
      <c r="D259" s="116">
        <v>3065</v>
      </c>
      <c r="E259" s="117">
        <v>2839</v>
      </c>
      <c r="F259" s="118">
        <f t="shared" si="10"/>
        <v>5904</v>
      </c>
    </row>
    <row r="260" spans="1:6" ht="15" customHeight="1" x14ac:dyDescent="0.3">
      <c r="A260" s="192"/>
      <c r="B260" s="196"/>
      <c r="C260" s="56" t="s">
        <v>3</v>
      </c>
      <c r="D260" s="57">
        <v>30552</v>
      </c>
      <c r="E260" s="58">
        <v>42611</v>
      </c>
      <c r="F260" s="59">
        <f>SUM(D260:E260)</f>
        <v>73163</v>
      </c>
    </row>
    <row r="261" spans="1:6" ht="15" customHeight="1" thickBot="1" x14ac:dyDescent="0.35">
      <c r="A261" s="193"/>
      <c r="B261" s="127" t="s">
        <v>133</v>
      </c>
      <c r="C261" s="128"/>
      <c r="D261" s="129">
        <f>SUM(D240:D260)</f>
        <v>2350519</v>
      </c>
      <c r="E261" s="130">
        <f>SUM(E240:E260)</f>
        <v>2451891</v>
      </c>
      <c r="F261" s="130">
        <f>SUM(F240:F260)</f>
        <v>4802410</v>
      </c>
    </row>
    <row r="262" spans="1:6" ht="15" customHeight="1" x14ac:dyDescent="0.3">
      <c r="A262" s="6" t="s">
        <v>134</v>
      </c>
      <c r="B262" s="51"/>
      <c r="C262" s="51"/>
      <c r="D262" s="51"/>
    </row>
  </sheetData>
  <mergeCells count="73">
    <mergeCell ref="B100:B102"/>
    <mergeCell ref="B240:B245"/>
    <mergeCell ref="B168:B169"/>
    <mergeCell ref="B170:B172"/>
    <mergeCell ref="B152:B157"/>
    <mergeCell ref="B158:B163"/>
    <mergeCell ref="B164:B167"/>
    <mergeCell ref="B224:B229"/>
    <mergeCell ref="B230:B233"/>
    <mergeCell ref="B234:B235"/>
    <mergeCell ref="B236:B238"/>
    <mergeCell ref="B196:B201"/>
    <mergeCell ref="B252:B255"/>
    <mergeCell ref="B208:B211"/>
    <mergeCell ref="B258:B260"/>
    <mergeCell ref="B103:B104"/>
    <mergeCell ref="B105:B106"/>
    <mergeCell ref="A108:A129"/>
    <mergeCell ref="B202:B207"/>
    <mergeCell ref="B88:B93"/>
    <mergeCell ref="B212:B213"/>
    <mergeCell ref="A240:A261"/>
    <mergeCell ref="A218:A239"/>
    <mergeCell ref="A152:A173"/>
    <mergeCell ref="B214:B216"/>
    <mergeCell ref="A196:A217"/>
    <mergeCell ref="A174:A195"/>
    <mergeCell ref="B190:B191"/>
    <mergeCell ref="B192:B194"/>
    <mergeCell ref="B174:B179"/>
    <mergeCell ref="B180:B185"/>
    <mergeCell ref="B186:B189"/>
    <mergeCell ref="B246:B251"/>
    <mergeCell ref="A88:A107"/>
    <mergeCell ref="B256:B257"/>
    <mergeCell ref="B94:B99"/>
    <mergeCell ref="B218:B223"/>
    <mergeCell ref="A2:F2"/>
    <mergeCell ref="A130:A151"/>
    <mergeCell ref="B130:B135"/>
    <mergeCell ref="B136:B141"/>
    <mergeCell ref="B142:B145"/>
    <mergeCell ref="B146:B147"/>
    <mergeCell ref="B148:B150"/>
    <mergeCell ref="B108:B113"/>
    <mergeCell ref="B114:B119"/>
    <mergeCell ref="B120:B123"/>
    <mergeCell ref="B124:B125"/>
    <mergeCell ref="B126:B128"/>
    <mergeCell ref="A68:A87"/>
    <mergeCell ref="B68:B73"/>
    <mergeCell ref="B74:B79"/>
    <mergeCell ref="B80:B82"/>
    <mergeCell ref="B83:B84"/>
    <mergeCell ref="B85:B86"/>
    <mergeCell ref="A47:A67"/>
    <mergeCell ref="B47:B52"/>
    <mergeCell ref="B53:B58"/>
    <mergeCell ref="B59:B62"/>
    <mergeCell ref="B63:B64"/>
    <mergeCell ref="B65:B66"/>
    <mergeCell ref="A26:A46"/>
    <mergeCell ref="B26:B31"/>
    <mergeCell ref="B32:B37"/>
    <mergeCell ref="B38:B41"/>
    <mergeCell ref="B42:B43"/>
    <mergeCell ref="B44:B45"/>
    <mergeCell ref="A5:A25"/>
    <mergeCell ref="B5:B10"/>
    <mergeCell ref="B11:B16"/>
    <mergeCell ref="B17:B20"/>
    <mergeCell ref="B21:B22"/>
    <mergeCell ref="B23:B24"/>
  </mergeCells>
  <pageMargins left="0.23622047244094491" right="0.23622047244094491" top="0.74803149606299213" bottom="0.74803149606299213" header="0.31496062992125984" footer="0.31496062992125984"/>
  <pageSetup paperSize="9" fitToHeight="0" orientation="landscape" r:id="rId1"/>
  <headerFooter>
    <oddFooter>&amp;L&amp;F&amp;C&amp;P / &amp;N&amp;R&amp;A</oddFooter>
  </headerFooter>
  <rowBreaks count="8" manualBreakCount="8">
    <brk id="107" max="5" man="1"/>
    <brk id="129" max="5" man="1"/>
    <brk id="151" max="5" man="1"/>
    <brk id="173" max="5" man="1"/>
    <brk id="195" max="5" man="1"/>
    <brk id="217" max="7" man="1"/>
    <brk id="195" max="7" man="1"/>
    <brk id="239" max="7" man="1"/>
  </rowBreaks>
  <colBreaks count="1" manualBreakCount="1">
    <brk id="6" max="1048575" man="1"/>
  </colBreaks>
  <ignoredErrors>
    <ignoredError sqref="F195 F217 F173 F15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FB0F-95C7-4C3A-A322-BE02706EA1C5}">
  <sheetPr>
    <tabColor rgb="FF002060"/>
  </sheetPr>
  <dimension ref="A3:E18"/>
  <sheetViews>
    <sheetView showGridLines="0" zoomScaleNormal="100" workbookViewId="0">
      <selection activeCell="C6" sqref="C6:E17"/>
    </sheetView>
  </sheetViews>
  <sheetFormatPr defaultRowHeight="15" customHeight="1" x14ac:dyDescent="0.3"/>
  <cols>
    <col min="1" max="1" width="5.33203125" style="11" customWidth="1"/>
    <col min="2" max="2" width="8.88671875" style="11"/>
    <col min="3" max="4" width="24.6640625" style="11" bestFit="1" customWidth="1"/>
    <col min="5" max="5" width="13.6640625" style="11" bestFit="1" customWidth="1"/>
    <col min="6" max="16384" width="8.88671875" style="11"/>
  </cols>
  <sheetData>
    <row r="3" spans="1:5" ht="15" customHeight="1" x14ac:dyDescent="0.3">
      <c r="A3" s="202" t="s">
        <v>165</v>
      </c>
      <c r="B3" s="200"/>
      <c r="C3" s="200"/>
      <c r="D3" s="200"/>
      <c r="E3" s="203"/>
    </row>
    <row r="4" spans="1:5" ht="15" customHeight="1" x14ac:dyDescent="0.3">
      <c r="A4" s="131"/>
      <c r="B4" s="108"/>
      <c r="C4" s="110" t="s">
        <v>53</v>
      </c>
      <c r="D4" s="110" t="s">
        <v>108</v>
      </c>
      <c r="E4" s="110" t="s">
        <v>14</v>
      </c>
    </row>
    <row r="5" spans="1:5" ht="20.399999999999999" x14ac:dyDescent="0.3">
      <c r="A5" s="132" t="s">
        <v>16</v>
      </c>
      <c r="B5" s="133" t="s">
        <v>17</v>
      </c>
      <c r="C5" s="114" t="s">
        <v>15</v>
      </c>
      <c r="D5" s="114" t="s">
        <v>15</v>
      </c>
      <c r="E5" s="114" t="s">
        <v>15</v>
      </c>
    </row>
    <row r="6" spans="1:5" ht="15" customHeight="1" x14ac:dyDescent="0.3">
      <c r="A6" s="153">
        <v>2024</v>
      </c>
      <c r="B6" s="154" t="s">
        <v>4</v>
      </c>
      <c r="C6" s="164">
        <v>293015</v>
      </c>
      <c r="D6" s="49">
        <v>261045</v>
      </c>
      <c r="E6" s="50">
        <v>554060</v>
      </c>
    </row>
    <row r="7" spans="1:5" ht="15" customHeight="1" x14ac:dyDescent="0.3">
      <c r="A7" s="155">
        <v>2023</v>
      </c>
      <c r="B7" s="156" t="s">
        <v>4</v>
      </c>
      <c r="C7" s="165">
        <v>247581</v>
      </c>
      <c r="D7" s="134">
        <v>244864</v>
      </c>
      <c r="E7" s="135">
        <v>492445</v>
      </c>
    </row>
    <row r="8" spans="1:5" ht="15" customHeight="1" x14ac:dyDescent="0.3">
      <c r="A8" s="153">
        <v>2022</v>
      </c>
      <c r="B8" s="154" t="s">
        <v>4</v>
      </c>
      <c r="C8" s="164">
        <v>211487</v>
      </c>
      <c r="D8" s="49">
        <v>207216</v>
      </c>
      <c r="E8" s="50">
        <v>418703</v>
      </c>
    </row>
    <row r="9" spans="1:5" ht="15" customHeight="1" x14ac:dyDescent="0.3">
      <c r="A9" s="155">
        <v>2021</v>
      </c>
      <c r="B9" s="156" t="s">
        <v>4</v>
      </c>
      <c r="C9" s="165">
        <v>53405</v>
      </c>
      <c r="D9" s="134">
        <v>55634</v>
      </c>
      <c r="E9" s="135">
        <v>109039</v>
      </c>
    </row>
    <row r="10" spans="1:5" ht="15" customHeight="1" x14ac:dyDescent="0.3">
      <c r="A10" s="153">
        <v>2020</v>
      </c>
      <c r="B10" s="154" t="s">
        <v>4</v>
      </c>
      <c r="C10" s="164">
        <v>13571</v>
      </c>
      <c r="D10" s="49">
        <v>10796</v>
      </c>
      <c r="E10" s="50">
        <v>24367</v>
      </c>
    </row>
    <row r="11" spans="1:5" ht="15" customHeight="1" x14ac:dyDescent="0.3">
      <c r="A11" s="155">
        <v>2019</v>
      </c>
      <c r="B11" s="156" t="s">
        <v>4</v>
      </c>
      <c r="C11" s="165">
        <v>175928</v>
      </c>
      <c r="D11" s="134">
        <v>171557</v>
      </c>
      <c r="E11" s="135">
        <v>347485</v>
      </c>
    </row>
    <row r="12" spans="1:5" ht="15" customHeight="1" x14ac:dyDescent="0.3">
      <c r="A12" s="153">
        <v>2018</v>
      </c>
      <c r="B12" s="154" t="s">
        <v>4</v>
      </c>
      <c r="C12" s="164">
        <v>177959</v>
      </c>
      <c r="D12" s="49">
        <v>171805</v>
      </c>
      <c r="E12" s="50">
        <v>349764</v>
      </c>
    </row>
    <row r="13" spans="1:5" ht="15" customHeight="1" x14ac:dyDescent="0.3">
      <c r="A13" s="155">
        <v>2017</v>
      </c>
      <c r="B13" s="156" t="s">
        <v>4</v>
      </c>
      <c r="C13" s="165">
        <v>131465</v>
      </c>
      <c r="D13" s="134">
        <v>130638</v>
      </c>
      <c r="E13" s="135">
        <v>262103</v>
      </c>
    </row>
    <row r="14" spans="1:5" ht="15" customHeight="1" x14ac:dyDescent="0.3">
      <c r="A14" s="153">
        <v>2016</v>
      </c>
      <c r="B14" s="154" t="s">
        <v>4</v>
      </c>
      <c r="C14" s="164">
        <v>94180</v>
      </c>
      <c r="D14" s="49">
        <v>92454</v>
      </c>
      <c r="E14" s="50">
        <v>186634</v>
      </c>
    </row>
    <row r="15" spans="1:5" ht="15" customHeight="1" x14ac:dyDescent="0.3">
      <c r="A15" s="155">
        <v>2015</v>
      </c>
      <c r="B15" s="156" t="s">
        <v>4</v>
      </c>
      <c r="C15" s="165">
        <v>83147</v>
      </c>
      <c r="D15" s="134">
        <v>79074</v>
      </c>
      <c r="E15" s="135">
        <v>162221</v>
      </c>
    </row>
    <row r="16" spans="1:5" ht="15" customHeight="1" x14ac:dyDescent="0.3">
      <c r="A16" s="153">
        <v>2014</v>
      </c>
      <c r="B16" s="154" t="s">
        <v>4</v>
      </c>
      <c r="C16" s="164">
        <v>69371</v>
      </c>
      <c r="D16" s="49">
        <v>69195</v>
      </c>
      <c r="E16" s="50">
        <v>138566</v>
      </c>
    </row>
    <row r="17" spans="1:5" ht="15" customHeight="1" x14ac:dyDescent="0.3">
      <c r="A17" s="155">
        <v>2013</v>
      </c>
      <c r="B17" s="156" t="s">
        <v>4</v>
      </c>
      <c r="C17" s="165">
        <v>52715</v>
      </c>
      <c r="D17" s="134">
        <v>53187</v>
      </c>
      <c r="E17" s="135">
        <v>105902</v>
      </c>
    </row>
    <row r="18" spans="1:5" ht="15" customHeight="1" x14ac:dyDescent="0.3">
      <c r="A18" s="6" t="s">
        <v>134</v>
      </c>
      <c r="B18" s="2"/>
      <c r="C18" s="51"/>
    </row>
  </sheetData>
  <mergeCells count="1">
    <mergeCell ref="A3:E3"/>
  </mergeCells>
  <pageMargins left="0.7" right="0.7" top="0.75" bottom="0.75" header="0.3" footer="0.3"/>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21712-E3B3-476E-A9E8-1F49FC4FF651}">
  <sheetPr>
    <tabColor theme="6"/>
  </sheetPr>
  <dimension ref="A3:O13"/>
  <sheetViews>
    <sheetView showGridLines="0" zoomScaleNormal="100" workbookViewId="0">
      <pane xSplit="1" topLeftCell="B1" activePane="topRight" state="frozen"/>
      <selection pane="topRight" activeCell="N11" sqref="N11:O12"/>
    </sheetView>
  </sheetViews>
  <sheetFormatPr defaultRowHeight="15" customHeight="1" x14ac:dyDescent="0.3"/>
  <cols>
    <col min="1" max="1" width="17.6640625" style="11" customWidth="1"/>
    <col min="2" max="2" width="10.6640625" style="11" customWidth="1"/>
    <col min="3" max="15" width="9.77734375" style="11" customWidth="1"/>
    <col min="16" max="16384" width="8.88671875" style="11"/>
  </cols>
  <sheetData>
    <row r="3" spans="1:15" ht="15" customHeight="1" x14ac:dyDescent="0.3">
      <c r="A3" s="210" t="s">
        <v>169</v>
      </c>
      <c r="B3" s="210"/>
      <c r="C3" s="210"/>
      <c r="D3" s="210"/>
      <c r="E3" s="210"/>
      <c r="F3" s="210"/>
      <c r="G3" s="210"/>
      <c r="H3" s="210"/>
      <c r="I3" s="210"/>
      <c r="J3" s="210"/>
      <c r="K3" s="210"/>
      <c r="L3" s="210"/>
      <c r="M3" s="210"/>
      <c r="N3" s="210"/>
      <c r="O3" s="210"/>
    </row>
    <row r="4" spans="1:15" ht="15" customHeight="1" x14ac:dyDescent="0.3">
      <c r="A4" s="45" t="s">
        <v>17</v>
      </c>
      <c r="B4" s="45"/>
      <c r="C4" s="46">
        <v>2013</v>
      </c>
      <c r="D4" s="46">
        <v>2014</v>
      </c>
      <c r="E4" s="46">
        <v>2015</v>
      </c>
      <c r="F4" s="46">
        <v>2016</v>
      </c>
      <c r="G4" s="46">
        <v>2017</v>
      </c>
      <c r="H4" s="46">
        <v>2018</v>
      </c>
      <c r="I4" s="46">
        <v>2019</v>
      </c>
      <c r="J4" s="46">
        <v>2020</v>
      </c>
      <c r="K4" s="46">
        <v>2021</v>
      </c>
      <c r="L4" s="46">
        <v>2022</v>
      </c>
      <c r="M4" s="46">
        <v>2023</v>
      </c>
      <c r="N4" s="46">
        <v>2024</v>
      </c>
      <c r="O4" s="46">
        <v>2025</v>
      </c>
    </row>
    <row r="5" spans="1:15" ht="15" customHeight="1" x14ac:dyDescent="0.3">
      <c r="A5" s="204" t="s">
        <v>4</v>
      </c>
      <c r="B5" s="138" t="s">
        <v>101</v>
      </c>
      <c r="C5" s="139">
        <v>480</v>
      </c>
      <c r="D5" s="139">
        <v>395</v>
      </c>
      <c r="E5" s="47">
        <v>407</v>
      </c>
      <c r="F5" s="47">
        <v>481</v>
      </c>
      <c r="G5" s="47">
        <v>410</v>
      </c>
      <c r="H5" s="47">
        <v>413</v>
      </c>
      <c r="I5" s="47">
        <v>420</v>
      </c>
      <c r="J5" s="47">
        <v>13</v>
      </c>
      <c r="K5" s="47">
        <v>200</v>
      </c>
      <c r="L5" s="47">
        <v>392</v>
      </c>
      <c r="M5" s="47">
        <v>353</v>
      </c>
      <c r="N5" s="47">
        <v>437</v>
      </c>
      <c r="O5" s="47">
        <v>467</v>
      </c>
    </row>
    <row r="6" spans="1:15" ht="15" customHeight="1" x14ac:dyDescent="0.3">
      <c r="A6" s="205"/>
      <c r="B6" s="140" t="s">
        <v>102</v>
      </c>
      <c r="C6" s="141">
        <v>744673</v>
      </c>
      <c r="D6" s="141">
        <v>672368</v>
      </c>
      <c r="E6" s="141">
        <v>647347</v>
      </c>
      <c r="F6" s="141">
        <v>748916</v>
      </c>
      <c r="G6" s="141">
        <v>679681</v>
      </c>
      <c r="H6" s="141">
        <v>735832</v>
      </c>
      <c r="I6" s="141">
        <v>767673</v>
      </c>
      <c r="J6" s="141">
        <v>10448</v>
      </c>
      <c r="K6" s="141">
        <v>234699</v>
      </c>
      <c r="L6" s="141">
        <v>527609</v>
      </c>
      <c r="M6" s="141">
        <v>667182</v>
      </c>
      <c r="N6" s="141">
        <v>815613</v>
      </c>
      <c r="O6" s="141">
        <v>894179</v>
      </c>
    </row>
    <row r="7" spans="1:15" ht="15" customHeight="1" x14ac:dyDescent="0.3">
      <c r="A7" s="206" t="s">
        <v>124</v>
      </c>
      <c r="B7" s="142" t="s">
        <v>101</v>
      </c>
      <c r="C7" s="143">
        <v>100</v>
      </c>
      <c r="D7" s="143">
        <v>79</v>
      </c>
      <c r="E7" s="144">
        <v>112</v>
      </c>
      <c r="F7" s="144">
        <v>77</v>
      </c>
      <c r="G7" s="144">
        <v>50</v>
      </c>
      <c r="H7" s="144">
        <v>90</v>
      </c>
      <c r="I7" s="144">
        <v>133</v>
      </c>
      <c r="J7" s="144">
        <v>1</v>
      </c>
      <c r="K7" s="144">
        <v>33</v>
      </c>
      <c r="L7" s="144">
        <v>132</v>
      </c>
      <c r="M7" s="144">
        <v>112</v>
      </c>
      <c r="N7" s="144">
        <v>137</v>
      </c>
      <c r="O7" s="144">
        <v>148</v>
      </c>
    </row>
    <row r="8" spans="1:15" ht="15" customHeight="1" x14ac:dyDescent="0.3">
      <c r="A8" s="207"/>
      <c r="B8" s="145" t="s">
        <v>102</v>
      </c>
      <c r="C8" s="146">
        <v>135659</v>
      </c>
      <c r="D8" s="146">
        <v>88032</v>
      </c>
      <c r="E8" s="146">
        <v>149227</v>
      </c>
      <c r="F8" s="146">
        <v>85463</v>
      </c>
      <c r="G8" s="146">
        <v>61598</v>
      </c>
      <c r="H8" s="146">
        <v>144074</v>
      </c>
      <c r="I8" s="146">
        <v>259261</v>
      </c>
      <c r="J8" s="146">
        <v>617</v>
      </c>
      <c r="K8" s="146">
        <v>28291</v>
      </c>
      <c r="L8" s="146">
        <v>145373</v>
      </c>
      <c r="M8" s="146">
        <v>160478</v>
      </c>
      <c r="N8" s="146">
        <v>186219</v>
      </c>
      <c r="O8" s="146">
        <v>256679</v>
      </c>
    </row>
    <row r="9" spans="1:15" ht="15" customHeight="1" x14ac:dyDescent="0.3">
      <c r="A9" s="208" t="s">
        <v>2</v>
      </c>
      <c r="B9" s="147" t="s">
        <v>101</v>
      </c>
      <c r="C9" s="148">
        <v>34</v>
      </c>
      <c r="D9" s="148">
        <v>13</v>
      </c>
      <c r="E9" s="148">
        <v>8</v>
      </c>
      <c r="F9" s="148">
        <v>29</v>
      </c>
      <c r="G9" s="148">
        <v>17</v>
      </c>
      <c r="H9" s="148">
        <v>17</v>
      </c>
      <c r="I9" s="148">
        <v>20</v>
      </c>
      <c r="J9" s="148">
        <v>2</v>
      </c>
      <c r="K9" s="148">
        <v>5</v>
      </c>
      <c r="L9" s="148">
        <v>26</v>
      </c>
      <c r="M9" s="148">
        <v>74</v>
      </c>
      <c r="N9" s="148">
        <v>67</v>
      </c>
      <c r="O9" s="148">
        <v>48</v>
      </c>
    </row>
    <row r="10" spans="1:15" ht="15" customHeight="1" x14ac:dyDescent="0.3">
      <c r="A10" s="205"/>
      <c r="B10" s="149" t="s">
        <v>102</v>
      </c>
      <c r="C10" s="141">
        <v>34143</v>
      </c>
      <c r="D10" s="141">
        <v>10953</v>
      </c>
      <c r="E10" s="141">
        <v>5742</v>
      </c>
      <c r="F10" s="141">
        <v>25175</v>
      </c>
      <c r="G10" s="141">
        <v>13104</v>
      </c>
      <c r="H10" s="141">
        <v>14284</v>
      </c>
      <c r="I10" s="141">
        <v>17226</v>
      </c>
      <c r="J10" s="141">
        <v>105</v>
      </c>
      <c r="K10" s="141">
        <v>2335</v>
      </c>
      <c r="L10" s="141">
        <v>20168</v>
      </c>
      <c r="M10" s="141">
        <v>123218</v>
      </c>
      <c r="N10" s="141">
        <v>102428</v>
      </c>
      <c r="O10" s="141">
        <v>41245</v>
      </c>
    </row>
    <row r="11" spans="1:15" ht="15" customHeight="1" x14ac:dyDescent="0.3">
      <c r="A11" s="209" t="s">
        <v>122</v>
      </c>
      <c r="B11" s="136" t="s">
        <v>101</v>
      </c>
      <c r="C11" s="137">
        <f>C5+C7+C9</f>
        <v>614</v>
      </c>
      <c r="D11" s="137">
        <f t="shared" ref="D11:K12" si="0">D5+D7+D9</f>
        <v>487</v>
      </c>
      <c r="E11" s="137">
        <f t="shared" si="0"/>
        <v>527</v>
      </c>
      <c r="F11" s="137">
        <f t="shared" si="0"/>
        <v>587</v>
      </c>
      <c r="G11" s="137">
        <f t="shared" si="0"/>
        <v>477</v>
      </c>
      <c r="H11" s="137">
        <f t="shared" si="0"/>
        <v>520</v>
      </c>
      <c r="I11" s="137">
        <f t="shared" si="0"/>
        <v>573</v>
      </c>
      <c r="J11" s="137">
        <f t="shared" si="0"/>
        <v>16</v>
      </c>
      <c r="K11" s="137">
        <f t="shared" si="0"/>
        <v>238</v>
      </c>
      <c r="L11" s="137">
        <f t="shared" ref="L11:M11" si="1">L5+L7+L9</f>
        <v>550</v>
      </c>
      <c r="M11" s="137">
        <f t="shared" si="1"/>
        <v>539</v>
      </c>
      <c r="N11" s="137">
        <f t="shared" ref="N11:O11" si="2">N5+N7+N9</f>
        <v>641</v>
      </c>
      <c r="O11" s="137">
        <f t="shared" si="2"/>
        <v>663</v>
      </c>
    </row>
    <row r="12" spans="1:15" ht="15" customHeight="1" x14ac:dyDescent="0.3">
      <c r="A12" s="209"/>
      <c r="B12" s="137" t="s">
        <v>102</v>
      </c>
      <c r="C12" s="137">
        <f>C6+C8+C10</f>
        <v>914475</v>
      </c>
      <c r="D12" s="137">
        <f t="shared" si="0"/>
        <v>771353</v>
      </c>
      <c r="E12" s="137">
        <f t="shared" si="0"/>
        <v>802316</v>
      </c>
      <c r="F12" s="137">
        <f t="shared" si="0"/>
        <v>859554</v>
      </c>
      <c r="G12" s="137">
        <f t="shared" si="0"/>
        <v>754383</v>
      </c>
      <c r="H12" s="137">
        <f t="shared" si="0"/>
        <v>894190</v>
      </c>
      <c r="I12" s="137">
        <f t="shared" si="0"/>
        <v>1044160</v>
      </c>
      <c r="J12" s="137">
        <f t="shared" si="0"/>
        <v>11170</v>
      </c>
      <c r="K12" s="137">
        <f t="shared" si="0"/>
        <v>265325</v>
      </c>
      <c r="L12" s="137">
        <f t="shared" ref="L12:M12" si="3">L6+L8+L10</f>
        <v>693150</v>
      </c>
      <c r="M12" s="137">
        <f t="shared" si="3"/>
        <v>950878</v>
      </c>
      <c r="N12" s="137">
        <f t="shared" ref="N12:O12" si="4">N6+N8+N10</f>
        <v>1104260</v>
      </c>
      <c r="O12" s="137">
        <f t="shared" si="4"/>
        <v>1192103</v>
      </c>
    </row>
    <row r="13" spans="1:15" ht="15" customHeight="1" x14ac:dyDescent="0.3">
      <c r="A13" s="48" t="s">
        <v>123</v>
      </c>
      <c r="B13" s="48"/>
      <c r="C13" s="48"/>
      <c r="D13" s="48"/>
    </row>
  </sheetData>
  <mergeCells count="5">
    <mergeCell ref="A5:A6"/>
    <mergeCell ref="A7:A8"/>
    <mergeCell ref="A9:A10"/>
    <mergeCell ref="A11:A12"/>
    <mergeCell ref="A3:O3"/>
  </mergeCells>
  <pageMargins left="0.7" right="0.7" top="0.75" bottom="0.75" header="0.3" footer="0.3"/>
  <pageSetup paperSize="9" orientation="landscape" r:id="rId1"/>
  <headerFooter>
    <oddFooter>&amp;L&amp;F&amp;C&amp;P&amp;R&amp;A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T17"/>
  <sheetViews>
    <sheetView showGridLines="0" zoomScaleNormal="100" workbookViewId="0">
      <pane xSplit="1" topLeftCell="B1" activePane="topRight" state="frozen"/>
      <selection pane="topRight" activeCell="R5" sqref="R5:R16"/>
    </sheetView>
  </sheetViews>
  <sheetFormatPr defaultRowHeight="15" customHeight="1" x14ac:dyDescent="0.3"/>
  <cols>
    <col min="1" max="1" width="14.109375" style="11" customWidth="1"/>
    <col min="2" max="2" width="17.33203125" style="11" bestFit="1" customWidth="1"/>
    <col min="3" max="12" width="9.6640625" style="11" bestFit="1" customWidth="1"/>
    <col min="13" max="13" width="9.109375" style="11" bestFit="1" customWidth="1"/>
    <col min="14" max="18" width="9.109375" style="11" customWidth="1"/>
    <col min="19" max="16384" width="8.88671875" style="11"/>
  </cols>
  <sheetData>
    <row r="3" spans="1:20" ht="15" customHeight="1" x14ac:dyDescent="0.3">
      <c r="A3" s="176" t="s">
        <v>172</v>
      </c>
      <c r="B3" s="176"/>
      <c r="C3" s="176"/>
      <c r="D3" s="176"/>
      <c r="E3" s="176"/>
      <c r="F3" s="176"/>
      <c r="G3" s="176"/>
      <c r="H3" s="176"/>
      <c r="I3" s="176"/>
      <c r="J3" s="176"/>
      <c r="K3" s="176"/>
      <c r="L3" s="176"/>
      <c r="M3" s="176"/>
      <c r="N3" s="176"/>
      <c r="O3" s="176"/>
      <c r="P3" s="176"/>
      <c r="Q3" s="176"/>
      <c r="R3" s="176"/>
    </row>
    <row r="4" spans="1:20" ht="15" customHeight="1" x14ac:dyDescent="0.3">
      <c r="A4" s="150" t="s">
        <v>120</v>
      </c>
      <c r="B4" s="94"/>
      <c r="C4" s="99">
        <v>2010</v>
      </c>
      <c r="D4" s="99">
        <v>2011</v>
      </c>
      <c r="E4" s="99">
        <v>2012</v>
      </c>
      <c r="F4" s="99">
        <v>2013</v>
      </c>
      <c r="G4" s="99">
        <v>2014</v>
      </c>
      <c r="H4" s="99">
        <v>2015</v>
      </c>
      <c r="I4" s="99">
        <v>2016</v>
      </c>
      <c r="J4" s="99">
        <v>2017</v>
      </c>
      <c r="K4" s="99">
        <v>2018</v>
      </c>
      <c r="L4" s="99">
        <v>2019</v>
      </c>
      <c r="M4" s="99">
        <v>2020</v>
      </c>
      <c r="N4" s="99">
        <v>2021</v>
      </c>
      <c r="O4" s="99">
        <v>2022</v>
      </c>
      <c r="P4" s="99">
        <v>2023</v>
      </c>
      <c r="Q4" s="99">
        <v>2024</v>
      </c>
      <c r="R4" s="99">
        <v>2025</v>
      </c>
      <c r="S4" s="42"/>
      <c r="T4" s="42"/>
    </row>
    <row r="5" spans="1:20" ht="15" customHeight="1" x14ac:dyDescent="0.3">
      <c r="A5" s="177" t="s">
        <v>2</v>
      </c>
      <c r="B5" s="16" t="s">
        <v>10</v>
      </c>
      <c r="C5" s="43">
        <v>5550</v>
      </c>
      <c r="D5" s="43">
        <v>5886</v>
      </c>
      <c r="E5" s="43">
        <v>2569</v>
      </c>
      <c r="F5" s="43">
        <v>14045</v>
      </c>
      <c r="G5" s="43">
        <v>5118</v>
      </c>
      <c r="H5" s="43">
        <v>2742</v>
      </c>
      <c r="I5" s="43">
        <v>9101</v>
      </c>
      <c r="J5" s="43">
        <v>10170</v>
      </c>
      <c r="K5" s="43">
        <v>9715</v>
      </c>
      <c r="L5" s="43">
        <v>7902</v>
      </c>
      <c r="M5" s="43">
        <v>1172</v>
      </c>
      <c r="N5" s="43">
        <v>4259</v>
      </c>
      <c r="O5" s="43">
        <v>5970</v>
      </c>
      <c r="P5" s="43">
        <v>7578</v>
      </c>
      <c r="Q5" s="43">
        <v>6967</v>
      </c>
      <c r="R5" s="43">
        <v>6397</v>
      </c>
    </row>
    <row r="6" spans="1:20" ht="15" customHeight="1" x14ac:dyDescent="0.3">
      <c r="A6" s="177"/>
      <c r="B6" s="16" t="s">
        <v>115</v>
      </c>
      <c r="C6" s="43">
        <v>12296</v>
      </c>
      <c r="D6" s="43">
        <v>7952</v>
      </c>
      <c r="E6" s="43">
        <v>9199</v>
      </c>
      <c r="F6" s="43">
        <v>19000</v>
      </c>
      <c r="G6" s="43">
        <v>17947</v>
      </c>
      <c r="H6" s="43">
        <v>16656</v>
      </c>
      <c r="I6" s="43">
        <v>15978</v>
      </c>
      <c r="J6" s="43">
        <v>24797</v>
      </c>
      <c r="K6" s="43">
        <v>14127</v>
      </c>
      <c r="L6" s="43">
        <v>21707</v>
      </c>
      <c r="M6" s="43">
        <v>7153</v>
      </c>
      <c r="N6" s="43">
        <v>12784</v>
      </c>
      <c r="O6" s="43">
        <v>22281</v>
      </c>
      <c r="P6" s="43">
        <v>24652</v>
      </c>
      <c r="Q6" s="43">
        <v>19428</v>
      </c>
      <c r="R6" s="43">
        <v>20475</v>
      </c>
    </row>
    <row r="7" spans="1:20" ht="15" customHeight="1" x14ac:dyDescent="0.3">
      <c r="A7" s="178" t="s">
        <v>3</v>
      </c>
      <c r="B7" s="11" t="s">
        <v>10</v>
      </c>
      <c r="C7" s="44">
        <v>0</v>
      </c>
      <c r="D7" s="44">
        <v>0</v>
      </c>
      <c r="E7" s="44">
        <v>0</v>
      </c>
      <c r="F7" s="44">
        <v>0</v>
      </c>
      <c r="G7" s="44">
        <v>0</v>
      </c>
      <c r="H7" s="44">
        <v>0</v>
      </c>
      <c r="I7" s="44">
        <v>0</v>
      </c>
      <c r="J7" s="44">
        <v>0</v>
      </c>
      <c r="K7" s="44">
        <v>0</v>
      </c>
      <c r="L7" s="44">
        <v>11</v>
      </c>
      <c r="M7" s="44">
        <v>1926</v>
      </c>
      <c r="N7" s="44">
        <v>1578</v>
      </c>
      <c r="O7" s="44">
        <v>2140</v>
      </c>
      <c r="P7" s="44">
        <v>2559</v>
      </c>
      <c r="Q7" s="44">
        <v>7587</v>
      </c>
      <c r="R7" s="44">
        <v>8434</v>
      </c>
    </row>
    <row r="8" spans="1:20" ht="15" customHeight="1" x14ac:dyDescent="0.3">
      <c r="A8" s="178"/>
      <c r="B8" s="11" t="s">
        <v>115</v>
      </c>
      <c r="C8" s="44">
        <v>0</v>
      </c>
      <c r="D8" s="44">
        <v>0</v>
      </c>
      <c r="E8" s="44">
        <v>0</v>
      </c>
      <c r="F8" s="44">
        <v>0</v>
      </c>
      <c r="G8" s="44">
        <v>0</v>
      </c>
      <c r="H8" s="44">
        <v>0</v>
      </c>
      <c r="I8" s="44">
        <v>0</v>
      </c>
      <c r="J8" s="44">
        <v>0</v>
      </c>
      <c r="K8" s="44">
        <v>0</v>
      </c>
      <c r="L8" s="44">
        <v>0</v>
      </c>
      <c r="M8" s="44">
        <v>0</v>
      </c>
      <c r="N8" s="44">
        <v>0</v>
      </c>
      <c r="O8" s="44">
        <v>0</v>
      </c>
      <c r="P8" s="44">
        <v>0</v>
      </c>
      <c r="Q8" s="44">
        <v>0</v>
      </c>
      <c r="R8" s="44">
        <v>0</v>
      </c>
    </row>
    <row r="9" spans="1:20" ht="15" customHeight="1" x14ac:dyDescent="0.3">
      <c r="A9" s="177" t="s">
        <v>4</v>
      </c>
      <c r="B9" s="16" t="s">
        <v>10</v>
      </c>
      <c r="C9" s="43">
        <v>51419</v>
      </c>
      <c r="D9" s="43">
        <v>52347</v>
      </c>
      <c r="E9" s="43">
        <v>46819</v>
      </c>
      <c r="F9" s="43">
        <v>44236</v>
      </c>
      <c r="G9" s="43">
        <v>49835</v>
      </c>
      <c r="H9" s="43">
        <v>53855</v>
      </c>
      <c r="I9" s="43">
        <v>52603</v>
      </c>
      <c r="J9" s="43">
        <v>54464</v>
      </c>
      <c r="K9" s="43">
        <v>61686</v>
      </c>
      <c r="L9" s="43">
        <v>66836</v>
      </c>
      <c r="M9" s="43">
        <v>16920</v>
      </c>
      <c r="N9" s="43">
        <v>47124</v>
      </c>
      <c r="O9" s="43">
        <v>116635</v>
      </c>
      <c r="P9" s="43">
        <v>138406</v>
      </c>
      <c r="Q9" s="43">
        <v>148161</v>
      </c>
      <c r="R9" s="43">
        <v>120009</v>
      </c>
    </row>
    <row r="10" spans="1:20" ht="15" customHeight="1" x14ac:dyDescent="0.3">
      <c r="A10" s="177"/>
      <c r="B10" s="16" t="s">
        <v>115</v>
      </c>
      <c r="C10" s="43">
        <v>122575</v>
      </c>
      <c r="D10" s="43">
        <v>112529</v>
      </c>
      <c r="E10" s="43">
        <v>112741</v>
      </c>
      <c r="F10" s="43">
        <v>154198</v>
      </c>
      <c r="G10" s="43">
        <v>208971</v>
      </c>
      <c r="H10" s="43">
        <v>220293</v>
      </c>
      <c r="I10" s="43">
        <v>202646</v>
      </c>
      <c r="J10" s="43">
        <v>153996</v>
      </c>
      <c r="K10" s="43">
        <v>185135</v>
      </c>
      <c r="L10" s="43">
        <v>206772</v>
      </c>
      <c r="M10" s="43">
        <v>59691</v>
      </c>
      <c r="N10" s="43">
        <v>159583</v>
      </c>
      <c r="O10" s="43">
        <v>257553</v>
      </c>
      <c r="P10" s="43">
        <v>343167</v>
      </c>
      <c r="Q10" s="43">
        <v>357158</v>
      </c>
      <c r="R10" s="43">
        <v>433040</v>
      </c>
    </row>
    <row r="11" spans="1:20" ht="15" customHeight="1" x14ac:dyDescent="0.3">
      <c r="A11" s="178" t="s">
        <v>5</v>
      </c>
      <c r="B11" s="11" t="s">
        <v>10</v>
      </c>
      <c r="C11" s="44">
        <v>4872</v>
      </c>
      <c r="D11" s="44">
        <v>7413</v>
      </c>
      <c r="E11" s="44">
        <v>7184</v>
      </c>
      <c r="F11" s="44">
        <v>8331</v>
      </c>
      <c r="G11" s="44">
        <v>100</v>
      </c>
      <c r="H11" s="44">
        <v>0</v>
      </c>
      <c r="I11" s="44">
        <v>0</v>
      </c>
      <c r="J11" s="44">
        <v>0</v>
      </c>
      <c r="K11" s="44">
        <v>0</v>
      </c>
      <c r="L11" s="44">
        <v>0</v>
      </c>
      <c r="M11" s="44">
        <v>0</v>
      </c>
      <c r="N11" s="44">
        <v>0</v>
      </c>
      <c r="O11" s="44">
        <v>3844</v>
      </c>
      <c r="P11" s="44">
        <v>2192</v>
      </c>
      <c r="Q11" s="44">
        <v>1521</v>
      </c>
      <c r="R11" s="44">
        <v>4590</v>
      </c>
    </row>
    <row r="12" spans="1:20" ht="15" customHeight="1" x14ac:dyDescent="0.3">
      <c r="A12" s="178"/>
      <c r="B12" s="11" t="s">
        <v>115</v>
      </c>
      <c r="C12" s="44">
        <v>0</v>
      </c>
      <c r="D12" s="44">
        <v>0</v>
      </c>
      <c r="E12" s="44">
        <v>0</v>
      </c>
      <c r="F12" s="44">
        <v>0</v>
      </c>
      <c r="G12" s="44">
        <v>0</v>
      </c>
      <c r="H12" s="44">
        <v>0</v>
      </c>
      <c r="I12" s="44">
        <v>0</v>
      </c>
      <c r="J12" s="44">
        <v>0</v>
      </c>
      <c r="K12" s="44">
        <v>0</v>
      </c>
      <c r="L12" s="44">
        <v>0</v>
      </c>
      <c r="M12" s="44">
        <v>5203</v>
      </c>
      <c r="N12" s="44">
        <v>8644</v>
      </c>
      <c r="O12" s="44">
        <v>24174</v>
      </c>
      <c r="P12" s="44">
        <v>21790</v>
      </c>
      <c r="Q12" s="44">
        <v>23138</v>
      </c>
      <c r="R12" s="44">
        <v>20152</v>
      </c>
    </row>
    <row r="13" spans="1:20" ht="15" customHeight="1" x14ac:dyDescent="0.3">
      <c r="A13" s="177" t="s">
        <v>6</v>
      </c>
      <c r="B13" s="16" t="s">
        <v>10</v>
      </c>
      <c r="C13" s="43">
        <v>3029</v>
      </c>
      <c r="D13" s="43">
        <v>3303</v>
      </c>
      <c r="E13" s="43">
        <v>4226</v>
      </c>
      <c r="F13" s="43">
        <v>4072</v>
      </c>
      <c r="G13" s="43">
        <v>4948</v>
      </c>
      <c r="H13" s="43">
        <v>4538</v>
      </c>
      <c r="I13" s="43">
        <v>5426</v>
      </c>
      <c r="J13" s="43">
        <v>5997</v>
      </c>
      <c r="K13" s="43">
        <v>7269</v>
      </c>
      <c r="L13" s="43">
        <v>6134</v>
      </c>
      <c r="M13" s="43">
        <v>1380</v>
      </c>
      <c r="N13" s="43">
        <v>2664</v>
      </c>
      <c r="O13" s="43">
        <v>5651</v>
      </c>
      <c r="P13" s="43">
        <v>6766</v>
      </c>
      <c r="Q13" s="43">
        <v>4500</v>
      </c>
      <c r="R13" s="43">
        <v>6441</v>
      </c>
    </row>
    <row r="14" spans="1:20" ht="15" customHeight="1" x14ac:dyDescent="0.3">
      <c r="A14" s="177"/>
      <c r="B14" s="16" t="s">
        <v>115</v>
      </c>
      <c r="C14" s="43">
        <v>0</v>
      </c>
      <c r="D14" s="43">
        <v>0</v>
      </c>
      <c r="E14" s="43">
        <v>0</v>
      </c>
      <c r="F14" s="43">
        <v>0</v>
      </c>
      <c r="G14" s="43">
        <v>0</v>
      </c>
      <c r="H14" s="43">
        <v>0</v>
      </c>
      <c r="I14" s="43">
        <v>6542</v>
      </c>
      <c r="J14" s="43">
        <v>6897</v>
      </c>
      <c r="K14" s="43">
        <v>7288</v>
      </c>
      <c r="L14" s="43">
        <v>8418</v>
      </c>
      <c r="M14" s="43">
        <v>3266</v>
      </c>
      <c r="N14" s="43">
        <v>6288</v>
      </c>
      <c r="O14" s="43">
        <v>10451</v>
      </c>
      <c r="P14" s="43">
        <v>11345</v>
      </c>
      <c r="Q14" s="43">
        <v>14842</v>
      </c>
      <c r="R14" s="43">
        <v>15328</v>
      </c>
    </row>
    <row r="15" spans="1:20" ht="15" customHeight="1" x14ac:dyDescent="0.3">
      <c r="A15" s="179" t="s">
        <v>1</v>
      </c>
      <c r="B15" s="95" t="s">
        <v>10</v>
      </c>
      <c r="C15" s="101">
        <f>C5+C7+C9+C11+C13</f>
        <v>64870</v>
      </c>
      <c r="D15" s="101">
        <f t="shared" ref="D15:K16" si="0">D5+D7+D9+D11+D13</f>
        <v>68949</v>
      </c>
      <c r="E15" s="101">
        <f t="shared" si="0"/>
        <v>60798</v>
      </c>
      <c r="F15" s="101">
        <f t="shared" si="0"/>
        <v>70684</v>
      </c>
      <c r="G15" s="101">
        <f t="shared" si="0"/>
        <v>60001</v>
      </c>
      <c r="H15" s="101">
        <f t="shared" si="0"/>
        <v>61135</v>
      </c>
      <c r="I15" s="101">
        <f t="shared" si="0"/>
        <v>67130</v>
      </c>
      <c r="J15" s="101">
        <f t="shared" si="0"/>
        <v>70631</v>
      </c>
      <c r="K15" s="101">
        <f t="shared" si="0"/>
        <v>78670</v>
      </c>
      <c r="L15" s="101">
        <f t="shared" ref="L15:M15" si="1">L5+L7+L9+L11+L13</f>
        <v>80883</v>
      </c>
      <c r="M15" s="101">
        <f t="shared" si="1"/>
        <v>21398</v>
      </c>
      <c r="N15" s="101">
        <f t="shared" ref="N15:O15" si="2">N5+N7+N9+N11+N13</f>
        <v>55625</v>
      </c>
      <c r="O15" s="101">
        <f t="shared" si="2"/>
        <v>134240</v>
      </c>
      <c r="P15" s="101">
        <f t="shared" ref="P15" si="3">P5+P7+P9+P11+P13</f>
        <v>157501</v>
      </c>
      <c r="Q15" s="101">
        <v>168736</v>
      </c>
      <c r="R15" s="101">
        <v>145871</v>
      </c>
    </row>
    <row r="16" spans="1:20" ht="15" customHeight="1" x14ac:dyDescent="0.3">
      <c r="A16" s="179"/>
      <c r="B16" s="95" t="s">
        <v>115</v>
      </c>
      <c r="C16" s="101">
        <f>C6+C8+C10+C12+C14</f>
        <v>134871</v>
      </c>
      <c r="D16" s="101">
        <f t="shared" si="0"/>
        <v>120481</v>
      </c>
      <c r="E16" s="101">
        <f t="shared" si="0"/>
        <v>121940</v>
      </c>
      <c r="F16" s="101">
        <f t="shared" si="0"/>
        <v>173198</v>
      </c>
      <c r="G16" s="101">
        <f t="shared" si="0"/>
        <v>226918</v>
      </c>
      <c r="H16" s="101">
        <f t="shared" si="0"/>
        <v>236949</v>
      </c>
      <c r="I16" s="101">
        <f t="shared" si="0"/>
        <v>225166</v>
      </c>
      <c r="J16" s="101">
        <f t="shared" si="0"/>
        <v>185690</v>
      </c>
      <c r="K16" s="101">
        <f t="shared" si="0"/>
        <v>206550</v>
      </c>
      <c r="L16" s="101">
        <f t="shared" ref="L16:M16" si="4">L6+L8+L10+L12+L14</f>
        <v>236897</v>
      </c>
      <c r="M16" s="101">
        <f t="shared" si="4"/>
        <v>75313</v>
      </c>
      <c r="N16" s="101">
        <f t="shared" ref="N16:O16" si="5">N6+N8+N10+N12+N14</f>
        <v>187299</v>
      </c>
      <c r="O16" s="101">
        <f t="shared" si="5"/>
        <v>314459</v>
      </c>
      <c r="P16" s="101">
        <f t="shared" ref="P16" si="6">P6+P8+P10+P12+P14</f>
        <v>400954</v>
      </c>
      <c r="Q16" s="101">
        <v>414566</v>
      </c>
      <c r="R16" s="101">
        <v>488995</v>
      </c>
    </row>
    <row r="17" spans="1:1" ht="15" customHeight="1" x14ac:dyDescent="0.3">
      <c r="A17" s="97" t="s">
        <v>134</v>
      </c>
    </row>
  </sheetData>
  <mergeCells count="7">
    <mergeCell ref="A3:R3"/>
    <mergeCell ref="A15:A16"/>
    <mergeCell ref="A5:A6"/>
    <mergeCell ref="A7:A8"/>
    <mergeCell ref="A9:A10"/>
    <mergeCell ref="A11:A12"/>
    <mergeCell ref="A13:A14"/>
  </mergeCells>
  <pageMargins left="0.70866141732283472" right="0.70866141732283472" top="0.74803149606299213" bottom="0.74803149606299213" header="0.31496062992125984" footer="0.31496062992125984"/>
  <pageSetup paperSize="9" orientation="landscape" r:id="rId1"/>
  <headerFooter>
    <oddFooter>&amp;L&amp;F&amp;C&amp;P / &amp;N&amp;R&amp;A</oddFooter>
  </headerFooter>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Intern. Traffic in ports </vt:lpstr>
      <vt:lpstr>Cruise Ship Traffic</vt:lpstr>
      <vt:lpstr>Admissions to Museums</vt:lpstr>
      <vt:lpstr>'Admissions to Museums'!Print_Area</vt:lpstr>
      <vt:lpstr>'Cover Page'!Print_Area</vt:lpstr>
      <vt:lpstr>'Domestic Traffic in Ports'!Print_Area</vt:lpstr>
      <vt:lpstr>Employment!Print_Area</vt:lpstr>
      <vt:lpstr>'Explanatory Notes'!Print_Area</vt:lpstr>
      <vt:lpstr>'Intern-Domestic Air Arrivals'!Print_Area</vt:lpstr>
      <vt:lpstr>'Domestic Traffic in Ports'!Print_Titles</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2021-09-23T06:06:58Z</cp:lastPrinted>
  <dcterms:created xsi:type="dcterms:W3CDTF">2016-07-19T08:35:01Z</dcterms:created>
  <dcterms:modified xsi:type="dcterms:W3CDTF">2026-05-12T08:10:27Z</dcterms:modified>
</cp:coreProperties>
</file>