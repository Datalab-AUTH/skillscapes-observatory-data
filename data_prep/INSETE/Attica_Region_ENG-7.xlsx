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931" documentId="13_ncr:1_{B4188B7A-6B7A-402D-9585-E0166058A73A}" xr6:coauthVersionLast="47" xr6:coauthVersionMax="47" xr10:uidLastSave="{F3AE15A7-69CD-43FC-B770-F4F509758667}"/>
  <bookViews>
    <workbookView xWindow="-108" yWindow="-108" windowWidth="23256" windowHeight="12456" xr2:uid="{00000000-000D-0000-FFFF-FFFF00000000}"/>
  </bookViews>
  <sheets>
    <sheet name="Cover Page" sheetId="9" r:id="rId1"/>
    <sheet name="Explanatory notes" sheetId="10" r:id="rId2"/>
    <sheet name="Key figures" sheetId="12" r:id="rId3"/>
    <sheet name="Employment" sheetId="11" r:id="rId4"/>
    <sheet name="Hotel capacity" sheetId="1" r:id="rId5"/>
    <sheet name="STR capacity" sheetId="17" r:id="rId6"/>
    <sheet name="Rooms for rent capacity" sheetId="14" r:id="rId7"/>
    <sheet name="Arrivals-Overnights-Occupancy" sheetId="3" r:id="rId8"/>
    <sheet name="Short stay_Arriv-Overnights" sheetId="16" r:id="rId9"/>
    <sheet name="Internat-domestic air arrivals" sheetId="5" r:id="rId10"/>
    <sheet name="Domestic Traffic in Ports" sheetId="7" r:id="rId11"/>
    <sheet name="Cruise ship traffic" sheetId="15" r:id="rId12"/>
    <sheet name="Admissions to museums" sheetId="2" r:id="rId13"/>
  </sheets>
  <definedNames>
    <definedName name="_xlnm.Print_Area" localSheetId="12">'Admissions to museums'!$A$1:$G$17</definedName>
    <definedName name="_xlnm.Print_Area" localSheetId="7">'Arrivals-Overnights-Occupancy'!$A$1:$G$53</definedName>
    <definedName name="_xlnm.Print_Area" localSheetId="0">'Cover Page'!$A$1:$O$26</definedName>
    <definedName name="_xlnm.Print_Area" localSheetId="10">'Domestic Traffic in Ports'!$A$3:$E$265</definedName>
    <definedName name="_xlnm.Print_Area" localSheetId="3">Employment!$A$1:$I$17</definedName>
    <definedName name="_xlnm.Print_Area" localSheetId="1">'Explanatory notes'!$A$1:$P$21</definedName>
    <definedName name="_xlnm.Print_Area" localSheetId="9">'Internat-domestic air arrivals'!$A$1:$H$213</definedName>
    <definedName name="_xlnm.Print_Area" localSheetId="8">'Short stay_Arriv-Overnights'!$A$1:$B$44</definedName>
    <definedName name="_xlnm.Print_Titles" localSheetId="10">'Domestic Traffic in Ports'!$3:$4</definedName>
    <definedName name="_xlnm.Print_Titles" localSheetId="9">'Internat-domestic air arrivals'!$3:$4</definedName>
  </definedNames>
  <calcPr calcId="191029" concurrentCalc="0"/>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2" i="1" l="1"/>
  <c r="F32" i="1"/>
  <c r="E32" i="1"/>
  <c r="D32" i="1"/>
  <c r="C32" i="1"/>
  <c r="H32" i="1"/>
  <c r="G31" i="1"/>
  <c r="F31" i="1"/>
  <c r="E31" i="1"/>
  <c r="D31" i="1"/>
  <c r="C31" i="1"/>
  <c r="G30" i="1"/>
  <c r="F30" i="1"/>
  <c r="E30" i="1"/>
  <c r="D30" i="1"/>
  <c r="C30" i="1"/>
  <c r="H29" i="1"/>
  <c r="H28" i="1"/>
  <c r="H27" i="1"/>
  <c r="H26" i="1"/>
  <c r="H25" i="1"/>
  <c r="H24" i="1"/>
  <c r="H23" i="1"/>
  <c r="H22" i="1"/>
  <c r="H21" i="1"/>
  <c r="H20" i="1"/>
  <c r="H19" i="1"/>
  <c r="H18" i="1"/>
  <c r="H17" i="1"/>
  <c r="H16" i="1"/>
  <c r="H15" i="1"/>
  <c r="H14" i="1"/>
  <c r="H13" i="1"/>
  <c r="H12" i="1"/>
  <c r="H11" i="1"/>
  <c r="H10" i="1"/>
  <c r="H9" i="1"/>
  <c r="H8" i="1"/>
  <c r="H7" i="1"/>
  <c r="H6" i="1"/>
  <c r="O15" i="15"/>
  <c r="O16" i="15"/>
  <c r="E46" i="7"/>
  <c r="D46" i="7"/>
  <c r="C46" i="7"/>
  <c r="D132" i="7"/>
  <c r="E132" i="7"/>
  <c r="C132" i="7"/>
  <c r="N15" i="15"/>
  <c r="N16" i="15"/>
  <c r="G65" i="1"/>
  <c r="F65" i="1"/>
  <c r="E65" i="1"/>
  <c r="D65" i="1"/>
  <c r="H65" i="1"/>
  <c r="C65" i="1"/>
  <c r="G64" i="1"/>
  <c r="F64" i="1"/>
  <c r="E64" i="1"/>
  <c r="D64" i="1"/>
  <c r="C64" i="1"/>
  <c r="G63" i="1"/>
  <c r="F63" i="1"/>
  <c r="H63" i="1"/>
  <c r="E63" i="1"/>
  <c r="D63" i="1"/>
  <c r="C63" i="1"/>
  <c r="H62" i="1"/>
  <c r="H61" i="1"/>
  <c r="H60" i="1"/>
  <c r="H59" i="1"/>
  <c r="H58" i="1"/>
  <c r="H57" i="1"/>
  <c r="H56" i="1"/>
  <c r="H55" i="1"/>
  <c r="H54" i="1"/>
  <c r="H53" i="1"/>
  <c r="H52" i="1"/>
  <c r="H51" i="1"/>
  <c r="H50" i="1"/>
  <c r="H49" i="1"/>
  <c r="H48" i="1"/>
  <c r="H47" i="1"/>
  <c r="H46" i="1"/>
  <c r="H45" i="1"/>
  <c r="H44" i="1"/>
  <c r="H43" i="1"/>
  <c r="H42" i="1"/>
  <c r="H41" i="1"/>
  <c r="H40" i="1"/>
  <c r="H39" i="1"/>
  <c r="D15" i="15"/>
  <c r="E15" i="15"/>
  <c r="F15" i="15"/>
  <c r="G15" i="15"/>
  <c r="H15" i="15"/>
  <c r="I15" i="15"/>
  <c r="J15" i="15"/>
  <c r="K15" i="15"/>
  <c r="L15" i="15"/>
  <c r="M15" i="15"/>
  <c r="D16" i="15"/>
  <c r="E16" i="15"/>
  <c r="F16" i="15"/>
  <c r="G16" i="15"/>
  <c r="H16" i="15"/>
  <c r="I16" i="15"/>
  <c r="J16" i="15"/>
  <c r="K16" i="15"/>
  <c r="L16" i="15"/>
  <c r="M16" i="15"/>
  <c r="C16" i="15"/>
  <c r="C15" i="15"/>
  <c r="D37" i="16"/>
  <c r="E37" i="16"/>
  <c r="F37" i="16"/>
  <c r="D38" i="16"/>
  <c r="E38" i="16"/>
  <c r="F38" i="16"/>
  <c r="D39" i="16"/>
  <c r="E39" i="16"/>
  <c r="F39" i="16"/>
  <c r="D40" i="16"/>
  <c r="E40" i="16"/>
  <c r="F40" i="16"/>
  <c r="C38" i="16"/>
  <c r="C39" i="16"/>
  <c r="C40" i="16"/>
  <c r="C37" i="16"/>
  <c r="C491" i="1"/>
  <c r="H491" i="1"/>
  <c r="D491" i="1"/>
  <c r="E491" i="1"/>
  <c r="F491" i="1"/>
  <c r="G491" i="1"/>
  <c r="C490" i="1"/>
  <c r="H490" i="1"/>
  <c r="D490" i="1"/>
  <c r="E490" i="1"/>
  <c r="F490" i="1"/>
  <c r="G490" i="1"/>
  <c r="C489" i="1"/>
  <c r="D489" i="1"/>
  <c r="H489" i="1"/>
  <c r="E489" i="1"/>
  <c r="F489" i="1"/>
  <c r="G489" i="1"/>
  <c r="C467" i="1"/>
  <c r="H467" i="1"/>
  <c r="D467" i="1"/>
  <c r="E467" i="1"/>
  <c r="F467" i="1"/>
  <c r="G467" i="1"/>
  <c r="C466" i="1"/>
  <c r="H466" i="1"/>
  <c r="D466" i="1"/>
  <c r="E466" i="1"/>
  <c r="F466" i="1"/>
  <c r="G466" i="1"/>
  <c r="C465" i="1"/>
  <c r="H465" i="1"/>
  <c r="D465" i="1"/>
  <c r="E465" i="1"/>
  <c r="F465" i="1"/>
  <c r="G465" i="1"/>
  <c r="C443" i="1"/>
  <c r="D443" i="1"/>
  <c r="H443" i="1"/>
  <c r="E443" i="1"/>
  <c r="F443" i="1"/>
  <c r="G443" i="1"/>
  <c r="C442" i="1"/>
  <c r="D442" i="1"/>
  <c r="H442" i="1"/>
  <c r="E442" i="1"/>
  <c r="F442" i="1"/>
  <c r="G442" i="1"/>
  <c r="C441" i="1"/>
  <c r="H441" i="1"/>
  <c r="D441" i="1"/>
  <c r="E441" i="1"/>
  <c r="F441" i="1"/>
  <c r="G441" i="1"/>
  <c r="D417" i="1"/>
  <c r="H417" i="1"/>
  <c r="C417" i="1"/>
  <c r="E417" i="1"/>
  <c r="F417" i="1"/>
  <c r="G417" i="1"/>
  <c r="D418" i="1"/>
  <c r="E418" i="1"/>
  <c r="F418" i="1"/>
  <c r="G418" i="1"/>
  <c r="D419" i="1"/>
  <c r="E419" i="1"/>
  <c r="F419" i="1"/>
  <c r="G419" i="1"/>
  <c r="C418" i="1"/>
  <c r="H418" i="1"/>
  <c r="C419" i="1"/>
  <c r="H419" i="1"/>
  <c r="C395" i="1"/>
  <c r="H395" i="1"/>
  <c r="D395" i="1"/>
  <c r="E395" i="1"/>
  <c r="F395" i="1"/>
  <c r="G395" i="1"/>
  <c r="C394" i="1"/>
  <c r="H394" i="1"/>
  <c r="D394" i="1"/>
  <c r="E394" i="1"/>
  <c r="F394" i="1"/>
  <c r="G394" i="1"/>
  <c r="C393" i="1"/>
  <c r="H393" i="1"/>
  <c r="D393" i="1"/>
  <c r="E393" i="1"/>
  <c r="F393" i="1"/>
  <c r="G393" i="1"/>
  <c r="C362" i="1"/>
  <c r="H362" i="1"/>
  <c r="D362" i="1"/>
  <c r="E362" i="1"/>
  <c r="F362" i="1"/>
  <c r="G362" i="1"/>
  <c r="C361" i="1"/>
  <c r="H361" i="1"/>
  <c r="D361" i="1"/>
  <c r="E361" i="1"/>
  <c r="F361" i="1"/>
  <c r="G361" i="1"/>
  <c r="C360" i="1"/>
  <c r="H360" i="1"/>
  <c r="D360" i="1"/>
  <c r="E360" i="1"/>
  <c r="F360" i="1"/>
  <c r="G360" i="1"/>
  <c r="C329" i="1"/>
  <c r="H329" i="1"/>
  <c r="D329" i="1"/>
  <c r="E329" i="1"/>
  <c r="F329" i="1"/>
  <c r="G329" i="1"/>
  <c r="C328" i="1"/>
  <c r="H328" i="1"/>
  <c r="D328" i="1"/>
  <c r="E328" i="1"/>
  <c r="F328" i="1"/>
  <c r="G328" i="1"/>
  <c r="C327" i="1"/>
  <c r="H327" i="1"/>
  <c r="D327" i="1"/>
  <c r="E327" i="1"/>
  <c r="F327" i="1"/>
  <c r="G327" i="1"/>
  <c r="C296" i="1"/>
  <c r="H296" i="1"/>
  <c r="D296" i="1"/>
  <c r="E296" i="1"/>
  <c r="F296" i="1"/>
  <c r="G296" i="1"/>
  <c r="C295" i="1"/>
  <c r="H295" i="1"/>
  <c r="D295" i="1"/>
  <c r="E295" i="1"/>
  <c r="F295" i="1"/>
  <c r="G295" i="1"/>
  <c r="C294" i="1"/>
  <c r="H294" i="1"/>
  <c r="D294" i="1"/>
  <c r="E294" i="1"/>
  <c r="F294" i="1"/>
  <c r="G294" i="1"/>
  <c r="C263" i="1"/>
  <c r="H263" i="1"/>
  <c r="D263" i="1"/>
  <c r="E263" i="1"/>
  <c r="F263" i="1"/>
  <c r="G263" i="1"/>
  <c r="C262" i="1"/>
  <c r="H262" i="1"/>
  <c r="D262" i="1"/>
  <c r="E262" i="1"/>
  <c r="F262" i="1"/>
  <c r="G262" i="1"/>
  <c r="C261" i="1"/>
  <c r="H261" i="1"/>
  <c r="D261" i="1"/>
  <c r="E261" i="1"/>
  <c r="F261" i="1"/>
  <c r="G261" i="1"/>
  <c r="C230" i="1"/>
  <c r="H230" i="1"/>
  <c r="D230" i="1"/>
  <c r="E230" i="1"/>
  <c r="F230" i="1"/>
  <c r="G230" i="1"/>
  <c r="C229" i="1"/>
  <c r="H229" i="1"/>
  <c r="D229" i="1"/>
  <c r="E229" i="1"/>
  <c r="F229" i="1"/>
  <c r="G229" i="1"/>
  <c r="C228" i="1"/>
  <c r="H228" i="1"/>
  <c r="D228" i="1"/>
  <c r="E228" i="1"/>
  <c r="F228" i="1"/>
  <c r="G228" i="1"/>
  <c r="C197" i="1"/>
  <c r="H197" i="1"/>
  <c r="D197" i="1"/>
  <c r="E197" i="1"/>
  <c r="F197" i="1"/>
  <c r="G197" i="1"/>
  <c r="C196" i="1"/>
  <c r="H196" i="1"/>
  <c r="D196" i="1"/>
  <c r="E196" i="1"/>
  <c r="F196" i="1"/>
  <c r="G196" i="1"/>
  <c r="C195" i="1"/>
  <c r="H195" i="1"/>
  <c r="D195" i="1"/>
  <c r="E195" i="1"/>
  <c r="F195" i="1"/>
  <c r="G195" i="1"/>
  <c r="C164" i="1"/>
  <c r="H164" i="1"/>
  <c r="D164" i="1"/>
  <c r="E164" i="1"/>
  <c r="F164" i="1"/>
  <c r="G164" i="1"/>
  <c r="C163" i="1"/>
  <c r="H163" i="1"/>
  <c r="D163" i="1"/>
  <c r="E163" i="1"/>
  <c r="F163" i="1"/>
  <c r="G163" i="1"/>
  <c r="C162" i="1"/>
  <c r="H162" i="1"/>
  <c r="D162" i="1"/>
  <c r="E162" i="1"/>
  <c r="F162" i="1"/>
  <c r="G162" i="1"/>
  <c r="C131" i="1"/>
  <c r="H131" i="1"/>
  <c r="D131" i="1"/>
  <c r="E131" i="1"/>
  <c r="F131" i="1"/>
  <c r="G131" i="1"/>
  <c r="C130" i="1"/>
  <c r="H130" i="1"/>
  <c r="D130" i="1"/>
  <c r="E130" i="1"/>
  <c r="F130" i="1"/>
  <c r="G130" i="1"/>
  <c r="C129" i="1"/>
  <c r="H129" i="1"/>
  <c r="D129" i="1"/>
  <c r="E129" i="1"/>
  <c r="F129" i="1"/>
  <c r="G129" i="1"/>
  <c r="C97" i="1"/>
  <c r="H97" i="1"/>
  <c r="D97" i="1"/>
  <c r="E97" i="1"/>
  <c r="F97" i="1"/>
  <c r="G97" i="1"/>
  <c r="D98" i="1"/>
  <c r="H98" i="1"/>
  <c r="E98" i="1"/>
  <c r="F98" i="1"/>
  <c r="G98" i="1"/>
  <c r="C98" i="1"/>
  <c r="F96" i="1"/>
  <c r="G96" i="1"/>
  <c r="E96" i="1"/>
  <c r="H96" i="1"/>
  <c r="D96" i="1"/>
  <c r="C96" i="1"/>
  <c r="C98" i="14"/>
  <c r="D98" i="14"/>
  <c r="E98" i="14"/>
  <c r="F98" i="14"/>
  <c r="G98" i="14"/>
  <c r="C97" i="14"/>
  <c r="D97" i="14"/>
  <c r="E97" i="14"/>
  <c r="F97" i="14"/>
  <c r="G97" i="14"/>
  <c r="C96" i="14"/>
  <c r="D96" i="14"/>
  <c r="E96" i="14"/>
  <c r="F96" i="14"/>
  <c r="G96" i="14"/>
  <c r="C65" i="14"/>
  <c r="D65" i="14"/>
  <c r="E65" i="14"/>
  <c r="F65" i="14"/>
  <c r="G65" i="14"/>
  <c r="C64" i="14"/>
  <c r="D64" i="14"/>
  <c r="E64" i="14"/>
  <c r="F64" i="14"/>
  <c r="G64" i="14"/>
  <c r="C63" i="14"/>
  <c r="D63" i="14"/>
  <c r="E63" i="14"/>
  <c r="F63" i="14"/>
  <c r="G63" i="14"/>
  <c r="C31" i="14"/>
  <c r="D31" i="14"/>
  <c r="E31" i="14"/>
  <c r="F31" i="14"/>
  <c r="G31" i="14"/>
  <c r="C32" i="14"/>
  <c r="D32" i="14"/>
  <c r="E32" i="14"/>
  <c r="F32" i="14"/>
  <c r="G32" i="14"/>
  <c r="C30" i="14"/>
  <c r="D30" i="14"/>
  <c r="E30" i="14"/>
  <c r="F30" i="14"/>
  <c r="G30" i="14"/>
  <c r="O6" i="11"/>
  <c r="O10" i="11"/>
  <c r="N6" i="11"/>
  <c r="N10" i="11"/>
  <c r="O9" i="11"/>
  <c r="N9" i="11"/>
  <c r="H95" i="1"/>
  <c r="H94" i="1"/>
  <c r="H93" i="1"/>
  <c r="H92" i="1"/>
  <c r="H91" i="1"/>
  <c r="H90" i="1"/>
  <c r="H89" i="1"/>
  <c r="H88" i="1"/>
  <c r="H87" i="1"/>
  <c r="H86" i="1"/>
  <c r="H85" i="1"/>
  <c r="H84" i="1"/>
  <c r="H83" i="1"/>
  <c r="H82" i="1"/>
  <c r="H81" i="1"/>
  <c r="H80" i="1"/>
  <c r="H79" i="1"/>
  <c r="H78" i="1"/>
  <c r="H77" i="1"/>
  <c r="H76" i="1"/>
  <c r="H75" i="1"/>
  <c r="H74" i="1"/>
  <c r="H73" i="1"/>
  <c r="H72" i="1"/>
  <c r="G47" i="12"/>
  <c r="F47" i="12"/>
  <c r="H47" i="12"/>
  <c r="G46" i="12"/>
  <c r="F46" i="12"/>
  <c r="H46" i="12"/>
  <c r="G45" i="12"/>
  <c r="F45" i="12"/>
  <c r="H45" i="12"/>
  <c r="G44" i="12"/>
  <c r="F44" i="12"/>
  <c r="H44" i="12"/>
  <c r="G43" i="12"/>
  <c r="F43" i="12"/>
  <c r="H43" i="12"/>
  <c r="G42" i="12"/>
  <c r="F42" i="12"/>
  <c r="H42" i="12"/>
  <c r="G41" i="12"/>
  <c r="F41" i="12"/>
  <c r="H41" i="12"/>
  <c r="G40" i="12"/>
  <c r="F40" i="12"/>
  <c r="H40" i="12"/>
  <c r="G39" i="12"/>
  <c r="F39" i="12"/>
  <c r="G38" i="12"/>
  <c r="F38" i="12"/>
  <c r="H38" i="12"/>
  <c r="D66" i="7"/>
  <c r="E66" i="7"/>
  <c r="C66" i="7"/>
  <c r="H39" i="12"/>
  <c r="E62" i="12"/>
  <c r="D62" i="12"/>
  <c r="C62" i="12"/>
  <c r="F62" i="12"/>
  <c r="F61" i="12"/>
  <c r="G61" i="12"/>
  <c r="H61" i="12"/>
  <c r="G63" i="12"/>
  <c r="F63" i="12"/>
  <c r="H63" i="12"/>
  <c r="G60" i="12"/>
  <c r="F60" i="12"/>
  <c r="G59" i="12"/>
  <c r="F59" i="12"/>
  <c r="H59" i="12"/>
  <c r="G58" i="12"/>
  <c r="F58" i="12"/>
  <c r="H58" i="12"/>
  <c r="G57" i="12"/>
  <c r="F57" i="12"/>
  <c r="H57" i="12"/>
  <c r="G56" i="12"/>
  <c r="F56" i="12"/>
  <c r="G55" i="12"/>
  <c r="F55" i="12"/>
  <c r="H55" i="12"/>
  <c r="G54" i="12"/>
  <c r="F54" i="12"/>
  <c r="H54" i="12"/>
  <c r="H128" i="1"/>
  <c r="H127" i="1"/>
  <c r="H126" i="1"/>
  <c r="H125" i="1"/>
  <c r="H124" i="1"/>
  <c r="H123" i="1"/>
  <c r="H122" i="1"/>
  <c r="H121" i="1"/>
  <c r="H120" i="1"/>
  <c r="H119" i="1"/>
  <c r="H118" i="1"/>
  <c r="H117" i="1"/>
  <c r="H116" i="1"/>
  <c r="H115" i="1"/>
  <c r="H114" i="1"/>
  <c r="H113" i="1"/>
  <c r="H112" i="1"/>
  <c r="H111" i="1"/>
  <c r="H110" i="1"/>
  <c r="H109" i="1"/>
  <c r="H108" i="1"/>
  <c r="H107" i="1"/>
  <c r="H106" i="1"/>
  <c r="H105" i="1"/>
  <c r="H60" i="12"/>
  <c r="H56" i="12"/>
  <c r="E68" i="7"/>
  <c r="E69" i="7"/>
  <c r="E70" i="7"/>
  <c r="E71" i="7"/>
  <c r="E72" i="7"/>
  <c r="E73" i="7"/>
  <c r="E74" i="7"/>
  <c r="E75" i="7"/>
  <c r="E76" i="7"/>
  <c r="E77" i="7"/>
  <c r="E78" i="7"/>
  <c r="E79" i="7"/>
  <c r="E80" i="7"/>
  <c r="E81" i="7"/>
  <c r="E82" i="7"/>
  <c r="E83" i="7"/>
  <c r="E84" i="7"/>
  <c r="E85" i="7"/>
  <c r="E86" i="7"/>
  <c r="E87" i="7"/>
  <c r="E67" i="7"/>
  <c r="D88" i="7"/>
  <c r="C88" i="7"/>
  <c r="G78" i="12"/>
  <c r="F78" i="12"/>
  <c r="H78" i="12"/>
  <c r="E77" i="12"/>
  <c r="D77" i="12"/>
  <c r="G77" i="12"/>
  <c r="C77" i="12"/>
  <c r="F77" i="12"/>
  <c r="H77" i="12"/>
  <c r="G76" i="12"/>
  <c r="F76" i="12"/>
  <c r="H76" i="12"/>
  <c r="G75" i="12"/>
  <c r="F75" i="12"/>
  <c r="H75" i="12"/>
  <c r="G74" i="12"/>
  <c r="F74" i="12"/>
  <c r="H74" i="12"/>
  <c r="G73" i="12"/>
  <c r="F73" i="12"/>
  <c r="H73" i="12"/>
  <c r="G72" i="12"/>
  <c r="F72" i="12"/>
  <c r="H72" i="12"/>
  <c r="G71" i="12"/>
  <c r="F71" i="12"/>
  <c r="H71" i="12"/>
  <c r="G70" i="12"/>
  <c r="F70" i="12"/>
  <c r="H70" i="12"/>
  <c r="H161" i="1"/>
  <c r="H160" i="1"/>
  <c r="H159" i="1"/>
  <c r="H158" i="1"/>
  <c r="H157" i="1"/>
  <c r="H156" i="1"/>
  <c r="H155" i="1"/>
  <c r="H154" i="1"/>
  <c r="H153" i="1"/>
  <c r="H152" i="1"/>
  <c r="H151" i="1"/>
  <c r="H150" i="1"/>
  <c r="H149" i="1"/>
  <c r="H148" i="1"/>
  <c r="H147" i="1"/>
  <c r="H146" i="1"/>
  <c r="H145" i="1"/>
  <c r="H144" i="1"/>
  <c r="H143" i="1"/>
  <c r="H142" i="1"/>
  <c r="H141" i="1"/>
  <c r="H140" i="1"/>
  <c r="H139" i="1"/>
  <c r="H138" i="1"/>
  <c r="H69" i="5"/>
  <c r="D69" i="5"/>
  <c r="H68" i="5"/>
  <c r="D68" i="5"/>
  <c r="H67" i="5"/>
  <c r="D67" i="5"/>
  <c r="H66" i="5"/>
  <c r="D66" i="5"/>
  <c r="H65" i="5"/>
  <c r="D65" i="5"/>
  <c r="H64" i="5"/>
  <c r="D64" i="5"/>
  <c r="H63" i="5"/>
  <c r="D63" i="5"/>
  <c r="H62" i="5"/>
  <c r="D62" i="5"/>
  <c r="H61" i="5"/>
  <c r="D61" i="5"/>
  <c r="H60" i="5"/>
  <c r="D60" i="5"/>
  <c r="H59" i="5"/>
  <c r="D59" i="5"/>
  <c r="H58" i="5"/>
  <c r="D58" i="5"/>
  <c r="G57" i="5"/>
  <c r="F57" i="5"/>
  <c r="C57" i="5"/>
  <c r="B57" i="5"/>
  <c r="D110" i="7"/>
  <c r="C110" i="7"/>
  <c r="G93" i="12"/>
  <c r="F93" i="12"/>
  <c r="H93" i="12"/>
  <c r="E92" i="12"/>
  <c r="D92" i="12"/>
  <c r="C92" i="12"/>
  <c r="G91" i="12"/>
  <c r="F91" i="12"/>
  <c r="G90" i="12"/>
  <c r="F90" i="12"/>
  <c r="H90" i="12"/>
  <c r="G89" i="12"/>
  <c r="F89" i="12"/>
  <c r="H89" i="12"/>
  <c r="G88" i="12"/>
  <c r="F88" i="12"/>
  <c r="H88" i="12"/>
  <c r="G87" i="12"/>
  <c r="F87" i="12"/>
  <c r="G86" i="12"/>
  <c r="F86" i="12"/>
  <c r="H86" i="12"/>
  <c r="G85" i="12"/>
  <c r="F85" i="12"/>
  <c r="H82" i="5"/>
  <c r="D82" i="5"/>
  <c r="H81" i="5"/>
  <c r="D81" i="5"/>
  <c r="H80" i="5"/>
  <c r="D80" i="5"/>
  <c r="H79" i="5"/>
  <c r="D79" i="5"/>
  <c r="H78" i="5"/>
  <c r="D78" i="5"/>
  <c r="H77" i="5"/>
  <c r="D77" i="5"/>
  <c r="H76" i="5"/>
  <c r="D76" i="5"/>
  <c r="H75" i="5"/>
  <c r="D75" i="5"/>
  <c r="H74" i="5"/>
  <c r="D74" i="5"/>
  <c r="H73" i="5"/>
  <c r="D73" i="5"/>
  <c r="H72" i="5"/>
  <c r="D72" i="5"/>
  <c r="H71" i="5"/>
  <c r="D71" i="5"/>
  <c r="G70" i="5"/>
  <c r="F70" i="5"/>
  <c r="C70" i="5"/>
  <c r="B70" i="5"/>
  <c r="H194" i="1"/>
  <c r="H193" i="1"/>
  <c r="H192" i="1"/>
  <c r="H191" i="1"/>
  <c r="H190" i="1"/>
  <c r="H189" i="1"/>
  <c r="H188" i="1"/>
  <c r="H187" i="1"/>
  <c r="H186" i="1"/>
  <c r="H185" i="1"/>
  <c r="H184" i="1"/>
  <c r="H183" i="1"/>
  <c r="H182" i="1"/>
  <c r="H181" i="1"/>
  <c r="H180" i="1"/>
  <c r="H179" i="1"/>
  <c r="H178" i="1"/>
  <c r="H177" i="1"/>
  <c r="H176" i="1"/>
  <c r="H175" i="1"/>
  <c r="H174" i="1"/>
  <c r="H173" i="1"/>
  <c r="H172" i="1"/>
  <c r="H171" i="1"/>
  <c r="H95" i="5"/>
  <c r="D95" i="5"/>
  <c r="H94" i="5"/>
  <c r="D94" i="5"/>
  <c r="H93" i="5"/>
  <c r="D93" i="5"/>
  <c r="H92" i="5"/>
  <c r="D92" i="5"/>
  <c r="H91" i="5"/>
  <c r="D91" i="5"/>
  <c r="H90" i="5"/>
  <c r="D90" i="5"/>
  <c r="H89" i="5"/>
  <c r="D89" i="5"/>
  <c r="H88" i="5"/>
  <c r="D88" i="5"/>
  <c r="H87" i="5"/>
  <c r="D87" i="5"/>
  <c r="H86" i="5"/>
  <c r="D86" i="5"/>
  <c r="H85" i="5"/>
  <c r="D85" i="5"/>
  <c r="H84" i="5"/>
  <c r="D84" i="5"/>
  <c r="D83" i="5"/>
  <c r="G83" i="5"/>
  <c r="F83" i="5"/>
  <c r="C83" i="5"/>
  <c r="B83" i="5"/>
  <c r="F92" i="12"/>
  <c r="G109" i="12"/>
  <c r="F109" i="12"/>
  <c r="E108" i="12"/>
  <c r="D108" i="12"/>
  <c r="C108" i="12"/>
  <c r="G107" i="12"/>
  <c r="F107" i="12"/>
  <c r="G106" i="12"/>
  <c r="F106" i="12"/>
  <c r="H106" i="12"/>
  <c r="G105" i="12"/>
  <c r="F105" i="12"/>
  <c r="H105" i="12"/>
  <c r="G104" i="12"/>
  <c r="F104" i="12"/>
  <c r="G103" i="12"/>
  <c r="F103" i="12"/>
  <c r="H103" i="12"/>
  <c r="G102" i="12"/>
  <c r="F102" i="12"/>
  <c r="H102" i="12"/>
  <c r="G101" i="12"/>
  <c r="F101" i="12"/>
  <c r="H101" i="12"/>
  <c r="G100" i="12"/>
  <c r="F100" i="12"/>
  <c r="H100" i="12"/>
  <c r="H107" i="12"/>
  <c r="H109" i="12"/>
  <c r="H104" i="12"/>
  <c r="F108" i="12"/>
  <c r="H227" i="1"/>
  <c r="H226" i="1"/>
  <c r="H225" i="1"/>
  <c r="H224" i="1"/>
  <c r="H223" i="1"/>
  <c r="H222" i="1"/>
  <c r="H221" i="1"/>
  <c r="H220" i="1"/>
  <c r="H219" i="1"/>
  <c r="H218" i="1"/>
  <c r="H217" i="1"/>
  <c r="H216" i="1"/>
  <c r="H215" i="1"/>
  <c r="H214" i="1"/>
  <c r="H213" i="1"/>
  <c r="H212" i="1"/>
  <c r="H211" i="1"/>
  <c r="H210" i="1"/>
  <c r="H209" i="1"/>
  <c r="H208" i="1"/>
  <c r="H207" i="1"/>
  <c r="H206" i="1"/>
  <c r="H205" i="1"/>
  <c r="H204" i="1"/>
  <c r="G29" i="14"/>
  <c r="G28" i="14"/>
  <c r="G27" i="14"/>
  <c r="G26" i="14"/>
  <c r="G25" i="14"/>
  <c r="G24" i="14"/>
  <c r="G23" i="14"/>
  <c r="G22" i="14"/>
  <c r="G21" i="14"/>
  <c r="G20" i="14"/>
  <c r="G19" i="14"/>
  <c r="G18" i="14"/>
  <c r="G17" i="14"/>
  <c r="G16" i="14"/>
  <c r="G15" i="14"/>
  <c r="G14" i="14"/>
  <c r="G13" i="14"/>
  <c r="G12" i="14"/>
  <c r="G11" i="14"/>
  <c r="G10" i="14"/>
  <c r="G9" i="14"/>
  <c r="G8" i="14"/>
  <c r="G7" i="14"/>
  <c r="G6" i="14"/>
  <c r="E253" i="7"/>
  <c r="E165" i="7"/>
  <c r="E143" i="7"/>
  <c r="D154" i="7"/>
  <c r="C154" i="7"/>
  <c r="G125" i="12"/>
  <c r="F125" i="12"/>
  <c r="E124" i="12"/>
  <c r="D124" i="12"/>
  <c r="C124" i="12"/>
  <c r="G123" i="12"/>
  <c r="F123" i="12"/>
  <c r="G122" i="12"/>
  <c r="F122" i="12"/>
  <c r="H122" i="12"/>
  <c r="G121" i="12"/>
  <c r="F121" i="12"/>
  <c r="G120" i="12"/>
  <c r="F120" i="12"/>
  <c r="G119" i="12"/>
  <c r="F119" i="12"/>
  <c r="H119" i="12"/>
  <c r="G118" i="12"/>
  <c r="F118" i="12"/>
  <c r="H118" i="12"/>
  <c r="G117" i="12"/>
  <c r="F117" i="12"/>
  <c r="H117" i="12"/>
  <c r="G116" i="12"/>
  <c r="F116" i="12"/>
  <c r="E141" i="12"/>
  <c r="D141" i="12"/>
  <c r="G141" i="12"/>
  <c r="C141" i="12"/>
  <c r="G140" i="12"/>
  <c r="F140" i="12"/>
  <c r="G139" i="12"/>
  <c r="F139" i="12"/>
  <c r="G138" i="12"/>
  <c r="F138" i="12"/>
  <c r="H138" i="12"/>
  <c r="G137" i="12"/>
  <c r="F137" i="12"/>
  <c r="H137" i="12"/>
  <c r="G136" i="12"/>
  <c r="F136" i="12"/>
  <c r="G135" i="12"/>
  <c r="F135" i="12"/>
  <c r="G134" i="12"/>
  <c r="F134" i="12"/>
  <c r="H134" i="12"/>
  <c r="G133" i="12"/>
  <c r="F133" i="12"/>
  <c r="H133" i="12"/>
  <c r="G132" i="12"/>
  <c r="F132" i="12"/>
  <c r="E157" i="12"/>
  <c r="D157" i="12"/>
  <c r="C157" i="12"/>
  <c r="G156" i="12"/>
  <c r="F156" i="12"/>
  <c r="H156" i="12"/>
  <c r="G155" i="12"/>
  <c r="F155" i="12"/>
  <c r="G154" i="12"/>
  <c r="F154" i="12"/>
  <c r="G153" i="12"/>
  <c r="F153" i="12"/>
  <c r="G152" i="12"/>
  <c r="F152" i="12"/>
  <c r="H152" i="12"/>
  <c r="G151" i="12"/>
  <c r="F151" i="12"/>
  <c r="G150" i="12"/>
  <c r="F150" i="12"/>
  <c r="H150" i="12"/>
  <c r="G149" i="12"/>
  <c r="F149" i="12"/>
  <c r="G148" i="12"/>
  <c r="F148" i="12"/>
  <c r="H148" i="12"/>
  <c r="H149" i="12"/>
  <c r="H116" i="12"/>
  <c r="G157" i="12"/>
  <c r="H132" i="12"/>
  <c r="H136" i="12"/>
  <c r="F157" i="12"/>
  <c r="H157" i="12"/>
  <c r="H123" i="12"/>
  <c r="H155" i="12"/>
  <c r="H140" i="12"/>
  <c r="H151" i="12"/>
  <c r="H153" i="12"/>
  <c r="H121" i="12"/>
  <c r="H125" i="12"/>
  <c r="H260" i="1"/>
  <c r="H259" i="1"/>
  <c r="H258" i="1"/>
  <c r="H257" i="1"/>
  <c r="H256" i="1"/>
  <c r="H255" i="1"/>
  <c r="H254" i="1"/>
  <c r="H253" i="1"/>
  <c r="H252" i="1"/>
  <c r="H251" i="1"/>
  <c r="H250" i="1"/>
  <c r="H249" i="1"/>
  <c r="H248" i="1"/>
  <c r="H247" i="1"/>
  <c r="H246" i="1"/>
  <c r="H245" i="1"/>
  <c r="H244" i="1"/>
  <c r="H243" i="1"/>
  <c r="H242" i="1"/>
  <c r="H241" i="1"/>
  <c r="H240" i="1"/>
  <c r="H239" i="1"/>
  <c r="H238" i="1"/>
  <c r="H237" i="1"/>
  <c r="G47" i="14"/>
  <c r="G46" i="14"/>
  <c r="G45" i="14"/>
  <c r="G56" i="14"/>
  <c r="G55" i="14"/>
  <c r="G54" i="14"/>
  <c r="G41" i="14"/>
  <c r="G40" i="14"/>
  <c r="G39" i="14"/>
  <c r="G44" i="14"/>
  <c r="G43" i="14"/>
  <c r="G42" i="14"/>
  <c r="G62" i="14"/>
  <c r="G61" i="14"/>
  <c r="G60" i="14"/>
  <c r="G59" i="14"/>
  <c r="G58" i="14"/>
  <c r="G57" i="14"/>
  <c r="G53" i="14"/>
  <c r="G52" i="14"/>
  <c r="G51" i="14"/>
  <c r="G50" i="14"/>
  <c r="G49" i="14"/>
  <c r="G48" i="14"/>
  <c r="H98" i="5"/>
  <c r="H99" i="5"/>
  <c r="H100" i="5"/>
  <c r="H101" i="5"/>
  <c r="H102" i="5"/>
  <c r="H103" i="5"/>
  <c r="H104" i="5"/>
  <c r="H105" i="5"/>
  <c r="H106" i="5"/>
  <c r="H107" i="5"/>
  <c r="H108" i="5"/>
  <c r="H97" i="5"/>
  <c r="G96" i="5"/>
  <c r="F96" i="5"/>
  <c r="C96" i="5"/>
  <c r="D98" i="5"/>
  <c r="D99" i="5"/>
  <c r="D100" i="5"/>
  <c r="D101" i="5"/>
  <c r="D102" i="5"/>
  <c r="D103" i="5"/>
  <c r="D104" i="5"/>
  <c r="D105" i="5"/>
  <c r="D106" i="5"/>
  <c r="D107" i="5"/>
  <c r="D108" i="5"/>
  <c r="D97" i="5"/>
  <c r="B96" i="5"/>
  <c r="E263" i="7"/>
  <c r="E241" i="7"/>
  <c r="E219" i="7"/>
  <c r="E197" i="7"/>
  <c r="E175" i="7"/>
  <c r="E157" i="7"/>
  <c r="E158" i="7"/>
  <c r="E159" i="7"/>
  <c r="E160" i="7"/>
  <c r="E161" i="7"/>
  <c r="E162" i="7"/>
  <c r="E163" i="7"/>
  <c r="E164" i="7"/>
  <c r="E166" i="7"/>
  <c r="E167" i="7"/>
  <c r="E168" i="7"/>
  <c r="E169" i="7"/>
  <c r="E170" i="7"/>
  <c r="E171" i="7"/>
  <c r="E172" i="7"/>
  <c r="E173" i="7"/>
  <c r="E174" i="7"/>
  <c r="E156" i="7"/>
  <c r="E155" i="7"/>
  <c r="D176" i="7"/>
  <c r="C176" i="7"/>
  <c r="I9" i="11"/>
  <c r="I6" i="11"/>
  <c r="I10" i="11"/>
  <c r="H293" i="1"/>
  <c r="H292" i="1"/>
  <c r="H291" i="1"/>
  <c r="H290" i="1"/>
  <c r="H289" i="1"/>
  <c r="H288" i="1"/>
  <c r="H287" i="1"/>
  <c r="H286" i="1"/>
  <c r="H285" i="1"/>
  <c r="H284" i="1"/>
  <c r="H283" i="1"/>
  <c r="H282" i="1"/>
  <c r="H281" i="1"/>
  <c r="H280" i="1"/>
  <c r="H279" i="1"/>
  <c r="H278" i="1"/>
  <c r="H277" i="1"/>
  <c r="H276" i="1"/>
  <c r="H275" i="1"/>
  <c r="H274" i="1"/>
  <c r="H273" i="1"/>
  <c r="H272" i="1"/>
  <c r="H271" i="1"/>
  <c r="H270" i="1"/>
  <c r="H111" i="5"/>
  <c r="H112" i="5"/>
  <c r="H113" i="5"/>
  <c r="H114" i="5"/>
  <c r="H115" i="5"/>
  <c r="H116" i="5"/>
  <c r="H117" i="5"/>
  <c r="H118" i="5"/>
  <c r="H119" i="5"/>
  <c r="H120" i="5"/>
  <c r="H121" i="5"/>
  <c r="H110" i="5"/>
  <c r="D111" i="5"/>
  <c r="D112" i="5"/>
  <c r="D113" i="5"/>
  <c r="D114" i="5"/>
  <c r="D115" i="5"/>
  <c r="D116" i="5"/>
  <c r="D117" i="5"/>
  <c r="D118" i="5"/>
  <c r="D119" i="5"/>
  <c r="D120" i="5"/>
  <c r="D121" i="5"/>
  <c r="D110" i="5"/>
  <c r="D109" i="5"/>
  <c r="G109" i="5"/>
  <c r="F109" i="5"/>
  <c r="C109" i="5"/>
  <c r="B109" i="5"/>
  <c r="G88" i="14"/>
  <c r="G89" i="14"/>
  <c r="G87" i="14"/>
  <c r="G73" i="14"/>
  <c r="G74" i="14"/>
  <c r="G72" i="14"/>
  <c r="G80" i="14"/>
  <c r="G79" i="14"/>
  <c r="G78" i="14"/>
  <c r="G77" i="14"/>
  <c r="G76" i="14"/>
  <c r="G75" i="14"/>
  <c r="G95" i="14"/>
  <c r="G94" i="14"/>
  <c r="G93" i="14"/>
  <c r="G92" i="14"/>
  <c r="G91" i="14"/>
  <c r="G90" i="14"/>
  <c r="G86" i="14"/>
  <c r="G85" i="14"/>
  <c r="G84" i="14"/>
  <c r="G83" i="14"/>
  <c r="G82" i="14"/>
  <c r="G81" i="14"/>
  <c r="D220" i="7"/>
  <c r="C220" i="7"/>
  <c r="E218" i="7"/>
  <c r="E217" i="7"/>
  <c r="E216" i="7"/>
  <c r="E215" i="7"/>
  <c r="E214" i="7"/>
  <c r="E213" i="7"/>
  <c r="E212" i="7"/>
  <c r="E211" i="7"/>
  <c r="E210" i="7"/>
  <c r="E208" i="7"/>
  <c r="E207" i="7"/>
  <c r="E206" i="7"/>
  <c r="E205" i="7"/>
  <c r="E204" i="7"/>
  <c r="E203" i="7"/>
  <c r="E202" i="7"/>
  <c r="E201" i="7"/>
  <c r="E200" i="7"/>
  <c r="E199" i="7"/>
  <c r="C6" i="11"/>
  <c r="D6" i="11"/>
  <c r="D10" i="11"/>
  <c r="E6" i="11"/>
  <c r="E10" i="11"/>
  <c r="F6" i="11"/>
  <c r="G6" i="11"/>
  <c r="H6" i="11"/>
  <c r="B6" i="11"/>
  <c r="B10" i="11"/>
  <c r="H10" i="11"/>
  <c r="G10" i="11"/>
  <c r="C10" i="11"/>
  <c r="H9" i="11"/>
  <c r="G9" i="11"/>
  <c r="F9" i="11"/>
  <c r="E9" i="11"/>
  <c r="D9" i="11"/>
  <c r="C9" i="11"/>
  <c r="B9" i="11"/>
  <c r="F10" i="11"/>
  <c r="H124" i="5"/>
  <c r="H125" i="5"/>
  <c r="H126" i="5"/>
  <c r="H127" i="5"/>
  <c r="H128" i="5"/>
  <c r="H129" i="5"/>
  <c r="H130" i="5"/>
  <c r="H131" i="5"/>
  <c r="H132" i="5"/>
  <c r="H133" i="5"/>
  <c r="H134" i="5"/>
  <c r="H123" i="5"/>
  <c r="G122" i="5"/>
  <c r="F122" i="5"/>
  <c r="D124" i="5"/>
  <c r="D125" i="5"/>
  <c r="D126" i="5"/>
  <c r="D127" i="5"/>
  <c r="D128" i="5"/>
  <c r="D129" i="5"/>
  <c r="D130" i="5"/>
  <c r="D131" i="5"/>
  <c r="D132" i="5"/>
  <c r="D133" i="5"/>
  <c r="D134" i="5"/>
  <c r="D123" i="5"/>
  <c r="C122" i="5"/>
  <c r="B122" i="5"/>
  <c r="H326" i="1"/>
  <c r="H325" i="1"/>
  <c r="H324" i="1"/>
  <c r="H323" i="1"/>
  <c r="H322" i="1"/>
  <c r="H321" i="1"/>
  <c r="H320" i="1"/>
  <c r="H319" i="1"/>
  <c r="H318" i="1"/>
  <c r="H317" i="1"/>
  <c r="H316" i="1"/>
  <c r="H315" i="1"/>
  <c r="H314" i="1"/>
  <c r="H313" i="1"/>
  <c r="H312" i="1"/>
  <c r="H311" i="1"/>
  <c r="H310" i="1"/>
  <c r="H309" i="1"/>
  <c r="H308" i="1"/>
  <c r="H307" i="1"/>
  <c r="H306" i="1"/>
  <c r="H305" i="1"/>
  <c r="H304" i="1"/>
  <c r="H303" i="1"/>
  <c r="C200" i="5"/>
  <c r="B200" i="5"/>
  <c r="C187" i="5"/>
  <c r="B187" i="5"/>
  <c r="C174" i="5"/>
  <c r="B174" i="5"/>
  <c r="C161" i="5"/>
  <c r="B161" i="5"/>
  <c r="C148" i="5"/>
  <c r="B148" i="5"/>
  <c r="G200" i="5"/>
  <c r="F200" i="5"/>
  <c r="G187" i="5"/>
  <c r="F187" i="5"/>
  <c r="G174" i="5"/>
  <c r="F174" i="5"/>
  <c r="G161" i="5"/>
  <c r="F161" i="5"/>
  <c r="G148" i="5"/>
  <c r="F148" i="5"/>
  <c r="H140" i="5"/>
  <c r="H144" i="5"/>
  <c r="G135" i="5"/>
  <c r="F135" i="5"/>
  <c r="C135" i="5"/>
  <c r="B135" i="5"/>
  <c r="H212" i="5"/>
  <c r="H211" i="5"/>
  <c r="H210" i="5"/>
  <c r="H209" i="5"/>
  <c r="H208" i="5"/>
  <c r="H207" i="5"/>
  <c r="H206" i="5"/>
  <c r="H205" i="5"/>
  <c r="H204" i="5"/>
  <c r="H203" i="5"/>
  <c r="H202" i="5"/>
  <c r="H201" i="5"/>
  <c r="H199" i="5"/>
  <c r="H198" i="5"/>
  <c r="H197" i="5"/>
  <c r="H196" i="5"/>
  <c r="H195" i="5"/>
  <c r="H194" i="5"/>
  <c r="H193" i="5"/>
  <c r="H192" i="5"/>
  <c r="H191" i="5"/>
  <c r="H190" i="5"/>
  <c r="H189" i="5"/>
  <c r="H188" i="5"/>
  <c r="H186" i="5"/>
  <c r="H185" i="5"/>
  <c r="H184" i="5"/>
  <c r="H183" i="5"/>
  <c r="H182" i="5"/>
  <c r="H181" i="5"/>
  <c r="H180" i="5"/>
  <c r="H179" i="5"/>
  <c r="H178" i="5"/>
  <c r="H177" i="5"/>
  <c r="H176" i="5"/>
  <c r="H175" i="5"/>
  <c r="H173" i="5"/>
  <c r="H172" i="5"/>
  <c r="H171" i="5"/>
  <c r="H170" i="5"/>
  <c r="H169" i="5"/>
  <c r="H168" i="5"/>
  <c r="H167" i="5"/>
  <c r="H166" i="5"/>
  <c r="H165" i="5"/>
  <c r="H164" i="5"/>
  <c r="H163" i="5"/>
  <c r="H162" i="5"/>
  <c r="H160" i="5"/>
  <c r="H159" i="5"/>
  <c r="H158" i="5"/>
  <c r="H157" i="5"/>
  <c r="H156" i="5"/>
  <c r="H155" i="5"/>
  <c r="H154" i="5"/>
  <c r="H153" i="5"/>
  <c r="H152" i="5"/>
  <c r="H151" i="5"/>
  <c r="H150" i="5"/>
  <c r="H149" i="5"/>
  <c r="H147" i="5"/>
  <c r="H146" i="5"/>
  <c r="H145" i="5"/>
  <c r="H143" i="5"/>
  <c r="H142" i="5"/>
  <c r="H141" i="5"/>
  <c r="H139" i="5"/>
  <c r="H138" i="5"/>
  <c r="H137" i="5"/>
  <c r="H136" i="5"/>
  <c r="D198" i="7"/>
  <c r="C198" i="7"/>
  <c r="D242" i="7"/>
  <c r="C242" i="7"/>
  <c r="E242" i="7"/>
  <c r="D264" i="7"/>
  <c r="C264" i="7"/>
  <c r="D202" i="5"/>
  <c r="D203" i="5"/>
  <c r="D204" i="5"/>
  <c r="D205" i="5"/>
  <c r="D206" i="5"/>
  <c r="D207" i="5"/>
  <c r="D208" i="5"/>
  <c r="D209" i="5"/>
  <c r="D210" i="5"/>
  <c r="D211" i="5"/>
  <c r="D212" i="5"/>
  <c r="D201" i="5"/>
  <c r="D189" i="5"/>
  <c r="D190" i="5"/>
  <c r="D191" i="5"/>
  <c r="D192" i="5"/>
  <c r="D193" i="5"/>
  <c r="D194" i="5"/>
  <c r="D195" i="5"/>
  <c r="D196" i="5"/>
  <c r="D197" i="5"/>
  <c r="D198" i="5"/>
  <c r="D199" i="5"/>
  <c r="D188" i="5"/>
  <c r="D176" i="5"/>
  <c r="D177" i="5"/>
  <c r="D178" i="5"/>
  <c r="D179" i="5"/>
  <c r="D180" i="5"/>
  <c r="D181" i="5"/>
  <c r="D182" i="5"/>
  <c r="D183" i="5"/>
  <c r="D184" i="5"/>
  <c r="D185" i="5"/>
  <c r="D186" i="5"/>
  <c r="D175" i="5"/>
  <c r="D163" i="5"/>
  <c r="D164" i="5"/>
  <c r="D165" i="5"/>
  <c r="D166" i="5"/>
  <c r="D167" i="5"/>
  <c r="D168" i="5"/>
  <c r="D169" i="5"/>
  <c r="D170" i="5"/>
  <c r="D171" i="5"/>
  <c r="D172" i="5"/>
  <c r="D173" i="5"/>
  <c r="D162" i="5"/>
  <c r="D150" i="5"/>
  <c r="D151" i="5"/>
  <c r="D152" i="5"/>
  <c r="D153" i="5"/>
  <c r="D154" i="5"/>
  <c r="D155" i="5"/>
  <c r="D156" i="5"/>
  <c r="D157" i="5"/>
  <c r="D158" i="5"/>
  <c r="D159" i="5"/>
  <c r="D160" i="5"/>
  <c r="D149" i="5"/>
  <c r="D137" i="5"/>
  <c r="D138" i="5"/>
  <c r="D139" i="5"/>
  <c r="D140" i="5"/>
  <c r="D141" i="5"/>
  <c r="D142" i="5"/>
  <c r="D143" i="5"/>
  <c r="D144" i="5"/>
  <c r="D145" i="5"/>
  <c r="D146" i="5"/>
  <c r="D147" i="5"/>
  <c r="D136" i="5"/>
  <c r="E178" i="7"/>
  <c r="E179" i="7"/>
  <c r="E180" i="7"/>
  <c r="E181" i="7"/>
  <c r="E182" i="7"/>
  <c r="E183" i="7"/>
  <c r="E184" i="7"/>
  <c r="E185" i="7"/>
  <c r="E186" i="7"/>
  <c r="E188" i="7"/>
  <c r="E189" i="7"/>
  <c r="E190" i="7"/>
  <c r="E191" i="7"/>
  <c r="E192" i="7"/>
  <c r="E193" i="7"/>
  <c r="E194" i="7"/>
  <c r="E195" i="7"/>
  <c r="E196" i="7"/>
  <c r="E177" i="7"/>
  <c r="E222" i="7"/>
  <c r="E223" i="7"/>
  <c r="E224" i="7"/>
  <c r="E225" i="7"/>
  <c r="E226" i="7"/>
  <c r="E227" i="7"/>
  <c r="E228" i="7"/>
  <c r="E229" i="7"/>
  <c r="E230" i="7"/>
  <c r="E232" i="7"/>
  <c r="E233" i="7"/>
  <c r="E234" i="7"/>
  <c r="E235" i="7"/>
  <c r="E236" i="7"/>
  <c r="E237" i="7"/>
  <c r="E238" i="7"/>
  <c r="E239" i="7"/>
  <c r="E240" i="7"/>
  <c r="E221" i="7"/>
  <c r="E244" i="7"/>
  <c r="E245" i="7"/>
  <c r="E246" i="7"/>
  <c r="E247" i="7"/>
  <c r="E248" i="7"/>
  <c r="E249" i="7"/>
  <c r="E250" i="7"/>
  <c r="E251" i="7"/>
  <c r="E252" i="7"/>
  <c r="E254" i="7"/>
  <c r="E255" i="7"/>
  <c r="E256" i="7"/>
  <c r="E257" i="7"/>
  <c r="E258" i="7"/>
  <c r="E259" i="7"/>
  <c r="E260" i="7"/>
  <c r="E261" i="7"/>
  <c r="E262" i="7"/>
  <c r="E243" i="7"/>
  <c r="H416" i="1"/>
  <c r="H415" i="1"/>
  <c r="H414" i="1"/>
  <c r="H392" i="1"/>
  <c r="H391" i="1"/>
  <c r="H390" i="1"/>
  <c r="H359" i="1"/>
  <c r="H358" i="1"/>
  <c r="H357" i="1"/>
  <c r="H488" i="1"/>
  <c r="H487" i="1"/>
  <c r="H486" i="1"/>
  <c r="H464" i="1"/>
  <c r="H463" i="1"/>
  <c r="H462" i="1"/>
  <c r="H440" i="1"/>
  <c r="H439" i="1"/>
  <c r="H438" i="1"/>
  <c r="H413" i="1"/>
  <c r="H412" i="1"/>
  <c r="H411" i="1"/>
  <c r="H389" i="1"/>
  <c r="H388" i="1"/>
  <c r="H387" i="1"/>
  <c r="H386" i="1"/>
  <c r="H385" i="1"/>
  <c r="H384" i="1"/>
  <c r="H383" i="1"/>
  <c r="H382" i="1"/>
  <c r="H381" i="1"/>
  <c r="H356" i="1"/>
  <c r="H355" i="1"/>
  <c r="H354" i="1"/>
  <c r="H353" i="1"/>
  <c r="H352" i="1"/>
  <c r="H351" i="1"/>
  <c r="H350" i="1"/>
  <c r="H349" i="1"/>
  <c r="H348" i="1"/>
  <c r="H485" i="1"/>
  <c r="H484" i="1"/>
  <c r="H483" i="1"/>
  <c r="H461" i="1"/>
  <c r="H460" i="1"/>
  <c r="H459" i="1"/>
  <c r="H437" i="1"/>
  <c r="H436" i="1"/>
  <c r="H435" i="1"/>
  <c r="H379" i="1"/>
  <c r="H380" i="1"/>
  <c r="H378" i="1"/>
  <c r="H347" i="1"/>
  <c r="H346" i="1"/>
  <c r="H345" i="1"/>
  <c r="H475" i="1"/>
  <c r="H476" i="1"/>
  <c r="H477" i="1"/>
  <c r="H478" i="1"/>
  <c r="H479" i="1"/>
  <c r="H480" i="1"/>
  <c r="H481" i="1"/>
  <c r="H482" i="1"/>
  <c r="H474" i="1"/>
  <c r="H451" i="1"/>
  <c r="H452" i="1"/>
  <c r="H453" i="1"/>
  <c r="H454" i="1"/>
  <c r="H455" i="1"/>
  <c r="H456" i="1"/>
  <c r="H457" i="1"/>
  <c r="H458" i="1"/>
  <c r="H450" i="1"/>
  <c r="H427" i="1"/>
  <c r="H428" i="1"/>
  <c r="H429" i="1"/>
  <c r="H430" i="1"/>
  <c r="H431" i="1"/>
  <c r="H432" i="1"/>
  <c r="H433" i="1"/>
  <c r="H434" i="1"/>
  <c r="H426" i="1"/>
  <c r="H403" i="1"/>
  <c r="H404" i="1"/>
  <c r="H405" i="1"/>
  <c r="H406" i="1"/>
  <c r="H407" i="1"/>
  <c r="H408" i="1"/>
  <c r="H409" i="1"/>
  <c r="H410" i="1"/>
  <c r="H402" i="1"/>
  <c r="H370" i="1"/>
  <c r="H371" i="1"/>
  <c r="H372" i="1"/>
  <c r="H373" i="1"/>
  <c r="H374" i="1"/>
  <c r="H375" i="1"/>
  <c r="H376" i="1"/>
  <c r="H377" i="1"/>
  <c r="H369" i="1"/>
  <c r="H337" i="1"/>
  <c r="H338" i="1"/>
  <c r="H339" i="1"/>
  <c r="H340" i="1"/>
  <c r="H341" i="1"/>
  <c r="H342" i="1"/>
  <c r="H343" i="1"/>
  <c r="H344" i="1"/>
  <c r="H336" i="1"/>
  <c r="G62" i="12"/>
  <c r="G92" i="12"/>
  <c r="H92" i="12"/>
  <c r="H85" i="12"/>
  <c r="G108" i="12"/>
  <c r="H108" i="12"/>
  <c r="H120" i="12"/>
  <c r="H139" i="12"/>
  <c r="H154" i="12"/>
  <c r="G124" i="12"/>
  <c r="H91" i="12"/>
  <c r="H87" i="12"/>
  <c r="H135" i="12"/>
  <c r="H135" i="5"/>
  <c r="H161" i="5"/>
  <c r="D174" i="5"/>
  <c r="D187" i="5"/>
  <c r="H148" i="5"/>
  <c r="H174" i="5"/>
  <c r="H200" i="5"/>
  <c r="D96" i="5"/>
  <c r="D148" i="5"/>
  <c r="D135" i="5"/>
  <c r="D70" i="5"/>
  <c r="H187" i="5"/>
  <c r="H96" i="5"/>
  <c r="D200" i="5"/>
  <c r="D161" i="5"/>
  <c r="H83" i="5"/>
  <c r="H70" i="5"/>
  <c r="D122" i="5"/>
  <c r="H122" i="5"/>
  <c r="H109" i="5"/>
  <c r="D57" i="5"/>
  <c r="H57" i="5"/>
  <c r="E154" i="7"/>
  <c r="H68" i="7"/>
  <c r="E220" i="7"/>
  <c r="E176" i="7"/>
  <c r="E88" i="7"/>
  <c r="E110" i="7"/>
  <c r="E264" i="7"/>
  <c r="H69" i="7"/>
  <c r="E198" i="7"/>
  <c r="H62" i="12"/>
  <c r="F141" i="12"/>
  <c r="H141" i="12"/>
  <c r="F124" i="12"/>
  <c r="H64" i="1"/>
  <c r="H124" i="12"/>
  <c r="H30" i="1"/>
  <c r="H31" i="1"/>
</calcChain>
</file>

<file path=xl/sharedStrings.xml><?xml version="1.0" encoding="utf-8"?>
<sst xmlns="http://schemas.openxmlformats.org/spreadsheetml/2006/main" count="2201" uniqueCount="186">
  <si>
    <t>1*</t>
  </si>
  <si>
    <t>Total</t>
  </si>
  <si>
    <t>Units</t>
  </si>
  <si>
    <t>Rooms</t>
  </si>
  <si>
    <t>Guest beds</t>
  </si>
  <si>
    <t>East Attica</t>
  </si>
  <si>
    <t>West Attica</t>
  </si>
  <si>
    <t>Piraeus</t>
  </si>
  <si>
    <t xml:space="preserve">Islands </t>
  </si>
  <si>
    <t>West Athens</t>
  </si>
  <si>
    <t>North Athens</t>
  </si>
  <si>
    <t>South Athens</t>
  </si>
  <si>
    <t>Central Athens</t>
  </si>
  <si>
    <t>Athens</t>
  </si>
  <si>
    <t>Saronic Islands</t>
  </si>
  <si>
    <t>Laconic Islands</t>
  </si>
  <si>
    <t>Rest of Attica</t>
  </si>
  <si>
    <t>Museums</t>
  </si>
  <si>
    <t>Attica</t>
  </si>
  <si>
    <t>Foreign overnights</t>
  </si>
  <si>
    <t xml:space="preserve">Domestic overnights </t>
  </si>
  <si>
    <t>Occupancy Central Athens</t>
  </si>
  <si>
    <t>Occupancy East Attica</t>
  </si>
  <si>
    <t>Occupancy West Attica</t>
  </si>
  <si>
    <t>Occupancy</t>
  </si>
  <si>
    <t>TOTAL</t>
  </si>
  <si>
    <t xml:space="preserve">PASSENGERS WITH P/S - C/S </t>
  </si>
  <si>
    <t>YEAR</t>
  </si>
  <si>
    <t>PORT</t>
  </si>
  <si>
    <t>Aegina</t>
  </si>
  <si>
    <t>Agia marina Aegina</t>
  </si>
  <si>
    <t>Agia Marina Attica</t>
  </si>
  <si>
    <t>Agkistri Aegina</t>
  </si>
  <si>
    <t>Galatas Trizinias</t>
  </si>
  <si>
    <t>Lavrio</t>
  </si>
  <si>
    <t>Megara</t>
  </si>
  <si>
    <t>Methana</t>
  </si>
  <si>
    <t>Perama</t>
  </si>
  <si>
    <t>Paloukia Salaminas</t>
  </si>
  <si>
    <t xml:space="preserve">Potamos Antikytherra </t>
  </si>
  <si>
    <t xml:space="preserve">Diakofti Kythera </t>
  </si>
  <si>
    <t>Poros Trizinias</t>
  </si>
  <si>
    <t>Rafina</t>
  </si>
  <si>
    <t>Salamina</t>
  </si>
  <si>
    <t>Souvala Aegina</t>
  </si>
  <si>
    <t>Spetses</t>
  </si>
  <si>
    <t>Hydra</t>
  </si>
  <si>
    <t>Faneromeni Salamina</t>
  </si>
  <si>
    <t>Oropos</t>
  </si>
  <si>
    <t>Kythera</t>
  </si>
  <si>
    <t>January</t>
  </si>
  <si>
    <t>February</t>
  </si>
  <si>
    <t>March</t>
  </si>
  <si>
    <t>April</t>
  </si>
  <si>
    <t>May</t>
  </si>
  <si>
    <t>June</t>
  </si>
  <si>
    <t>July</t>
  </si>
  <si>
    <t>August</t>
  </si>
  <si>
    <t xml:space="preserve">September </t>
  </si>
  <si>
    <t>Οctober</t>
  </si>
  <si>
    <t>Νovember</t>
  </si>
  <si>
    <t>December</t>
  </si>
  <si>
    <t>5*</t>
  </si>
  <si>
    <t>4*</t>
  </si>
  <si>
    <t>3*</t>
  </si>
  <si>
    <t>2*</t>
  </si>
  <si>
    <t>PASSENGERS DISEMBARKED</t>
  </si>
  <si>
    <t>PASSENGERS EMBARKED</t>
  </si>
  <si>
    <t xml:space="preserve">International air arrivals </t>
  </si>
  <si>
    <t xml:space="preserve">Domestic air arrivals </t>
  </si>
  <si>
    <t>Countries of origin</t>
  </si>
  <si>
    <t>Visits (in th.)</t>
  </si>
  <si>
    <t>USA</t>
  </si>
  <si>
    <t>UK</t>
  </si>
  <si>
    <t>Cyprus</t>
  </si>
  <si>
    <t>Germany</t>
  </si>
  <si>
    <t>Italy</t>
  </si>
  <si>
    <t>France</t>
  </si>
  <si>
    <t>Australia</t>
  </si>
  <si>
    <t>Others</t>
  </si>
  <si>
    <t>as a percentage of the total</t>
  </si>
  <si>
    <t>Key figures of incoming tourism in Attica Region 2016</t>
  </si>
  <si>
    <t>4Κ</t>
  </si>
  <si>
    <t>3Κ</t>
  </si>
  <si>
    <t>2Κ</t>
  </si>
  <si>
    <t>1Κ</t>
  </si>
  <si>
    <t>Foreign arrivals</t>
  </si>
  <si>
    <t>Domestic arrivals</t>
  </si>
  <si>
    <t xml:space="preserve">Domestic arrivals </t>
  </si>
  <si>
    <t>Key figures of incoming tourism in Attica Region 2017</t>
  </si>
  <si>
    <t>Overnights           (in th.)</t>
  </si>
  <si>
    <t>Receipts          (in mil. €)</t>
  </si>
  <si>
    <t xml:space="preserve"> Key Figures Attica Region</t>
  </si>
  <si>
    <t>Other sectors</t>
  </si>
  <si>
    <t>Total employment</t>
  </si>
  <si>
    <t>Total Greece</t>
  </si>
  <si>
    <t>Employment in the other sectors as a percentage of the total employment in the Region</t>
  </si>
  <si>
    <t>ATTICA REGION</t>
  </si>
  <si>
    <t xml:space="preserve"> Hotel capacity 2017</t>
  </si>
  <si>
    <t xml:space="preserve"> ATTICA REGION</t>
  </si>
  <si>
    <t>ROOMS FOR RENT 2017</t>
  </si>
  <si>
    <t>Cruise ships</t>
  </si>
  <si>
    <t>Passengers</t>
  </si>
  <si>
    <t xml:space="preserve"> Hotel capacity 2016</t>
  </si>
  <si>
    <t xml:space="preserve"> Hotel capacity 2015</t>
  </si>
  <si>
    <t xml:space="preserve"> Hotel capacity 2014</t>
  </si>
  <si>
    <t xml:space="preserve"> Hotel capacity 2013</t>
  </si>
  <si>
    <t xml:space="preserve"> Hotel capacity 2012</t>
  </si>
  <si>
    <t xml:space="preserve"> Hotel capacity 2011</t>
  </si>
  <si>
    <t xml:space="preserve"> Hotel capacity 2010</t>
  </si>
  <si>
    <t>ROOMS FOR RENT 2018</t>
  </si>
  <si>
    <t xml:space="preserve"> Hotel capacity 2018</t>
  </si>
  <si>
    <t>Key figures of incoming tourism in Attica Region 2018</t>
  </si>
  <si>
    <t>Region</t>
  </si>
  <si>
    <t>ROOMS FOR RENT 2019</t>
  </si>
  <si>
    <t xml:space="preserve"> Hotel capacity 2019</t>
  </si>
  <si>
    <t>Accommodation and catering services</t>
  </si>
  <si>
    <t xml:space="preserve">Employment in Services as a percentage of total employment in the Region </t>
  </si>
  <si>
    <t>Key figures of incoming tourism in Attica Region 2019</t>
  </si>
  <si>
    <t xml:space="preserve"> Hotel capacity 2020</t>
  </si>
  <si>
    <t>Key figures of incoming tourism in Attica Region 2020</t>
  </si>
  <si>
    <t>Archaeological sites</t>
  </si>
  <si>
    <t>Average Expenditure per Journey      (in  €)</t>
  </si>
  <si>
    <t>Average Expenditure per Overnight Stay      (in €)</t>
  </si>
  <si>
    <t>Average Duration of Stay (in overnights)</t>
  </si>
  <si>
    <t xml:space="preserve">Regional Unit </t>
  </si>
  <si>
    <t>Port</t>
  </si>
  <si>
    <t>Source: Greek Port Association - Processing INSETE Intelligence</t>
  </si>
  <si>
    <t>Total Region</t>
  </si>
  <si>
    <t>Kythira</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</si>
  <si>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</si>
  <si>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</si>
  <si>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</si>
  <si>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</si>
  <si>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</si>
  <si>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</si>
  <si>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</si>
  <si>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</si>
  <si>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Source: ELSTAT - Processing INSETE Intelligence</t>
  </si>
  <si>
    <t xml:space="preserve"> Hotel capacity 2021</t>
  </si>
  <si>
    <t>Key figures of incoming tourism in Attica Region 2021</t>
  </si>
  <si>
    <t>Athens*</t>
  </si>
  <si>
    <t>* For AIA, due to the disturbances of the passenger survey or the small size of the sample during the period March 2020-June 2021, the estimates of the passengers should be treated carefully and the comparisons should be avoided</t>
  </si>
  <si>
    <t xml:space="preserve">Πειραιώς </t>
  </si>
  <si>
    <t>Νήσων</t>
  </si>
  <si>
    <t>Islands</t>
  </si>
  <si>
    <t>Source: ELSTAT - Processinfg INSETE Intelliegence</t>
  </si>
  <si>
    <t xml:space="preserve"> Hotel capacity 2022</t>
  </si>
  <si>
    <t>Key figures of incoming tourism in Attica Region 2022</t>
  </si>
  <si>
    <t>Turkiye</t>
  </si>
  <si>
    <t>Key figures of incoming tourism in Attica Region 2023</t>
  </si>
  <si>
    <t xml:space="preserve"> Hotel capacity 2023</t>
  </si>
  <si>
    <t>01</t>
  </si>
  <si>
    <t>02</t>
  </si>
  <si>
    <t>03</t>
  </si>
  <si>
    <t>04</t>
  </si>
  <si>
    <t>05</t>
  </si>
  <si>
    <t>06</t>
  </si>
  <si>
    <t>07</t>
  </si>
  <si>
    <t>08</t>
  </si>
  <si>
    <t>09</t>
  </si>
  <si>
    <t>10</t>
  </si>
  <si>
    <t>11</t>
  </si>
  <si>
    <t>12</t>
  </si>
  <si>
    <t>Pireaus</t>
  </si>
  <si>
    <t>Regional Unit</t>
  </si>
  <si>
    <t>Month</t>
  </si>
  <si>
    <t>Agia Marina Aigina</t>
  </si>
  <si>
    <t>*The data refer to accommodation establishments listed on the Airbnb, Vrbo, Booking.com and TripAdvisor platforms</t>
  </si>
  <si>
    <t>West Attica*</t>
  </si>
  <si>
    <t>-</t>
  </si>
  <si>
    <t xml:space="preserve"> Hotel capacity 2024</t>
  </si>
  <si>
    <t>Capacity of short-term rental accommodation per month (properties)*, 2019-2024</t>
  </si>
  <si>
    <t>Capacity of short-term rental accommodation per month (rooms)*, 2019-2024</t>
  </si>
  <si>
    <t>Capacity of short-term rental accommodation per month (beds)*, 2019-2024</t>
  </si>
  <si>
    <r>
      <rPr>
        <b/>
        <sz val="7"/>
        <color rgb="FF002060"/>
        <rFont val="Verdana"/>
        <family val="2"/>
        <charset val="161"/>
      </rPr>
      <t>Source</t>
    </r>
    <r>
      <rPr>
        <sz val="7"/>
        <color rgb="FF002060"/>
        <rFont val="Verdana"/>
        <family val="2"/>
        <charset val="161"/>
      </rPr>
      <t>: The Lighthouse-Processing INSETE Intelligence</t>
    </r>
  </si>
  <si>
    <t>Key figures of incoming tourism in Attica Region 2024</t>
  </si>
  <si>
    <t>DOMESTIC TRAFFIC IN PORTS, 2013-2024</t>
  </si>
  <si>
    <t>* For reasons of statistical confidentiality regarding the protection of the identity of the surveyed units, the data of the Regional Area of West Attica are included in the Regional Area of Central Athens</t>
  </si>
  <si>
    <t>ATTICA REGION: arrivals, overnights and occupancy in hotel establishments 2013-2024</t>
  </si>
  <si>
    <t>ATTICA REGION: arrivals and overnights in short stay accommodation establishments 2020-2024</t>
  </si>
  <si>
    <t>Cruise ship traffic in Attica Region, 2013-2025</t>
  </si>
  <si>
    <t>Key figures of incoming tourism in Attica Region 2025</t>
  </si>
  <si>
    <t>Employment in Attica Region (in thous.), 2010-2025</t>
  </si>
  <si>
    <t>ATTICA REGION: Admissions to Museums / Archaelogical sites, 2013-2025</t>
  </si>
  <si>
    <t xml:space="preserve"> Hotel capacity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</si>
</sst>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 _€_-;\-* #,##0.00\ _€_-;_-* &quot;-&quot;??\ _€_-;_-@_-"/>
    <numFmt numFmtId="165" formatCode="0.0%"/>
    <numFmt numFmtId="166" formatCode="#,##0.0"/>
    <numFmt numFmtId="167" formatCode="0.0"/>
  </numFmts>
  <fonts count="30" x14ac:knownFonts="1">
    <font>
      <sz val="11"/>
      <color theme="1"/>
      <name val="Calibri"/>
      <family val="2"/>
      <charset val="161"/>
      <scheme val="minor"/>
    </font>
    <font>
      <sz val="10"/>
      <color rgb="FF000000"/>
      <name val="Times New Roman"/>
      <family val="1"/>
      <charset val="161"/>
    </font>
    <font>
      <sz val="11"/>
      <color theme="1"/>
      <name val="Calibri"/>
      <family val="2"/>
      <charset val="161"/>
      <scheme val="minor"/>
    </font>
    <font>
      <sz val="10"/>
      <name val="Arial"/>
      <family val="2"/>
      <charset val="161"/>
    </font>
    <font>
      <sz val="10"/>
      <color indexed="8"/>
      <name val="Arial"/>
      <family val="2"/>
      <charset val="161"/>
    </font>
    <font>
      <u/>
      <sz val="9"/>
      <color theme="11"/>
      <name val="Franklin Gothic Book"/>
      <family val="2"/>
      <charset val="161"/>
    </font>
    <font>
      <u/>
      <sz val="9"/>
      <color theme="10"/>
      <name val="Franklin Gothic Book"/>
      <family val="2"/>
      <charset val="161"/>
    </font>
    <font>
      <sz val="11"/>
      <color rgb="FF006100"/>
      <name val="Calibri"/>
      <family val="2"/>
      <charset val="161"/>
      <scheme val="minor"/>
    </font>
    <font>
      <sz val="11"/>
      <color theme="1"/>
      <name val="Calibri"/>
      <family val="2"/>
      <scheme val="minor"/>
    </font>
    <font>
      <b/>
      <sz val="8"/>
      <color theme="4"/>
      <name val="Verdana"/>
      <family val="2"/>
      <charset val="161"/>
    </font>
    <font>
      <sz val="8"/>
      <color theme="4"/>
      <name val="Verdana"/>
      <family val="2"/>
      <charset val="161"/>
    </font>
    <font>
      <i/>
      <sz val="8"/>
      <color theme="4"/>
      <name val="Verdana"/>
      <family val="2"/>
      <charset val="161"/>
    </font>
    <font>
      <b/>
      <i/>
      <sz val="8"/>
      <color theme="4"/>
      <name val="Verdana"/>
      <family val="2"/>
      <charset val="161"/>
    </font>
    <font>
      <sz val="8"/>
      <color rgb="FF002060"/>
      <name val="Verdana"/>
      <family val="2"/>
      <charset val="161"/>
    </font>
    <font>
      <i/>
      <sz val="8"/>
      <color rgb="FF0070C0"/>
      <name val="Verdana"/>
      <family val="2"/>
      <charset val="161"/>
    </font>
    <font>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
      <sz val="9.5"/>
      <color rgb="FF000000"/>
      <name val="Arial"/>
      <family val="2"/>
      <charset val="161"/>
    </font>
  </fonts>
  <fills count="13">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rgb="FF0070C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rgb="FF002060"/>
        <bgColor theme="4"/>
      </patternFill>
    </fill>
    <fill>
      <patternFill patternType="solid">
        <fgColor theme="2"/>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s>
  <borders count="36">
    <border>
      <left/>
      <right/>
      <top/>
      <bottom/>
      <diagonal/>
    </border>
    <border>
      <left style="medium">
        <color theme="4"/>
      </left>
      <right/>
      <top/>
      <bottom/>
      <diagonal/>
    </border>
    <border>
      <left style="thin">
        <color rgb="FF000000"/>
      </left>
      <right/>
      <top style="thin">
        <color rgb="FF000000"/>
      </top>
      <bottom/>
      <diagonal/>
    </border>
    <border>
      <left style="thin">
        <color theme="4"/>
      </left>
      <right style="thin">
        <color theme="4"/>
      </right>
      <top/>
      <bottom/>
      <diagonal/>
    </border>
    <border>
      <left style="thin">
        <color rgb="FF000000"/>
      </left>
      <right/>
      <top/>
      <bottom/>
      <diagonal/>
    </border>
    <border>
      <left/>
      <right/>
      <top style="medium">
        <color theme="4"/>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right/>
      <top/>
      <bottom style="medium">
        <color theme="4"/>
      </bottom>
      <diagonal/>
    </border>
    <border>
      <left style="medium">
        <color theme="4"/>
      </left>
      <right style="medium">
        <color theme="4"/>
      </right>
      <top/>
      <bottom style="medium">
        <color theme="4"/>
      </bottom>
      <diagonal/>
    </border>
    <border>
      <left style="thin">
        <color indexed="64"/>
      </left>
      <right style="thin">
        <color indexed="64"/>
      </right>
      <top style="thin">
        <color indexed="64"/>
      </top>
      <bottom/>
      <diagonal/>
    </border>
    <border>
      <left style="thin">
        <color theme="4"/>
      </left>
      <right style="thin">
        <color theme="4"/>
      </right>
      <top style="medium">
        <color theme="4"/>
      </top>
      <bottom/>
      <diagonal/>
    </border>
    <border>
      <left style="medium">
        <color theme="4"/>
      </left>
      <right/>
      <top style="medium">
        <color theme="4"/>
      </top>
      <bottom/>
      <diagonal/>
    </border>
    <border>
      <left style="medium">
        <color theme="4"/>
      </left>
      <right/>
      <top/>
      <bottom style="medium">
        <color theme="4"/>
      </bottom>
      <diagonal/>
    </border>
    <border>
      <left style="thin">
        <color theme="4"/>
      </left>
      <right style="thin">
        <color theme="4"/>
      </right>
      <top/>
      <bottom style="medium">
        <color theme="4"/>
      </bottom>
      <diagonal/>
    </border>
    <border>
      <left style="thin">
        <color indexed="64"/>
      </left>
      <right style="thin">
        <color indexed="64"/>
      </right>
      <top/>
      <bottom/>
      <diagonal/>
    </border>
    <border>
      <left style="thin">
        <color indexed="64"/>
      </left>
      <right style="thin">
        <color indexed="64"/>
      </right>
      <top style="thin">
        <color indexed="64"/>
      </top>
      <bottom style="medium">
        <color theme="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rgb="FF000000"/>
      </left>
      <right/>
      <top/>
      <bottom style="thin">
        <color indexed="64"/>
      </bottom>
      <diagonal/>
    </border>
    <border>
      <left/>
      <right/>
      <top/>
      <bottom style="thin">
        <color indexed="64"/>
      </bottom>
      <diagonal/>
    </border>
    <border>
      <left/>
      <right/>
      <top style="thin">
        <color theme="4" tint="-0.249977111117893"/>
      </top>
      <bottom style="thin">
        <color theme="4" tint="-0.249977111117893"/>
      </bottom>
      <diagonal/>
    </border>
    <border>
      <left/>
      <right/>
      <top/>
      <bottom style="thin">
        <color theme="4" tint="-0.249977111117893"/>
      </bottom>
      <diagonal/>
    </border>
    <border>
      <left/>
      <right/>
      <top style="thin">
        <color theme="4" tint="-0.249977111117893"/>
      </top>
      <bottom/>
      <diagonal/>
    </border>
    <border>
      <left/>
      <right style="thin">
        <color theme="4"/>
      </right>
      <top/>
      <bottom style="medium">
        <color theme="4"/>
      </bottom>
      <diagonal/>
    </border>
  </borders>
  <cellStyleXfs count="14">
    <xf numFmtId="0" fontId="0" fillId="0" borderId="0"/>
    <xf numFmtId="0" fontId="1" fillId="0" borderId="0"/>
    <xf numFmtId="9" fontId="2" fillId="0" borderId="0" applyFont="0" applyFill="0" applyBorder="0" applyAlignment="0" applyProtection="0"/>
    <xf numFmtId="43" fontId="2" fillId="0" borderId="0" applyFont="0" applyFill="0" applyBorder="0" applyAlignment="0" applyProtection="0"/>
    <xf numFmtId="164" fontId="3" fillId="0" borderId="0" applyFont="0" applyFill="0" applyBorder="0" applyAlignment="0" applyProtection="0"/>
    <xf numFmtId="0" fontId="5"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3" fillId="0" borderId="0" applyNumberFormat="0" applyFill="0" applyBorder="0" applyAlignment="0" applyProtection="0"/>
    <xf numFmtId="0" fontId="3" fillId="0" borderId="0"/>
    <xf numFmtId="0" fontId="4" fillId="0" borderId="0"/>
    <xf numFmtId="0" fontId="7" fillId="7" borderId="0" applyNumberFormat="0" applyBorder="0" applyAlignment="0" applyProtection="0"/>
    <xf numFmtId="0" fontId="8" fillId="0" borderId="0"/>
    <xf numFmtId="164" fontId="2" fillId="0" borderId="0" applyFont="0" applyFill="0" applyBorder="0" applyAlignment="0" applyProtection="0"/>
    <xf numFmtId="0" fontId="29" fillId="0" borderId="0"/>
  </cellStyleXfs>
  <cellXfs count="200">
    <xf numFmtId="0" fontId="0" fillId="0" borderId="0" xfId="0"/>
    <xf numFmtId="0" fontId="9" fillId="0" borderId="0" xfId="0" applyFont="1" applyAlignment="1">
      <alignment horizontal="left" vertical="center"/>
    </xf>
    <xf numFmtId="0" fontId="11" fillId="0" borderId="0" xfId="0" applyFont="1" applyAlignment="1">
      <alignment vertical="center"/>
    </xf>
    <xf numFmtId="0" fontId="10" fillId="0" borderId="0" xfId="0" applyFont="1" applyAlignment="1">
      <alignment horizontal="left" vertical="center"/>
    </xf>
    <xf numFmtId="0" fontId="12" fillId="0" borderId="0" xfId="0" applyFont="1" applyAlignment="1">
      <alignment vertical="center"/>
    </xf>
    <xf numFmtId="0" fontId="12" fillId="0" borderId="0" xfId="0" applyFont="1" applyAlignment="1">
      <alignment vertical="center" wrapText="1"/>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1" fillId="0" borderId="0" xfId="0" applyFont="1" applyAlignment="1">
      <alignment horizontal="left" vertical="center"/>
    </xf>
    <xf numFmtId="0" fontId="16" fillId="0" borderId="0" xfId="0" applyFont="1" applyAlignment="1">
      <alignment horizontal="left" vertical="center" wrapText="1"/>
    </xf>
    <xf numFmtId="0" fontId="19" fillId="0" borderId="0" xfId="0" applyFont="1" applyAlignment="1">
      <alignment vertical="center"/>
    </xf>
    <xf numFmtId="0" fontId="19" fillId="6" borderId="19" xfId="0" applyFont="1" applyFill="1" applyBorder="1" applyAlignment="1">
      <alignment vertical="center"/>
    </xf>
    <xf numFmtId="166" fontId="19" fillId="6" borderId="19" xfId="0" applyNumberFormat="1" applyFont="1" applyFill="1" applyBorder="1" applyAlignment="1">
      <alignment horizontal="center" vertical="center"/>
    </xf>
    <xf numFmtId="166" fontId="19" fillId="6" borderId="20" xfId="0" applyNumberFormat="1" applyFont="1" applyFill="1" applyBorder="1" applyAlignment="1">
      <alignment horizontal="center" vertical="center"/>
    </xf>
    <xf numFmtId="167" fontId="19" fillId="6" borderId="19" xfId="0" applyNumberFormat="1" applyFont="1" applyFill="1" applyBorder="1" applyAlignment="1">
      <alignment horizontal="center" vertical="center"/>
    </xf>
    <xf numFmtId="0" fontId="19" fillId="2" borderId="0" xfId="0" applyFont="1" applyFill="1" applyAlignment="1">
      <alignment vertical="center"/>
    </xf>
    <xf numFmtId="166" fontId="19" fillId="2" borderId="0" xfId="0" applyNumberFormat="1" applyFont="1" applyFill="1" applyAlignment="1">
      <alignment horizontal="center" vertical="center"/>
    </xf>
    <xf numFmtId="166" fontId="19" fillId="2" borderId="17" xfId="0" applyNumberFormat="1" applyFont="1" applyFill="1" applyBorder="1" applyAlignment="1">
      <alignment horizontal="center" vertical="center"/>
    </xf>
    <xf numFmtId="167" fontId="19" fillId="2" borderId="0" xfId="0" applyNumberFormat="1" applyFont="1" applyFill="1" applyAlignment="1">
      <alignment horizontal="center" vertical="center"/>
    </xf>
    <xf numFmtId="0" fontId="19" fillId="6" borderId="0" xfId="0" applyFont="1" applyFill="1" applyAlignment="1">
      <alignment vertical="center"/>
    </xf>
    <xf numFmtId="166" fontId="19" fillId="6" borderId="0" xfId="0" applyNumberFormat="1" applyFont="1" applyFill="1" applyAlignment="1">
      <alignment horizontal="center" vertical="center"/>
    </xf>
    <xf numFmtId="166" fontId="19" fillId="6" borderId="17" xfId="0" applyNumberFormat="1" applyFont="1" applyFill="1" applyBorder="1" applyAlignment="1">
      <alignment horizontal="center" vertical="center"/>
    </xf>
    <xf numFmtId="167" fontId="19" fillId="6" borderId="0" xfId="0" applyNumberFormat="1" applyFont="1" applyFill="1" applyAlignment="1">
      <alignment horizontal="center" vertical="center"/>
    </xf>
    <xf numFmtId="0" fontId="19" fillId="2" borderId="23" xfId="0" applyFont="1" applyFill="1" applyBorder="1" applyAlignment="1">
      <alignment vertical="center"/>
    </xf>
    <xf numFmtId="166" fontId="19" fillId="2" borderId="23" xfId="0" applyNumberFormat="1" applyFont="1" applyFill="1" applyBorder="1" applyAlignment="1">
      <alignment horizontal="center" vertical="center"/>
    </xf>
    <xf numFmtId="166" fontId="19" fillId="2" borderId="24" xfId="0" applyNumberFormat="1" applyFont="1" applyFill="1" applyBorder="1" applyAlignment="1">
      <alignment horizontal="center" vertical="center"/>
    </xf>
    <xf numFmtId="167" fontId="19" fillId="2" borderId="23" xfId="0" applyNumberFormat="1" applyFont="1" applyFill="1" applyBorder="1" applyAlignment="1">
      <alignment horizontal="center" vertical="center"/>
    </xf>
    <xf numFmtId="0" fontId="20" fillId="6" borderId="25" xfId="0" applyFont="1" applyFill="1" applyBorder="1" applyAlignment="1">
      <alignment vertical="center" wrapText="1"/>
    </xf>
    <xf numFmtId="0" fontId="20" fillId="6" borderId="26" xfId="0" applyFont="1" applyFill="1" applyBorder="1" applyAlignment="1">
      <alignment vertical="center" wrapText="1"/>
    </xf>
    <xf numFmtId="166" fontId="20" fillId="6" borderId="0" xfId="0" applyNumberFormat="1" applyFont="1" applyFill="1" applyAlignment="1">
      <alignment horizontal="center" vertical="center"/>
    </xf>
    <xf numFmtId="166" fontId="20" fillId="6" borderId="17" xfId="0" applyNumberFormat="1" applyFont="1" applyFill="1" applyBorder="1" applyAlignment="1">
      <alignment horizontal="center" vertical="center"/>
    </xf>
    <xf numFmtId="167" fontId="20" fillId="6" borderId="0" xfId="0" applyNumberFormat="1" applyFont="1" applyFill="1" applyAlignment="1">
      <alignment horizontal="center" vertical="center"/>
    </xf>
    <xf numFmtId="0" fontId="20" fillId="6" borderId="27" xfId="0" applyFont="1" applyFill="1" applyBorder="1" applyAlignment="1">
      <alignment vertical="center" wrapText="1"/>
    </xf>
    <xf numFmtId="0" fontId="20" fillId="6" borderId="28" xfId="0" applyFont="1" applyFill="1" applyBorder="1" applyAlignment="1">
      <alignment vertical="center" wrapText="1"/>
    </xf>
    <xf numFmtId="165" fontId="20" fillId="6" borderId="28" xfId="2" applyNumberFormat="1" applyFont="1" applyFill="1" applyBorder="1" applyAlignment="1">
      <alignment horizontal="center" vertical="center"/>
    </xf>
    <xf numFmtId="165" fontId="20" fillId="6" borderId="29" xfId="2" applyNumberFormat="1" applyFont="1" applyFill="1" applyBorder="1" applyAlignment="1">
      <alignment horizontal="center" vertical="center"/>
    </xf>
    <xf numFmtId="167" fontId="20" fillId="6" borderId="28" xfId="0" applyNumberFormat="1" applyFont="1" applyFill="1" applyBorder="1" applyAlignment="1">
      <alignment horizontal="center" vertical="center"/>
    </xf>
    <xf numFmtId="166" fontId="20" fillId="6" borderId="28" xfId="0" applyNumberFormat="1" applyFont="1" applyFill="1" applyBorder="1" applyAlignment="1">
      <alignment horizontal="center" vertical="center"/>
    </xf>
    <xf numFmtId="166" fontId="20" fillId="6" borderId="29" xfId="0" applyNumberFormat="1" applyFont="1" applyFill="1" applyBorder="1" applyAlignment="1">
      <alignment horizontal="center" vertical="center"/>
    </xf>
    <xf numFmtId="0" fontId="19" fillId="6" borderId="23" xfId="0" applyFont="1" applyFill="1" applyBorder="1" applyAlignment="1">
      <alignment vertical="center"/>
    </xf>
    <xf numFmtId="166" fontId="19" fillId="6" borderId="23" xfId="0" applyNumberFormat="1" applyFont="1" applyFill="1" applyBorder="1" applyAlignment="1">
      <alignment horizontal="center" vertical="center"/>
    </xf>
    <xf numFmtId="166" fontId="19" fillId="6" borderId="24" xfId="0" applyNumberFormat="1" applyFont="1" applyFill="1" applyBorder="1" applyAlignment="1">
      <alignment horizontal="center" vertical="center"/>
    </xf>
    <xf numFmtId="167" fontId="19" fillId="6" borderId="23" xfId="0" applyNumberFormat="1" applyFont="1" applyFill="1" applyBorder="1" applyAlignment="1">
      <alignment horizontal="center" vertical="center"/>
    </xf>
    <xf numFmtId="0" fontId="18" fillId="8" borderId="0" xfId="0" applyFont="1" applyFill="1" applyAlignment="1">
      <alignment horizontal="center" vertical="center"/>
    </xf>
    <xf numFmtId="0" fontId="18" fillId="8" borderId="0" xfId="0" applyFont="1" applyFill="1" applyAlignment="1">
      <alignment horizontal="left" vertical="center" wrapText="1"/>
    </xf>
    <xf numFmtId="0" fontId="18" fillId="8" borderId="0" xfId="0" applyFont="1" applyFill="1" applyAlignment="1">
      <alignment horizontal="right" vertical="center"/>
    </xf>
    <xf numFmtId="0" fontId="19" fillId="0" borderId="0" xfId="0" applyFont="1" applyAlignment="1">
      <alignment horizontal="center" vertical="center"/>
    </xf>
    <xf numFmtId="0" fontId="18" fillId="8" borderId="0" xfId="10" applyFont="1" applyFill="1" applyBorder="1" applyAlignment="1">
      <alignment horizontal="left" vertical="center"/>
    </xf>
    <xf numFmtId="0" fontId="18" fillId="8" borderId="0" xfId="10" applyFont="1" applyFill="1" applyBorder="1" applyAlignment="1">
      <alignment horizontal="right" vertical="center"/>
    </xf>
    <xf numFmtId="3" fontId="19" fillId="0" borderId="0" xfId="0" applyNumberFormat="1" applyFont="1" applyAlignment="1">
      <alignment horizontal="right" vertical="center"/>
    </xf>
    <xf numFmtId="0" fontId="13" fillId="0" borderId="0" xfId="11" applyFont="1" applyAlignment="1">
      <alignment horizontal="left" vertical="center" readingOrder="1"/>
    </xf>
    <xf numFmtId="0" fontId="22" fillId="0" borderId="11" xfId="0" applyFont="1" applyBorder="1" applyAlignment="1">
      <alignment horizontal="left" vertical="center" wrapText="1"/>
    </xf>
    <xf numFmtId="3" fontId="22" fillId="6" borderId="5" xfId="0" applyNumberFormat="1" applyFont="1" applyFill="1" applyBorder="1" applyAlignment="1">
      <alignment horizontal="right" vertical="center" wrapText="1"/>
    </xf>
    <xf numFmtId="3" fontId="19" fillId="6" borderId="12" xfId="0" applyNumberFormat="1" applyFont="1" applyFill="1" applyBorder="1" applyAlignment="1">
      <alignment vertical="center"/>
    </xf>
    <xf numFmtId="3" fontId="19" fillId="6" borderId="6" xfId="0" applyNumberFormat="1" applyFont="1" applyFill="1" applyBorder="1" applyAlignment="1">
      <alignment vertical="center"/>
    </xf>
    <xf numFmtId="0" fontId="22" fillId="0" borderId="3" xfId="0" applyFont="1" applyBorder="1" applyAlignment="1">
      <alignment horizontal="left" vertical="center" wrapText="1"/>
    </xf>
    <xf numFmtId="3" fontId="22" fillId="6" borderId="0" xfId="0" applyNumberFormat="1" applyFont="1" applyFill="1" applyAlignment="1">
      <alignment horizontal="right" vertical="center" wrapText="1"/>
    </xf>
    <xf numFmtId="3" fontId="19" fillId="6" borderId="1" xfId="0" applyNumberFormat="1" applyFont="1" applyFill="1" applyBorder="1" applyAlignment="1">
      <alignment vertical="center"/>
    </xf>
    <xf numFmtId="3" fontId="19" fillId="6" borderId="7" xfId="0" applyNumberFormat="1" applyFont="1" applyFill="1" applyBorder="1" applyAlignment="1">
      <alignment vertical="center"/>
    </xf>
    <xf numFmtId="3" fontId="19" fillId="0" borderId="0" xfId="0" applyNumberFormat="1" applyFont="1" applyAlignment="1">
      <alignment vertical="center"/>
    </xf>
    <xf numFmtId="0" fontId="19" fillId="5" borderId="0" xfId="0" applyFont="1" applyFill="1" applyAlignment="1">
      <alignment horizontal="left" vertical="center"/>
    </xf>
    <xf numFmtId="3" fontId="19" fillId="5" borderId="0" xfId="0" applyNumberFormat="1" applyFont="1" applyFill="1" applyAlignment="1">
      <alignment vertical="center"/>
    </xf>
    <xf numFmtId="0" fontId="19" fillId="0" borderId="0" xfId="0" applyFont="1" applyAlignment="1">
      <alignment horizontal="left" vertical="center"/>
    </xf>
    <xf numFmtId="3" fontId="19" fillId="0" borderId="0" xfId="0" applyNumberFormat="1" applyFont="1" applyAlignment="1">
      <alignment horizontal="center" vertical="center"/>
    </xf>
    <xf numFmtId="165" fontId="19" fillId="0" borderId="0" xfId="0" applyNumberFormat="1" applyFont="1" applyAlignment="1">
      <alignment horizontal="center" vertical="center"/>
    </xf>
    <xf numFmtId="165" fontId="19" fillId="0" borderId="0" xfId="2" applyNumberFormat="1" applyFont="1" applyAlignment="1">
      <alignment horizontal="center" vertical="center"/>
    </xf>
    <xf numFmtId="0" fontId="19" fillId="3" borderId="0" xfId="0" applyFont="1" applyFill="1" applyAlignment="1">
      <alignment horizontal="left" vertical="center"/>
    </xf>
    <xf numFmtId="3" fontId="19" fillId="3" borderId="0" xfId="0" applyNumberFormat="1" applyFont="1" applyFill="1" applyAlignment="1">
      <alignment horizontal="center" vertical="center"/>
    </xf>
    <xf numFmtId="165" fontId="19" fillId="3" borderId="0" xfId="0" applyNumberFormat="1" applyFont="1" applyFill="1" applyAlignment="1">
      <alignment horizontal="center" vertical="center"/>
    </xf>
    <xf numFmtId="0" fontId="19" fillId="2" borderId="0" xfId="0" applyFont="1" applyFill="1" applyAlignment="1">
      <alignment horizontal="left" vertical="center" wrapText="1"/>
    </xf>
    <xf numFmtId="3" fontId="19" fillId="2" borderId="0" xfId="0" applyNumberFormat="1" applyFont="1" applyFill="1" applyAlignment="1">
      <alignment horizontal="right" vertical="center"/>
    </xf>
    <xf numFmtId="3" fontId="20" fillId="2" borderId="0" xfId="0" applyNumberFormat="1" applyFont="1" applyFill="1" applyAlignment="1">
      <alignment horizontal="right" vertical="center"/>
    </xf>
    <xf numFmtId="3" fontId="20" fillId="0" borderId="0" xfId="0" applyNumberFormat="1" applyFont="1" applyAlignment="1">
      <alignment horizontal="right" vertical="center"/>
    </xf>
    <xf numFmtId="3" fontId="19" fillId="2" borderId="0" xfId="0" applyNumberFormat="1" applyFont="1" applyFill="1" applyAlignment="1">
      <alignment vertical="center"/>
    </xf>
    <xf numFmtId="3" fontId="20" fillId="2" borderId="0" xfId="0" applyNumberFormat="1" applyFont="1" applyFill="1" applyAlignment="1">
      <alignment vertical="center"/>
    </xf>
    <xf numFmtId="3" fontId="20" fillId="0" borderId="0" xfId="0" applyNumberFormat="1" applyFont="1" applyAlignment="1">
      <alignment vertical="center"/>
    </xf>
    <xf numFmtId="3" fontId="19" fillId="6" borderId="0" xfId="0" applyNumberFormat="1" applyFont="1" applyFill="1" applyAlignment="1">
      <alignment vertical="center"/>
    </xf>
    <xf numFmtId="3" fontId="20" fillId="6" borderId="0" xfId="0" applyNumberFormat="1" applyFont="1" applyFill="1" applyAlignment="1">
      <alignment vertical="center"/>
    </xf>
    <xf numFmtId="0" fontId="15" fillId="0" borderId="0" xfId="0" applyFont="1" applyAlignment="1">
      <alignment horizontal="center" vertical="center" wrapText="1"/>
    </xf>
    <xf numFmtId="0" fontId="20" fillId="0" borderId="0" xfId="0" applyFont="1" applyAlignment="1">
      <alignment vertical="center"/>
    </xf>
    <xf numFmtId="166" fontId="17" fillId="0" borderId="0" xfId="0" applyNumberFormat="1" applyFont="1" applyAlignment="1">
      <alignment horizontal="center" vertical="center"/>
    </xf>
    <xf numFmtId="166" fontId="19" fillId="0" borderId="0" xfId="0" applyNumberFormat="1" applyFont="1" applyAlignment="1">
      <alignment horizontal="center" vertical="center"/>
    </xf>
    <xf numFmtId="0" fontId="20" fillId="2" borderId="0" xfId="0" applyFont="1" applyFill="1" applyAlignment="1">
      <alignment vertical="center"/>
    </xf>
    <xf numFmtId="0" fontId="20" fillId="0" borderId="0" xfId="0" applyFont="1" applyAlignment="1">
      <alignment vertical="center" wrapText="1"/>
    </xf>
    <xf numFmtId="165" fontId="17" fillId="0" borderId="0" xfId="2" applyNumberFormat="1" applyFont="1" applyAlignment="1">
      <alignment horizontal="center" vertical="center"/>
    </xf>
    <xf numFmtId="0" fontId="20" fillId="2" borderId="0" xfId="0" applyFont="1" applyFill="1" applyAlignment="1">
      <alignment vertical="center" wrapText="1"/>
    </xf>
    <xf numFmtId="165" fontId="19" fillId="2" borderId="0" xfId="2" applyNumberFormat="1" applyFont="1" applyFill="1" applyAlignment="1">
      <alignment horizontal="center" vertical="center"/>
    </xf>
    <xf numFmtId="0" fontId="18" fillId="10" borderId="0" xfId="0" applyFont="1" applyFill="1" applyAlignment="1">
      <alignment horizontal="center" vertical="center"/>
    </xf>
    <xf numFmtId="0" fontId="18" fillId="10" borderId="0" xfId="0" applyFont="1" applyFill="1" applyAlignment="1">
      <alignment horizontal="center" vertical="center" wrapText="1"/>
    </xf>
    <xf numFmtId="0" fontId="18" fillId="10" borderId="17" xfId="0" applyFont="1" applyFill="1" applyBorder="1" applyAlignment="1">
      <alignment horizontal="center" vertical="center" wrapText="1"/>
    </xf>
    <xf numFmtId="0" fontId="23" fillId="10" borderId="0" xfId="0" applyFont="1" applyFill="1" applyAlignment="1">
      <alignment vertical="center"/>
    </xf>
    <xf numFmtId="0" fontId="18" fillId="11" borderId="32" xfId="0" applyFont="1" applyFill="1" applyBorder="1" applyAlignment="1">
      <alignment vertical="center"/>
    </xf>
    <xf numFmtId="166" fontId="18" fillId="11" borderId="32" xfId="0" applyNumberFormat="1" applyFont="1" applyFill="1" applyBorder="1" applyAlignment="1">
      <alignment horizontal="center" vertical="center"/>
    </xf>
    <xf numFmtId="0" fontId="18" fillId="8" borderId="0" xfId="0" applyFont="1" applyFill="1" applyAlignment="1">
      <alignment horizontal="left" vertical="center"/>
    </xf>
    <xf numFmtId="0" fontId="18" fillId="11" borderId="0" xfId="0" applyFont="1" applyFill="1" applyAlignment="1">
      <alignment vertical="center"/>
    </xf>
    <xf numFmtId="3" fontId="18" fillId="11" borderId="0" xfId="0" applyNumberFormat="1" applyFont="1" applyFill="1" applyAlignment="1">
      <alignment vertical="center"/>
    </xf>
    <xf numFmtId="3" fontId="18" fillId="11" borderId="0" xfId="0" applyNumberFormat="1" applyFont="1" applyFill="1" applyAlignment="1">
      <alignment horizontal="right" vertical="center"/>
    </xf>
    <xf numFmtId="0" fontId="18" fillId="11" borderId="0" xfId="0" applyFont="1" applyFill="1" applyAlignment="1">
      <alignment horizontal="left" vertical="center"/>
    </xf>
    <xf numFmtId="3" fontId="18" fillId="11" borderId="0" xfId="0" applyNumberFormat="1" applyFont="1" applyFill="1" applyAlignment="1">
      <alignment horizontal="center" vertical="center"/>
    </xf>
    <xf numFmtId="165" fontId="18" fillId="11" borderId="0" xfId="0" applyNumberFormat="1" applyFont="1" applyFill="1" applyAlignment="1">
      <alignment horizontal="center" vertical="center"/>
    </xf>
    <xf numFmtId="3" fontId="18" fillId="10" borderId="0" xfId="0" applyNumberFormat="1" applyFont="1" applyFill="1" applyAlignment="1">
      <alignment horizontal="left" vertical="center"/>
    </xf>
    <xf numFmtId="3" fontId="18" fillId="10" borderId="0" xfId="0" applyNumberFormat="1" applyFont="1" applyFill="1" applyAlignment="1">
      <alignment horizontal="right" vertical="center"/>
    </xf>
    <xf numFmtId="1" fontId="18" fillId="10" borderId="0" xfId="0" applyNumberFormat="1" applyFont="1" applyFill="1" applyAlignment="1">
      <alignment horizontal="center" vertical="center"/>
    </xf>
    <xf numFmtId="0" fontId="22" fillId="12" borderId="3" xfId="0" applyFont="1" applyFill="1" applyBorder="1" applyAlignment="1">
      <alignment horizontal="left" vertical="center" wrapText="1"/>
    </xf>
    <xf numFmtId="3" fontId="22" fillId="12" borderId="0" xfId="0" applyNumberFormat="1" applyFont="1" applyFill="1" applyAlignment="1">
      <alignment horizontal="right" vertical="center" wrapText="1"/>
    </xf>
    <xf numFmtId="3" fontId="19" fillId="12" borderId="1" xfId="0" applyNumberFormat="1" applyFont="1" applyFill="1" applyBorder="1" applyAlignment="1">
      <alignment vertical="center"/>
    </xf>
    <xf numFmtId="3" fontId="19" fillId="12" borderId="7" xfId="0" applyNumberFormat="1" applyFont="1" applyFill="1" applyBorder="1" applyAlignment="1">
      <alignment vertical="center"/>
    </xf>
    <xf numFmtId="3" fontId="18" fillId="11" borderId="8" xfId="0" applyNumberFormat="1" applyFont="1" applyFill="1" applyBorder="1" applyAlignment="1">
      <alignment horizontal="left" vertical="center" wrapText="1"/>
    </xf>
    <xf numFmtId="3" fontId="18" fillId="11" borderId="8" xfId="0" applyNumberFormat="1" applyFont="1" applyFill="1" applyBorder="1" applyAlignment="1">
      <alignment horizontal="right" vertical="center" wrapText="1"/>
    </xf>
    <xf numFmtId="3" fontId="18" fillId="11" borderId="13" xfId="0" applyNumberFormat="1" applyFont="1" applyFill="1" applyBorder="1" applyAlignment="1">
      <alignment vertical="center"/>
    </xf>
    <xf numFmtId="3" fontId="18" fillId="11" borderId="9" xfId="0" applyNumberFormat="1" applyFont="1" applyFill="1" applyBorder="1" applyAlignment="1">
      <alignment vertical="center"/>
    </xf>
    <xf numFmtId="0" fontId="13" fillId="0" borderId="0" xfId="0" applyFont="1" applyAlignment="1">
      <alignment horizontal="left" vertical="center"/>
    </xf>
    <xf numFmtId="3" fontId="18" fillId="11" borderId="0" xfId="1" applyNumberFormat="1" applyFont="1" applyFill="1" applyAlignment="1">
      <alignment vertical="center" wrapText="1"/>
    </xf>
    <xf numFmtId="3" fontId="18" fillId="11" borderId="0" xfId="1" applyNumberFormat="1" applyFont="1" applyFill="1" applyAlignment="1">
      <alignment vertical="center"/>
    </xf>
    <xf numFmtId="0" fontId="19" fillId="0" borderId="0" xfId="0" applyFont="1" applyAlignment="1">
      <alignment horizontal="left" vertical="center" wrapText="1"/>
    </xf>
    <xf numFmtId="3" fontId="19" fillId="0" borderId="0" xfId="0" applyNumberFormat="1" applyFont="1" applyAlignment="1">
      <alignment horizontal="right" vertical="center" wrapText="1"/>
    </xf>
    <xf numFmtId="0" fontId="19" fillId="0" borderId="33" xfId="0" applyFont="1" applyBorder="1" applyAlignment="1">
      <alignment horizontal="left" vertical="center" wrapText="1"/>
    </xf>
    <xf numFmtId="3" fontId="19" fillId="0" borderId="33" xfId="0" applyNumberFormat="1" applyFont="1" applyBorder="1" applyAlignment="1">
      <alignment horizontal="right" vertical="center"/>
    </xf>
    <xf numFmtId="0" fontId="19" fillId="9" borderId="34" xfId="0" applyFont="1" applyFill="1" applyBorder="1" applyAlignment="1">
      <alignment horizontal="left" vertical="center" wrapText="1"/>
    </xf>
    <xf numFmtId="3" fontId="19" fillId="9" borderId="34" xfId="0" applyNumberFormat="1" applyFont="1" applyFill="1" applyBorder="1" applyAlignment="1">
      <alignment horizontal="right" vertical="center" wrapText="1"/>
    </xf>
    <xf numFmtId="3" fontId="19" fillId="9" borderId="34" xfId="0" applyNumberFormat="1" applyFont="1" applyFill="1" applyBorder="1" applyAlignment="1">
      <alignment horizontal="right" vertical="center"/>
    </xf>
    <xf numFmtId="0" fontId="19" fillId="9" borderId="33" xfId="0" applyFont="1" applyFill="1" applyBorder="1" applyAlignment="1">
      <alignment horizontal="left" vertical="center"/>
    </xf>
    <xf numFmtId="3" fontId="19" fillId="9" borderId="33" xfId="0" applyNumberFormat="1" applyFont="1" applyFill="1" applyBorder="1" applyAlignment="1">
      <alignment horizontal="right" vertical="center"/>
    </xf>
    <xf numFmtId="0" fontId="19" fillId="0" borderId="34" xfId="0" applyFont="1" applyBorder="1" applyAlignment="1">
      <alignment horizontal="left" vertical="center" wrapText="1"/>
    </xf>
    <xf numFmtId="3" fontId="19" fillId="0" borderId="34" xfId="0" applyNumberFormat="1" applyFont="1" applyBorder="1" applyAlignment="1">
      <alignment horizontal="right" vertical="center"/>
    </xf>
    <xf numFmtId="0" fontId="19" fillId="0" borderId="33" xfId="0" applyFont="1" applyBorder="1" applyAlignment="1">
      <alignment horizontal="left" vertical="center"/>
    </xf>
    <xf numFmtId="3" fontId="19" fillId="6" borderId="0" xfId="0" applyNumberFormat="1" applyFont="1" applyFill="1" applyAlignment="1">
      <alignment horizontal="center" vertical="center"/>
    </xf>
    <xf numFmtId="0" fontId="19" fillId="6" borderId="0" xfId="0" applyFont="1" applyFill="1" applyAlignment="1">
      <alignment vertical="center" wrapText="1"/>
    </xf>
    <xf numFmtId="166" fontId="18" fillId="11" borderId="0" xfId="0" applyNumberFormat="1" applyFont="1" applyFill="1" applyAlignment="1">
      <alignment horizontal="center" vertical="center"/>
    </xf>
    <xf numFmtId="0" fontId="13" fillId="0" borderId="0" xfId="0" applyFont="1" applyAlignment="1">
      <alignment horizontal="left" vertical="center" wrapText="1"/>
    </xf>
    <xf numFmtId="0" fontId="18" fillId="10" borderId="15" xfId="0" applyFont="1" applyFill="1" applyBorder="1" applyAlignment="1">
      <alignment horizontal="left" vertical="center" wrapText="1"/>
    </xf>
    <xf numFmtId="0" fontId="18" fillId="10" borderId="4" xfId="0" applyFont="1" applyFill="1" applyBorder="1" applyAlignment="1">
      <alignment horizontal="left" vertical="center" wrapText="1"/>
    </xf>
    <xf numFmtId="0" fontId="18" fillId="10" borderId="2" xfId="0" applyFont="1" applyFill="1" applyBorder="1" applyAlignment="1">
      <alignment horizontal="center" vertical="center" wrapText="1"/>
    </xf>
    <xf numFmtId="0" fontId="18" fillId="10" borderId="16" xfId="0" applyFont="1" applyFill="1" applyBorder="1" applyAlignment="1">
      <alignment horizontal="center" vertical="center" wrapText="1"/>
    </xf>
    <xf numFmtId="0" fontId="18" fillId="10" borderId="10" xfId="0" applyFont="1" applyFill="1" applyBorder="1" applyAlignment="1">
      <alignment horizontal="center" vertical="center" wrapText="1"/>
    </xf>
    <xf numFmtId="0" fontId="18" fillId="10" borderId="10" xfId="0" applyFont="1" applyFill="1" applyBorder="1" applyAlignment="1">
      <alignment horizontal="right" vertical="center" wrapText="1"/>
    </xf>
    <xf numFmtId="0" fontId="19" fillId="12" borderId="0" xfId="0" applyFont="1" applyFill="1" applyAlignment="1">
      <alignment vertical="center" wrapText="1"/>
    </xf>
    <xf numFmtId="3" fontId="19" fillId="12" borderId="0" xfId="0" applyNumberFormat="1" applyFont="1" applyFill="1" applyAlignment="1">
      <alignment horizontal="center" vertical="center"/>
    </xf>
    <xf numFmtId="0" fontId="18" fillId="4" borderId="0" xfId="0" applyFont="1" applyFill="1" applyAlignment="1">
      <alignment vertical="center" wrapText="1"/>
    </xf>
    <xf numFmtId="3" fontId="18" fillId="4" borderId="0" xfId="0" applyNumberFormat="1" applyFont="1" applyFill="1" applyAlignment="1">
      <alignment horizontal="center" vertical="center"/>
    </xf>
    <xf numFmtId="0" fontId="26" fillId="0" borderId="0" xfId="0" applyFont="1" applyAlignment="1">
      <alignment vertical="center"/>
    </xf>
    <xf numFmtId="0" fontId="25" fillId="10" borderId="0" xfId="0" applyFont="1" applyFill="1" applyAlignment="1">
      <alignment vertical="center"/>
    </xf>
    <xf numFmtId="3" fontId="26" fillId="0" borderId="0" xfId="0" applyNumberFormat="1" applyFont="1" applyAlignment="1">
      <alignment vertical="center"/>
    </xf>
    <xf numFmtId="0" fontId="26" fillId="2" borderId="0" xfId="0" applyFont="1" applyFill="1" applyAlignment="1">
      <alignment vertical="center"/>
    </xf>
    <xf numFmtId="3" fontId="26" fillId="2" borderId="0" xfId="0" applyNumberFormat="1" applyFont="1" applyFill="1" applyAlignment="1">
      <alignment vertical="center"/>
    </xf>
    <xf numFmtId="0" fontId="27" fillId="0" borderId="0" xfId="0" applyFont="1" applyAlignment="1">
      <alignment vertical="center"/>
    </xf>
    <xf numFmtId="0" fontId="18" fillId="11" borderId="35" xfId="0" applyFont="1" applyFill="1" applyBorder="1" applyAlignment="1">
      <alignment horizontal="left" vertical="center" wrapText="1"/>
    </xf>
    <xf numFmtId="0" fontId="27" fillId="0" borderId="0" xfId="0" applyFont="1"/>
    <xf numFmtId="0" fontId="24" fillId="0" borderId="0" xfId="0" applyFont="1" applyAlignment="1">
      <alignment horizontal="center" vertical="center"/>
    </xf>
    <xf numFmtId="0" fontId="0" fillId="0" borderId="0" xfId="0" applyAlignment="1">
      <alignment horizontal="center" vertical="center"/>
    </xf>
    <xf numFmtId="0" fontId="20" fillId="6" borderId="18" xfId="0" applyFont="1" applyFill="1" applyBorder="1" applyAlignment="1">
      <alignment horizontal="left" vertical="center" wrapText="1"/>
    </xf>
    <xf numFmtId="0" fontId="20" fillId="6" borderId="21" xfId="0" applyFont="1" applyFill="1" applyBorder="1" applyAlignment="1">
      <alignment horizontal="left" vertical="center" wrapText="1"/>
    </xf>
    <xf numFmtId="0" fontId="20" fillId="6" borderId="22" xfId="0" applyFont="1" applyFill="1" applyBorder="1" applyAlignment="1">
      <alignment horizontal="left" vertical="center" wrapText="1"/>
    </xf>
    <xf numFmtId="0" fontId="13" fillId="0" borderId="19" xfId="0" applyFont="1" applyBorder="1" applyAlignment="1">
      <alignment horizontal="left" vertical="center"/>
    </xf>
    <xf numFmtId="0" fontId="18" fillId="10" borderId="0" xfId="0" applyFont="1" applyFill="1" applyAlignment="1">
      <alignment horizontal="center" vertical="center"/>
    </xf>
    <xf numFmtId="0" fontId="16" fillId="0" borderId="0" xfId="0" applyFont="1" applyAlignment="1">
      <alignment horizontal="left" vertical="top" wrapText="1"/>
    </xf>
    <xf numFmtId="0" fontId="16" fillId="0" borderId="0" xfId="0" applyFont="1" applyAlignment="1">
      <alignment horizontal="left" vertical="top"/>
    </xf>
    <xf numFmtId="0" fontId="16" fillId="0" borderId="0" xfId="0" applyFont="1" applyAlignment="1">
      <alignment horizontal="left" vertical="center" wrapText="1"/>
    </xf>
    <xf numFmtId="0" fontId="13" fillId="0" borderId="0" xfId="0" applyFont="1" applyAlignment="1">
      <alignment horizontal="left" vertical="center"/>
    </xf>
    <xf numFmtId="0" fontId="20" fillId="6" borderId="0" xfId="0" applyFont="1" applyFill="1" applyAlignment="1">
      <alignment horizontal="left" vertical="center"/>
    </xf>
    <xf numFmtId="0" fontId="18" fillId="11" borderId="0" xfId="0" applyFont="1" applyFill="1" applyAlignment="1">
      <alignment horizontal="left" vertical="center"/>
    </xf>
    <xf numFmtId="0" fontId="18" fillId="8" borderId="0" xfId="0" applyFont="1" applyFill="1" applyAlignment="1">
      <alignment horizontal="center" vertical="center"/>
    </xf>
    <xf numFmtId="0" fontId="20" fillId="2" borderId="0" xfId="0" applyFont="1" applyFill="1" applyAlignment="1">
      <alignment horizontal="left" vertical="center" wrapText="1"/>
    </xf>
    <xf numFmtId="0" fontId="20" fillId="0" borderId="0" xfId="0" applyFont="1" applyAlignment="1">
      <alignment horizontal="left" vertical="center" wrapText="1"/>
    </xf>
    <xf numFmtId="0" fontId="20" fillId="0" borderId="0" xfId="0" applyFont="1" applyAlignment="1">
      <alignment horizontal="left" vertical="center"/>
    </xf>
    <xf numFmtId="0" fontId="18" fillId="11" borderId="0" xfId="0" applyFont="1" applyFill="1" applyAlignment="1">
      <alignment horizontal="center" vertical="center"/>
    </xf>
    <xf numFmtId="0" fontId="20" fillId="2" borderId="0" xfId="0" applyFont="1" applyFill="1" applyAlignment="1">
      <alignment horizontal="center" vertical="center" wrapText="1"/>
    </xf>
    <xf numFmtId="0" fontId="20" fillId="6" borderId="0" xfId="0" applyFont="1" applyFill="1" applyAlignment="1">
      <alignment horizontal="center" vertical="center"/>
    </xf>
    <xf numFmtId="0" fontId="20" fillId="2" borderId="0" xfId="0" applyFont="1" applyFill="1" applyAlignment="1">
      <alignment horizontal="center" vertical="center"/>
    </xf>
    <xf numFmtId="0" fontId="20" fillId="0" borderId="0" xfId="0" applyFont="1" applyAlignment="1">
      <alignment horizontal="center" vertical="center" wrapText="1"/>
    </xf>
    <xf numFmtId="0" fontId="20" fillId="0" borderId="0" xfId="0" applyFont="1" applyAlignment="1">
      <alignment horizontal="center" vertical="center"/>
    </xf>
    <xf numFmtId="0" fontId="25" fillId="10" borderId="0" xfId="0" applyFont="1" applyFill="1" applyAlignment="1">
      <alignment horizontal="center" vertical="center"/>
    </xf>
    <xf numFmtId="0" fontId="26" fillId="0" borderId="0" xfId="0" applyFont="1" applyAlignment="1">
      <alignment horizontal="left" vertical="center"/>
    </xf>
    <xf numFmtId="0" fontId="26" fillId="2" borderId="0" xfId="0" applyFont="1" applyFill="1" applyAlignment="1">
      <alignment horizontal="left" vertical="center"/>
    </xf>
    <xf numFmtId="0" fontId="20" fillId="2" borderId="0" xfId="0" applyFont="1" applyFill="1" applyAlignment="1">
      <alignment horizontal="left" vertical="center"/>
    </xf>
    <xf numFmtId="0" fontId="18" fillId="11" borderId="0" xfId="0" applyFont="1" applyFill="1" applyAlignment="1">
      <alignment horizontal="left" vertical="center" wrapText="1"/>
    </xf>
    <xf numFmtId="0" fontId="13" fillId="0" borderId="0" xfId="0" applyFont="1" applyAlignment="1">
      <alignment horizontal="left" vertical="center" wrapText="1"/>
    </xf>
    <xf numFmtId="0" fontId="20" fillId="3" borderId="0" xfId="0" applyFont="1" applyFill="1" applyAlignment="1">
      <alignment horizontal="left" vertical="center" wrapText="1"/>
    </xf>
    <xf numFmtId="0" fontId="18" fillId="8" borderId="0" xfId="0" applyFont="1" applyFill="1" applyAlignment="1">
      <alignment horizontal="center" vertical="center" wrapText="1"/>
    </xf>
    <xf numFmtId="3" fontId="18" fillId="10" borderId="0" xfId="0" applyNumberFormat="1" applyFont="1" applyFill="1" applyAlignment="1">
      <alignment horizontal="center" vertical="center"/>
    </xf>
    <xf numFmtId="0" fontId="10" fillId="0" borderId="0" xfId="0" applyFont="1" applyAlignment="1">
      <alignment horizontal="left" vertical="center"/>
    </xf>
    <xf numFmtId="0" fontId="21" fillId="0" borderId="11"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14" xfId="0" applyFont="1" applyBorder="1" applyAlignment="1">
      <alignment horizontal="center" vertical="center" wrapText="1"/>
    </xf>
    <xf numFmtId="0" fontId="18" fillId="10" borderId="30" xfId="0" applyFont="1" applyFill="1" applyBorder="1" applyAlignment="1">
      <alignment horizontal="center" vertical="center" wrapText="1"/>
    </xf>
    <xf numFmtId="0" fontId="18" fillId="10" borderId="31" xfId="0" applyFont="1" applyFill="1" applyBorder="1" applyAlignment="1">
      <alignment horizontal="center" vertical="center" wrapText="1"/>
    </xf>
    <xf numFmtId="0" fontId="21" fillId="0" borderId="5" xfId="0" applyFont="1" applyBorder="1" applyAlignment="1">
      <alignment horizontal="center" vertical="center" wrapText="1"/>
    </xf>
    <xf numFmtId="0" fontId="21" fillId="0" borderId="0" xfId="0" applyFont="1" applyAlignment="1">
      <alignment horizontal="center" vertical="center" wrapText="1"/>
    </xf>
    <xf numFmtId="0" fontId="21" fillId="0" borderId="8" xfId="0" applyFont="1" applyBorder="1" applyAlignment="1">
      <alignment horizontal="center" vertical="center" wrapText="1"/>
    </xf>
    <xf numFmtId="0" fontId="18" fillId="8" borderId="0" xfId="10" applyFont="1" applyFill="1" applyBorder="1" applyAlignment="1">
      <alignment horizontal="center" vertical="center"/>
    </xf>
    <xf numFmtId="0" fontId="19" fillId="0" borderId="34" xfId="0" applyFont="1" applyBorder="1" applyAlignment="1">
      <alignment horizontal="left" vertical="center"/>
    </xf>
    <xf numFmtId="0" fontId="19" fillId="0" borderId="33" xfId="0" applyFont="1" applyBorder="1" applyAlignment="1">
      <alignment horizontal="left" vertical="center"/>
    </xf>
    <xf numFmtId="3" fontId="18" fillId="11" borderId="0" xfId="1" applyNumberFormat="1" applyFont="1" applyFill="1" applyAlignment="1">
      <alignment horizontal="left" vertical="center" wrapText="1"/>
    </xf>
    <xf numFmtId="0" fontId="19" fillId="0" borderId="0" xfId="0" applyFont="1" applyAlignment="1">
      <alignment horizontal="left" vertical="center"/>
    </xf>
    <xf numFmtId="0" fontId="19" fillId="9" borderId="34" xfId="0" applyFont="1" applyFill="1" applyBorder="1" applyAlignment="1">
      <alignment horizontal="left" vertical="center"/>
    </xf>
    <xf numFmtId="0" fontId="19" fillId="9" borderId="33" xfId="0" applyFont="1" applyFill="1" applyBorder="1" applyAlignment="1">
      <alignment horizontal="left" vertical="center"/>
    </xf>
    <xf numFmtId="0" fontId="18" fillId="4" borderId="0" xfId="0" applyFont="1" applyFill="1" applyAlignment="1">
      <alignment horizontal="left" vertical="center"/>
    </xf>
    <xf numFmtId="0" fontId="20" fillId="6" borderId="0" xfId="0" applyFont="1" applyFill="1" applyAlignment="1">
      <alignment horizontal="left" vertical="center" wrapText="1"/>
    </xf>
    <xf numFmtId="0" fontId="20" fillId="12" borderId="0" xfId="0" applyFont="1" applyFill="1" applyAlignment="1">
      <alignment horizontal="left" vertical="center"/>
    </xf>
  </cellXfs>
  <cellStyles count="14">
    <cellStyle name="Comma 2" xfId="4" xr:uid="{00000000-0005-0000-0000-000033000000}"/>
    <cellStyle name="Comma 3" xfId="3" xr:uid="{00000000-0005-0000-0000-000032000000}"/>
    <cellStyle name="Comma 4" xfId="12" xr:uid="{3A58C764-F9BE-4CA4-A23A-A7EE99AF288D}"/>
    <cellStyle name="Followed Hyperlink 2" xfId="5" xr:uid="{00000000-0005-0000-0000-000034000000}"/>
    <cellStyle name="Good" xfId="10" builtinId="26"/>
    <cellStyle name="Hyperlink 2" xfId="6" xr:uid="{00000000-0005-0000-0000-000035000000}"/>
    <cellStyle name="Normal" xfId="0" builtinId="0"/>
    <cellStyle name="Normal 2" xfId="1" xr:uid="{00000000-0005-0000-0000-000002000000}"/>
    <cellStyle name="Normal 2 2" xfId="7" xr:uid="{00000000-0005-0000-0000-000036000000}"/>
    <cellStyle name="Normal 2 3" xfId="13" xr:uid="{196CC005-E78D-4B7E-8A5F-1ED1388E8F91}"/>
    <cellStyle name="Normal 3" xfId="8" xr:uid="{00000000-0005-0000-0000-000037000000}"/>
    <cellStyle name="Normal 4" xfId="11" xr:uid="{FEB79155-72EF-4295-A8B3-5B9FDEFE0346}"/>
    <cellStyle name="Percent" xfId="2" builtinId="5"/>
    <cellStyle name="Βασικό_Φύλλο1" xfId="9" xr:uid="{00000000-0005-0000-0000-00003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171450</xdr:colOff>
      <xdr:row>12</xdr:row>
      <xdr:rowOff>19050</xdr:rowOff>
    </xdr:from>
    <xdr:to>
      <xdr:col>15</xdr:col>
      <xdr:colOff>238125</xdr:colOff>
      <xdr:row>24</xdr:row>
      <xdr:rowOff>49994</xdr:rowOff>
    </xdr:to>
    <xdr:sp macro="" textlink="">
      <xdr:nvSpPr>
        <xdr:cNvPr id="3" name="Subtitle 2">
          <a:extLst>
            <a:ext uri="{FF2B5EF4-FFF2-40B4-BE49-F238E27FC236}">
              <a16:creationId xmlns:a16="http://schemas.microsoft.com/office/drawing/2014/main" id="{00000000-0008-0000-0000-000003000000}"/>
            </a:ext>
          </a:extLst>
        </xdr:cNvPr>
        <xdr:cNvSpPr>
          <a:spLocks noGrp="1"/>
        </xdr:cNvSpPr>
      </xdr:nvSpPr>
      <xdr:spPr>
        <a:xfrm>
          <a:off x="171450" y="2790825"/>
          <a:ext cx="9210675"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rtl="0" eaLnBrk="1" fontAlgn="auto" latinLnBrk="0" hangingPunct="1"/>
          <a:endParaRPr lang="el-GR" sz="1700" b="0" i="0" kern="1200" baseline="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pPr rtl="0" eaLnBrk="1" fontAlgn="auto" latinLnBrk="0" hangingPunct="1"/>
          <a:r>
            <a:rPr lang="en-US" sz="1500" b="0" i="0" kern="1200" baseline="0">
              <a:solidFill>
                <a:schemeClr val="tx1"/>
              </a:solidFill>
              <a:effectLst/>
              <a:latin typeface="Verdana" panose="020B0604030504040204" pitchFamily="34" charset="0"/>
              <a:ea typeface="Verdana" panose="020B0604030504040204" pitchFamily="34" charset="0"/>
              <a:cs typeface="Tahoma" panose="020B0604030504040204" pitchFamily="34" charset="0"/>
            </a:rPr>
            <a:t>May 2026</a:t>
          </a:r>
        </a:p>
        <a:p>
          <a:pPr rtl="0" eaLnBrk="1" fontAlgn="auto" latinLnBrk="0" hangingPunct="1"/>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6</xdr:col>
      <xdr:colOff>142875</xdr:colOff>
      <xdr:row>3</xdr:row>
      <xdr:rowOff>57151</xdr:rowOff>
    </xdr:from>
    <xdr:to>
      <xdr:col>9</xdr:col>
      <xdr:colOff>114075</xdr:colOff>
      <xdr:row>10</xdr:row>
      <xdr:rowOff>51468</xdr:rowOff>
    </xdr:to>
    <xdr:pic>
      <xdr:nvPicPr>
        <xdr:cNvPr id="5" name="Picture 4">
          <a:extLst>
            <a:ext uri="{FF2B5EF4-FFF2-40B4-BE49-F238E27FC236}">
              <a16:creationId xmlns:a16="http://schemas.microsoft.com/office/drawing/2014/main" id="{0B9C6F42-B438-4AF1-A1BE-39EC81B740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00475" y="1114426"/>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1</xdr:row>
      <xdr:rowOff>19050</xdr:rowOff>
    </xdr:from>
    <xdr:to>
      <xdr:col>14</xdr:col>
      <xdr:colOff>175260</xdr:colOff>
      <xdr:row>21</xdr:row>
      <xdr:rowOff>45720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95250" y="201930"/>
          <a:ext cx="8614410" cy="3684270"/>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hotels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1"/>
  <sheetViews>
    <sheetView showGridLines="0" tabSelected="1" zoomScaleNormal="100" workbookViewId="0">
      <selection activeCell="I22" sqref="I22"/>
    </sheetView>
  </sheetViews>
  <sheetFormatPr defaultRowHeight="14.4" x14ac:dyDescent="0.3"/>
  <sheetData>
    <row r="1" spans="1:15" ht="53.25" customHeight="1" x14ac:dyDescent="0.3">
      <c r="A1" s="149" t="s">
        <v>92</v>
      </c>
      <c r="B1" s="150"/>
      <c r="C1" s="150"/>
      <c r="D1" s="150"/>
      <c r="E1" s="150"/>
      <c r="F1" s="150"/>
      <c r="G1" s="150"/>
      <c r="H1" s="150"/>
      <c r="I1" s="150"/>
      <c r="J1" s="150"/>
      <c r="K1" s="150"/>
      <c r="L1" s="150"/>
      <c r="M1" s="150"/>
      <c r="N1" s="150"/>
      <c r="O1" s="150"/>
    </row>
  </sheetData>
  <mergeCells count="1">
    <mergeCell ref="A1:O1"/>
  </mergeCells>
  <pageMargins left="0.70866141732283472" right="0.70866141732283472" top="0.74803149606299213" bottom="0.74803149606299213" header="0.31496062992125984" footer="0.31496062992125984"/>
  <pageSetup paperSize="9" scale="95" orientation="landscape"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I25" sqref="I25"/>
    </sheetView>
  </sheetViews>
  <sheetFormatPr defaultRowHeight="14.4" x14ac:dyDescent="0.3"/>
  <sheetData/>
  <pageMargins left="0.70866141732283472" right="0.70866141732283472" top="0.74803149606299213" bottom="0.74803149606299213" header="0.31496062992125984" footer="0.31496062992125984"/>
  <pageSetup paperSize="9" scale="89" orientation="landscape" verticalDpi="597" r:id="rId1"/>
  <headerFooter>
    <oddHeader>&amp;R&amp;G</oddHeader>
    <oddFooter>&amp;L&amp;F&amp;C&amp;P / &amp;N&amp;R&amp;A</oddFooter>
  </headerFooter>
  <colBreaks count="1" manualBreakCount="1">
    <brk id="16" max="1048575"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59"/>
  <sheetViews>
    <sheetView showGridLines="0" zoomScaleNormal="100" workbookViewId="0">
      <selection activeCell="A34" sqref="A34:E34"/>
    </sheetView>
  </sheetViews>
  <sheetFormatPr defaultRowHeight="15" customHeight="1" x14ac:dyDescent="0.3"/>
  <cols>
    <col min="1" max="1" width="19.6640625" style="11" customWidth="1"/>
    <col min="2" max="2" width="23.6640625" style="11" bestFit="1" customWidth="1"/>
    <col min="3" max="3" width="13.88671875" style="11" customWidth="1"/>
    <col min="4" max="4" width="13.5546875" style="11" customWidth="1"/>
    <col min="5" max="5" width="16.33203125" style="11" customWidth="1"/>
    <col min="6" max="6" width="11.88671875" style="11" customWidth="1"/>
    <col min="7" max="7" width="16.6640625" style="11" customWidth="1"/>
    <col min="8" max="8" width="15.5546875" style="11" customWidth="1"/>
    <col min="9" max="16384" width="8.88671875" style="11"/>
  </cols>
  <sheetData>
    <row r="3" spans="1:8" ht="15" customHeight="1" x14ac:dyDescent="0.3">
      <c r="A3" s="155" t="s">
        <v>182</v>
      </c>
      <c r="B3" s="155"/>
      <c r="C3" s="155"/>
      <c r="D3" s="155"/>
      <c r="E3" s="155"/>
      <c r="F3" s="155"/>
      <c r="G3" s="155"/>
      <c r="H3" s="155"/>
    </row>
    <row r="4" spans="1:8" ht="40.799999999999997" x14ac:dyDescent="0.3">
      <c r="A4" s="88" t="s">
        <v>113</v>
      </c>
      <c r="B4" s="89" t="s">
        <v>70</v>
      </c>
      <c r="C4" s="89" t="s">
        <v>71</v>
      </c>
      <c r="D4" s="89" t="s">
        <v>91</v>
      </c>
      <c r="E4" s="90" t="s">
        <v>90</v>
      </c>
      <c r="F4" s="89" t="s">
        <v>122</v>
      </c>
      <c r="G4" s="89" t="s">
        <v>123</v>
      </c>
      <c r="H4" s="89" t="s">
        <v>124</v>
      </c>
    </row>
    <row r="5" spans="1:8" ht="15" customHeight="1" x14ac:dyDescent="0.3">
      <c r="A5" s="151" t="s">
        <v>18</v>
      </c>
      <c r="B5" s="12" t="s">
        <v>72</v>
      </c>
      <c r="C5" s="13">
        <v>1053.9474323009499</v>
      </c>
      <c r="D5" s="13">
        <v>726.53240922820601</v>
      </c>
      <c r="E5" s="14">
        <v>5875.0301015001696</v>
      </c>
      <c r="F5" s="15">
        <v>689.3440668497667</v>
      </c>
      <c r="G5" s="13">
        <v>123.66445731787627</v>
      </c>
      <c r="H5" s="14">
        <v>5.5743103701803802</v>
      </c>
    </row>
    <row r="6" spans="1:8" ht="15" customHeight="1" x14ac:dyDescent="0.3">
      <c r="A6" s="152"/>
      <c r="B6" s="16" t="s">
        <v>73</v>
      </c>
      <c r="C6" s="17">
        <v>982.57959324848696</v>
      </c>
      <c r="D6" s="17">
        <v>805.61299026692097</v>
      </c>
      <c r="E6" s="18">
        <v>5504.2746934758497</v>
      </c>
      <c r="F6" s="19">
        <v>819.89591052211836</v>
      </c>
      <c r="G6" s="17">
        <v>146.36133462267142</v>
      </c>
      <c r="H6" s="18">
        <v>5.6018613975874212</v>
      </c>
    </row>
    <row r="7" spans="1:8" ht="15" customHeight="1" x14ac:dyDescent="0.3">
      <c r="A7" s="152"/>
      <c r="B7" s="20" t="s">
        <v>75</v>
      </c>
      <c r="C7" s="21">
        <v>712.61313168544098</v>
      </c>
      <c r="D7" s="21">
        <v>424.54293872080501</v>
      </c>
      <c r="E7" s="22">
        <v>3515.6466749766</v>
      </c>
      <c r="F7" s="23">
        <v>595.75514377162108</v>
      </c>
      <c r="G7" s="21">
        <v>120.75813583389484</v>
      </c>
      <c r="H7" s="22">
        <v>4.9334576064596911</v>
      </c>
    </row>
    <row r="8" spans="1:8" ht="15" customHeight="1" x14ac:dyDescent="0.3">
      <c r="A8" s="152"/>
      <c r="B8" s="16" t="s">
        <v>74</v>
      </c>
      <c r="C8" s="17">
        <v>316.26949730953697</v>
      </c>
      <c r="D8" s="17">
        <v>192.547221566383</v>
      </c>
      <c r="E8" s="18">
        <v>1914.1208773117701</v>
      </c>
      <c r="F8" s="19">
        <v>608.80743544463462</v>
      </c>
      <c r="G8" s="17">
        <v>100.59303142693904</v>
      </c>
      <c r="H8" s="18">
        <v>6.0521830071977991</v>
      </c>
    </row>
    <row r="9" spans="1:8" ht="15" customHeight="1" x14ac:dyDescent="0.3">
      <c r="A9" s="152"/>
      <c r="B9" s="20" t="s">
        <v>77</v>
      </c>
      <c r="C9" s="21">
        <v>684.088148907971</v>
      </c>
      <c r="D9" s="21">
        <v>369.603894099142</v>
      </c>
      <c r="E9" s="22">
        <v>3636.9664268998799</v>
      </c>
      <c r="F9" s="23">
        <v>540.28694209825301</v>
      </c>
      <c r="G9" s="21">
        <v>101.62422489398378</v>
      </c>
      <c r="H9" s="22">
        <v>5.316517224725601</v>
      </c>
    </row>
    <row r="10" spans="1:8" ht="15" customHeight="1" x14ac:dyDescent="0.3">
      <c r="A10" s="152"/>
      <c r="B10" s="16" t="s">
        <v>76</v>
      </c>
      <c r="C10" s="17">
        <v>548.88140918270801</v>
      </c>
      <c r="D10" s="17">
        <v>268.69029923237701</v>
      </c>
      <c r="E10" s="18">
        <v>2640.97874566776</v>
      </c>
      <c r="F10" s="19">
        <v>489.52341022528083</v>
      </c>
      <c r="G10" s="17">
        <v>101.73891011926332</v>
      </c>
      <c r="H10" s="18">
        <v>4.8115653062475072</v>
      </c>
    </row>
    <row r="11" spans="1:8" ht="15" customHeight="1" x14ac:dyDescent="0.3">
      <c r="A11" s="152"/>
      <c r="B11" s="20" t="s">
        <v>149</v>
      </c>
      <c r="C11" s="21">
        <v>234.11253853839801</v>
      </c>
      <c r="D11" s="21">
        <v>165.31682232724799</v>
      </c>
      <c r="E11" s="22">
        <v>1212.0741122079601</v>
      </c>
      <c r="F11" s="23">
        <v>706.14253879500575</v>
      </c>
      <c r="G11" s="21">
        <v>136.39167824985603</v>
      </c>
      <c r="H11" s="22">
        <v>5.1773139524056786</v>
      </c>
    </row>
    <row r="12" spans="1:8" ht="15" customHeight="1" x14ac:dyDescent="0.3">
      <c r="A12" s="152"/>
      <c r="B12" s="16" t="s">
        <v>78</v>
      </c>
      <c r="C12" s="17">
        <v>111.488044273276</v>
      </c>
      <c r="D12" s="17">
        <v>58.630608472563402</v>
      </c>
      <c r="E12" s="18">
        <v>528.11850522866098</v>
      </c>
      <c r="F12" s="19">
        <v>525.89144293221159</v>
      </c>
      <c r="G12" s="17">
        <v>111.01790202783738</v>
      </c>
      <c r="H12" s="18">
        <v>4.7369967665246095</v>
      </c>
    </row>
    <row r="13" spans="1:8" ht="15" customHeight="1" x14ac:dyDescent="0.3">
      <c r="A13" s="153"/>
      <c r="B13" s="20" t="s">
        <v>79</v>
      </c>
      <c r="C13" s="41">
        <v>5061.1907555893222</v>
      </c>
      <c r="D13" s="41">
        <v>2826.7558007063844</v>
      </c>
      <c r="E13" s="42">
        <v>24156.884805504655</v>
      </c>
      <c r="F13" s="43">
        <v>558.51595745223767</v>
      </c>
      <c r="G13" s="41">
        <v>117.01656995368246</v>
      </c>
      <c r="H13" s="42">
        <v>4.7729646978484297</v>
      </c>
    </row>
    <row r="14" spans="1:8" ht="15" customHeight="1" x14ac:dyDescent="0.3">
      <c r="A14" s="28"/>
      <c r="B14" s="29" t="s">
        <v>1</v>
      </c>
      <c r="C14" s="30">
        <v>9705.1705510360898</v>
      </c>
      <c r="D14" s="30">
        <v>5838.23298462003</v>
      </c>
      <c r="E14" s="31">
        <v>48984.094942773299</v>
      </c>
      <c r="F14" s="32">
        <v>601.55903020135599</v>
      </c>
      <c r="G14" s="30">
        <v>119.18629896991398</v>
      </c>
      <c r="H14" s="31">
        <v>5.0472162941581624</v>
      </c>
    </row>
    <row r="15" spans="1:8" ht="15" customHeight="1" x14ac:dyDescent="0.3">
      <c r="A15" s="33"/>
      <c r="B15" s="34" t="s">
        <v>80</v>
      </c>
      <c r="C15" s="35">
        <v>0.23246292979341118</v>
      </c>
      <c r="D15" s="35">
        <v>0.25824759691759314</v>
      </c>
      <c r="E15" s="36">
        <v>0.21010103265155594</v>
      </c>
      <c r="F15" s="37"/>
      <c r="G15" s="38"/>
      <c r="H15" s="39"/>
    </row>
    <row r="16" spans="1:8" ht="15" customHeight="1" x14ac:dyDescent="0.3">
      <c r="A16" s="154" t="s">
        <v>132</v>
      </c>
      <c r="B16" s="154"/>
      <c r="C16" s="154"/>
      <c r="D16" s="154"/>
      <c r="E16" s="154"/>
      <c r="F16" s="1"/>
    </row>
    <row r="17" spans="1:8" ht="15" customHeight="1" x14ac:dyDescent="0.3">
      <c r="A17" s="154"/>
      <c r="B17" s="154"/>
      <c r="C17" s="154"/>
      <c r="D17" s="154"/>
      <c r="E17" s="154"/>
    </row>
    <row r="20" spans="1:8" ht="15" customHeight="1" x14ac:dyDescent="0.3">
      <c r="A20" s="155" t="s">
        <v>176</v>
      </c>
      <c r="B20" s="155"/>
      <c r="C20" s="155"/>
      <c r="D20" s="155"/>
      <c r="E20" s="155"/>
      <c r="F20" s="155"/>
      <c r="G20" s="155"/>
      <c r="H20" s="155"/>
    </row>
    <row r="21" spans="1:8" ht="40.799999999999997" x14ac:dyDescent="0.3">
      <c r="A21" s="88" t="s">
        <v>113</v>
      </c>
      <c r="B21" s="89" t="s">
        <v>70</v>
      </c>
      <c r="C21" s="89" t="s">
        <v>71</v>
      </c>
      <c r="D21" s="89" t="s">
        <v>91</v>
      </c>
      <c r="E21" s="90" t="s">
        <v>90</v>
      </c>
      <c r="F21" s="89" t="s">
        <v>122</v>
      </c>
      <c r="G21" s="89" t="s">
        <v>123</v>
      </c>
      <c r="H21" s="89" t="s">
        <v>124</v>
      </c>
    </row>
    <row r="22" spans="1:8" ht="15" customHeight="1" x14ac:dyDescent="0.3">
      <c r="A22" s="151" t="s">
        <v>18</v>
      </c>
      <c r="B22" s="12" t="s">
        <v>72</v>
      </c>
      <c r="C22" s="13">
        <v>988.9</v>
      </c>
      <c r="D22" s="13">
        <v>641.4</v>
      </c>
      <c r="E22" s="14">
        <v>6367.1</v>
      </c>
      <c r="F22" s="15">
        <v>648.59945393871976</v>
      </c>
      <c r="G22" s="13">
        <v>100.73659907964378</v>
      </c>
      <c r="H22" s="14">
        <v>6.438568105976338</v>
      </c>
    </row>
    <row r="23" spans="1:8" ht="15" customHeight="1" x14ac:dyDescent="0.3">
      <c r="A23" s="152"/>
      <c r="B23" s="16" t="s">
        <v>73</v>
      </c>
      <c r="C23" s="17">
        <v>950.8</v>
      </c>
      <c r="D23" s="17">
        <v>568.29999999999995</v>
      </c>
      <c r="E23" s="18">
        <v>5370.9</v>
      </c>
      <c r="F23" s="19">
        <v>597.70719394194361</v>
      </c>
      <c r="G23" s="17">
        <v>105.81094416205849</v>
      </c>
      <c r="H23" s="18">
        <v>5.6488220445940263</v>
      </c>
    </row>
    <row r="24" spans="1:8" ht="15" customHeight="1" x14ac:dyDescent="0.3">
      <c r="A24" s="152"/>
      <c r="B24" s="20" t="s">
        <v>75</v>
      </c>
      <c r="C24" s="21">
        <v>586.20000000000005</v>
      </c>
      <c r="D24" s="21">
        <v>341.6</v>
      </c>
      <c r="E24" s="22">
        <v>3561.6</v>
      </c>
      <c r="F24" s="23">
        <v>582.79999999999995</v>
      </c>
      <c r="G24" s="21">
        <v>95.911949685534594</v>
      </c>
      <c r="H24" s="22">
        <v>6.0764065573770489</v>
      </c>
    </row>
    <row r="25" spans="1:8" ht="15" customHeight="1" x14ac:dyDescent="0.3">
      <c r="A25" s="152"/>
      <c r="B25" s="16" t="s">
        <v>74</v>
      </c>
      <c r="C25" s="17">
        <v>317.8</v>
      </c>
      <c r="D25" s="17">
        <v>175.6</v>
      </c>
      <c r="E25" s="18">
        <v>1904</v>
      </c>
      <c r="F25" s="19">
        <v>552.4</v>
      </c>
      <c r="G25" s="17">
        <v>92.22689075630251</v>
      </c>
      <c r="H25" s="18">
        <v>5.9895763097949892</v>
      </c>
    </row>
    <row r="26" spans="1:8" ht="15" customHeight="1" x14ac:dyDescent="0.3">
      <c r="A26" s="152"/>
      <c r="B26" s="20" t="s">
        <v>77</v>
      </c>
      <c r="C26" s="21">
        <v>601.4</v>
      </c>
      <c r="D26" s="21">
        <v>235.5</v>
      </c>
      <c r="E26" s="22">
        <v>2884.7</v>
      </c>
      <c r="F26" s="23">
        <v>391.5</v>
      </c>
      <c r="G26" s="21">
        <v>81.637605296911289</v>
      </c>
      <c r="H26" s="22">
        <v>4.795584076433121</v>
      </c>
    </row>
    <row r="27" spans="1:8" ht="15" customHeight="1" x14ac:dyDescent="0.3">
      <c r="A27" s="152"/>
      <c r="B27" s="16" t="s">
        <v>76</v>
      </c>
      <c r="C27" s="17">
        <v>484.3</v>
      </c>
      <c r="D27" s="17">
        <v>237.5</v>
      </c>
      <c r="E27" s="18">
        <v>2374.4</v>
      </c>
      <c r="F27" s="19">
        <v>490.39851331819119</v>
      </c>
      <c r="G27" s="17">
        <v>100.02526954177897</v>
      </c>
      <c r="H27" s="18">
        <v>4.9027462316745822</v>
      </c>
    </row>
    <row r="28" spans="1:8" ht="15" customHeight="1" x14ac:dyDescent="0.3">
      <c r="A28" s="152"/>
      <c r="B28" s="20" t="s">
        <v>149</v>
      </c>
      <c r="C28" s="21">
        <v>252.6</v>
      </c>
      <c r="D28" s="21">
        <v>145.4</v>
      </c>
      <c r="E28" s="22">
        <v>1322.8</v>
      </c>
      <c r="F28" s="23">
        <v>575.5</v>
      </c>
      <c r="G28" s="21">
        <v>109.91835500453584</v>
      </c>
      <c r="H28" s="22">
        <v>5.235704264099037</v>
      </c>
    </row>
    <row r="29" spans="1:8" ht="15" customHeight="1" x14ac:dyDescent="0.3">
      <c r="A29" s="152"/>
      <c r="B29" s="16" t="s">
        <v>78</v>
      </c>
      <c r="C29" s="17">
        <v>114.7</v>
      </c>
      <c r="D29" s="17">
        <v>49.3</v>
      </c>
      <c r="E29" s="18">
        <v>771.7</v>
      </c>
      <c r="F29" s="19">
        <v>429.81691368788137</v>
      </c>
      <c r="G29" s="17">
        <v>63.884929376700789</v>
      </c>
      <c r="H29" s="18">
        <v>6.7279860505666953</v>
      </c>
    </row>
    <row r="30" spans="1:8" ht="15" customHeight="1" x14ac:dyDescent="0.3">
      <c r="A30" s="153"/>
      <c r="B30" s="20" t="s">
        <v>79</v>
      </c>
      <c r="C30" s="41">
        <v>4488.0999999999995</v>
      </c>
      <c r="D30" s="41">
        <v>2356.2999999999997</v>
      </c>
      <c r="E30" s="42">
        <v>23260.3</v>
      </c>
      <c r="F30" s="43">
        <v>525.01058354314739</v>
      </c>
      <c r="G30" s="41">
        <v>101.30135896785509</v>
      </c>
      <c r="H30" s="42">
        <v>5.1826608141529826</v>
      </c>
    </row>
    <row r="31" spans="1:8" ht="15" customHeight="1" x14ac:dyDescent="0.3">
      <c r="A31" s="28"/>
      <c r="B31" s="29" t="s">
        <v>1</v>
      </c>
      <c r="C31" s="30">
        <v>8784.7999999999993</v>
      </c>
      <c r="D31" s="30">
        <v>4750.8999999999996</v>
      </c>
      <c r="E31" s="31">
        <v>47817.5</v>
      </c>
      <c r="F31" s="32">
        <v>540.80912485201713</v>
      </c>
      <c r="G31" s="30">
        <v>99.354838709677409</v>
      </c>
      <c r="H31" s="31">
        <v>5.4432087241599136</v>
      </c>
    </row>
    <row r="32" spans="1:8" ht="15" customHeight="1" x14ac:dyDescent="0.3">
      <c r="A32" s="33"/>
      <c r="B32" s="34" t="s">
        <v>80</v>
      </c>
      <c r="C32" s="35">
        <v>0.22321998023117831</v>
      </c>
      <c r="D32" s="35">
        <v>0.23071917325912866</v>
      </c>
      <c r="E32" s="36">
        <v>0.20696847612682956</v>
      </c>
      <c r="F32" s="37"/>
      <c r="G32" s="38"/>
      <c r="H32" s="39"/>
    </row>
    <row r="33" spans="1:8" ht="15" customHeight="1" x14ac:dyDescent="0.3">
      <c r="A33" s="154" t="s">
        <v>132</v>
      </c>
      <c r="B33" s="154"/>
      <c r="C33" s="154"/>
      <c r="D33" s="154"/>
      <c r="E33" s="154"/>
      <c r="F33" s="1"/>
    </row>
    <row r="34" spans="1:8" ht="15" customHeight="1" x14ac:dyDescent="0.3">
      <c r="A34" s="154"/>
      <c r="B34" s="154"/>
      <c r="C34" s="154"/>
      <c r="D34" s="154"/>
      <c r="E34" s="154"/>
    </row>
    <row r="36" spans="1:8" ht="15" customHeight="1" x14ac:dyDescent="0.3">
      <c r="A36" s="155" t="s">
        <v>150</v>
      </c>
      <c r="B36" s="155"/>
      <c r="C36" s="155"/>
      <c r="D36" s="155"/>
      <c r="E36" s="155"/>
      <c r="F36" s="155"/>
      <c r="G36" s="155"/>
      <c r="H36" s="155"/>
    </row>
    <row r="37" spans="1:8" ht="40.799999999999997" x14ac:dyDescent="0.3">
      <c r="A37" s="88" t="s">
        <v>113</v>
      </c>
      <c r="B37" s="89" t="s">
        <v>70</v>
      </c>
      <c r="C37" s="89" t="s">
        <v>71</v>
      </c>
      <c r="D37" s="89" t="s">
        <v>91</v>
      </c>
      <c r="E37" s="90" t="s">
        <v>90</v>
      </c>
      <c r="F37" s="89" t="s">
        <v>122</v>
      </c>
      <c r="G37" s="89" t="s">
        <v>123</v>
      </c>
      <c r="H37" s="89" t="s">
        <v>124</v>
      </c>
    </row>
    <row r="38" spans="1:8" ht="15" customHeight="1" x14ac:dyDescent="0.3">
      <c r="A38" s="151" t="s">
        <v>18</v>
      </c>
      <c r="B38" s="12" t="s">
        <v>72</v>
      </c>
      <c r="C38" s="13">
        <v>876.28210116860396</v>
      </c>
      <c r="D38" s="13">
        <v>505.795276586569</v>
      </c>
      <c r="E38" s="14">
        <v>5660.2644004326003</v>
      </c>
      <c r="F38" s="15">
        <f>D38/C38*1000</f>
        <v>577.2059887016336</v>
      </c>
      <c r="G38" s="13">
        <f>D38/E38*1000</f>
        <v>89.35894877064618</v>
      </c>
      <c r="H38" s="14">
        <f>F38/G38</f>
        <v>6.4594088968428185</v>
      </c>
    </row>
    <row r="39" spans="1:8" ht="15" customHeight="1" x14ac:dyDescent="0.3">
      <c r="A39" s="152"/>
      <c r="B39" s="16" t="s">
        <v>73</v>
      </c>
      <c r="C39" s="17">
        <v>975.63071092113398</v>
      </c>
      <c r="D39" s="17">
        <v>378.91327470291799</v>
      </c>
      <c r="E39" s="18">
        <v>5030.1978001368598</v>
      </c>
      <c r="F39" s="19">
        <f t="shared" ref="F39:F47" si="0">D39/C39*1000</f>
        <v>388.377764723263</v>
      </c>
      <c r="G39" s="17">
        <f t="shared" ref="G39:G47" si="1">D39/E39*1000</f>
        <v>75.327708722032497</v>
      </c>
      <c r="H39" s="18">
        <f t="shared" ref="H39:H47" si="2">F39/G39</f>
        <v>5.1558420043867192</v>
      </c>
    </row>
    <row r="40" spans="1:8" ht="15" customHeight="1" x14ac:dyDescent="0.3">
      <c r="A40" s="152"/>
      <c r="B40" s="20" t="s">
        <v>75</v>
      </c>
      <c r="C40" s="21">
        <v>631.36558771596196</v>
      </c>
      <c r="D40" s="21">
        <v>322.17457530031697</v>
      </c>
      <c r="E40" s="22">
        <v>4300.49815149185</v>
      </c>
      <c r="F40" s="23">
        <f t="shared" si="0"/>
        <v>510.28212745300351</v>
      </c>
      <c r="G40" s="21">
        <f t="shared" si="1"/>
        <v>74.915640921402115</v>
      </c>
      <c r="H40" s="22">
        <f t="shared" si="2"/>
        <v>6.8114231044004141</v>
      </c>
    </row>
    <row r="41" spans="1:8" ht="15" customHeight="1" x14ac:dyDescent="0.3">
      <c r="A41" s="152"/>
      <c r="B41" s="16" t="s">
        <v>74</v>
      </c>
      <c r="C41" s="17">
        <v>267.65678159149098</v>
      </c>
      <c r="D41" s="17">
        <v>116.634393099829</v>
      </c>
      <c r="E41" s="18">
        <v>1693.1098588714201</v>
      </c>
      <c r="F41" s="19">
        <f t="shared" si="0"/>
        <v>435.76102352542404</v>
      </c>
      <c r="G41" s="17">
        <f t="shared" si="1"/>
        <v>68.887669922124388</v>
      </c>
      <c r="H41" s="18">
        <f t="shared" si="2"/>
        <v>6.3256751755145713</v>
      </c>
    </row>
    <row r="42" spans="1:8" ht="15" customHeight="1" x14ac:dyDescent="0.3">
      <c r="A42" s="152"/>
      <c r="B42" s="20" t="s">
        <v>77</v>
      </c>
      <c r="C42" s="21">
        <v>467.31363898069202</v>
      </c>
      <c r="D42" s="21">
        <v>227.37329270030199</v>
      </c>
      <c r="E42" s="22">
        <v>2547.09999506347</v>
      </c>
      <c r="F42" s="23">
        <f t="shared" si="0"/>
        <v>486.5539409383606</v>
      </c>
      <c r="G42" s="21">
        <f t="shared" si="1"/>
        <v>89.267517231743469</v>
      </c>
      <c r="H42" s="22">
        <f t="shared" si="2"/>
        <v>5.4505149916429216</v>
      </c>
    </row>
    <row r="43" spans="1:8" ht="15" customHeight="1" x14ac:dyDescent="0.3">
      <c r="A43" s="152"/>
      <c r="B43" s="16" t="s">
        <v>76</v>
      </c>
      <c r="C43" s="17">
        <v>393.41345847931501</v>
      </c>
      <c r="D43" s="17">
        <v>190.906942312485</v>
      </c>
      <c r="E43" s="18">
        <v>2683.3835389659398</v>
      </c>
      <c r="F43" s="19">
        <f t="shared" si="0"/>
        <v>485.25778210641096</v>
      </c>
      <c r="G43" s="17">
        <f t="shared" si="1"/>
        <v>71.14411322134454</v>
      </c>
      <c r="H43" s="18">
        <f t="shared" si="2"/>
        <v>6.8207720939140852</v>
      </c>
    </row>
    <row r="44" spans="1:8" ht="15" customHeight="1" x14ac:dyDescent="0.3">
      <c r="A44" s="152"/>
      <c r="B44" s="20" t="s">
        <v>149</v>
      </c>
      <c r="C44" s="21">
        <v>188.20480792259099</v>
      </c>
      <c r="D44" s="21">
        <v>93.434608593449894</v>
      </c>
      <c r="E44" s="22">
        <v>887.64275101690305</v>
      </c>
      <c r="F44" s="23">
        <f t="shared" si="0"/>
        <v>496.45176244317696</v>
      </c>
      <c r="G44" s="21">
        <f t="shared" si="1"/>
        <v>105.26150130377245</v>
      </c>
      <c r="H44" s="22">
        <f t="shared" si="2"/>
        <v>4.7163659675580245</v>
      </c>
    </row>
    <row r="45" spans="1:8" ht="15" customHeight="1" x14ac:dyDescent="0.3">
      <c r="A45" s="152"/>
      <c r="B45" s="16" t="s">
        <v>78</v>
      </c>
      <c r="C45" s="17">
        <v>181.41217430669701</v>
      </c>
      <c r="D45" s="17">
        <v>100.95469691244401</v>
      </c>
      <c r="E45" s="18">
        <v>913.400570778364</v>
      </c>
      <c r="F45" s="19">
        <f t="shared" si="0"/>
        <v>556.49350600786636</v>
      </c>
      <c r="G45" s="17">
        <f t="shared" si="1"/>
        <v>110.52620300687396</v>
      </c>
      <c r="H45" s="18">
        <f t="shared" si="2"/>
        <v>5.0349463825628424</v>
      </c>
    </row>
    <row r="46" spans="1:8" ht="15" customHeight="1" x14ac:dyDescent="0.3">
      <c r="A46" s="153"/>
      <c r="B46" s="20" t="s">
        <v>79</v>
      </c>
      <c r="C46" s="41">
        <v>3907.4334052891741</v>
      </c>
      <c r="D46" s="41">
        <v>1850.7003682496363</v>
      </c>
      <c r="E46" s="42">
        <v>20632.113933749093</v>
      </c>
      <c r="F46" s="43">
        <f t="shared" si="0"/>
        <v>473.63580547386783</v>
      </c>
      <c r="G46" s="41">
        <f t="shared" si="1"/>
        <v>89.699987805047115</v>
      </c>
      <c r="H46" s="42">
        <f t="shared" si="2"/>
        <v>5.2802215146702389</v>
      </c>
    </row>
    <row r="47" spans="1:8" ht="15" customHeight="1" x14ac:dyDescent="0.3">
      <c r="A47" s="28"/>
      <c r="B47" s="29" t="s">
        <v>1</v>
      </c>
      <c r="C47" s="30">
        <v>7888.7126663756599</v>
      </c>
      <c r="D47" s="30">
        <v>3786.8874284579501</v>
      </c>
      <c r="E47" s="31">
        <v>44347.711000506497</v>
      </c>
      <c r="F47" s="32">
        <f t="shared" si="0"/>
        <v>480.03870702490343</v>
      </c>
      <c r="G47" s="30">
        <f t="shared" si="1"/>
        <v>85.390820473568525</v>
      </c>
      <c r="H47" s="31">
        <f t="shared" si="2"/>
        <v>5.6216664082000758</v>
      </c>
    </row>
    <row r="48" spans="1:8" ht="15" customHeight="1" x14ac:dyDescent="0.3">
      <c r="A48" s="33"/>
      <c r="B48" s="34" t="s">
        <v>80</v>
      </c>
      <c r="C48" s="35">
        <v>0.21830875512791534</v>
      </c>
      <c r="D48" s="35">
        <v>0.1945606270857107</v>
      </c>
      <c r="E48" s="36">
        <v>0.19177749814248821</v>
      </c>
      <c r="F48" s="37"/>
      <c r="G48" s="38"/>
      <c r="H48" s="39"/>
    </row>
    <row r="49" spans="1:8" ht="15" customHeight="1" x14ac:dyDescent="0.3">
      <c r="A49" s="154" t="s">
        <v>132</v>
      </c>
      <c r="B49" s="154"/>
      <c r="C49" s="154"/>
      <c r="D49" s="154"/>
      <c r="E49" s="154"/>
      <c r="F49" s="1"/>
    </row>
    <row r="52" spans="1:8" ht="15" customHeight="1" x14ac:dyDescent="0.3">
      <c r="A52" s="155" t="s">
        <v>148</v>
      </c>
      <c r="B52" s="155"/>
      <c r="C52" s="155"/>
      <c r="D52" s="155"/>
      <c r="E52" s="155"/>
      <c r="F52" s="155"/>
      <c r="G52" s="155"/>
      <c r="H52" s="155"/>
    </row>
    <row r="53" spans="1:8" ht="43.8" customHeight="1" x14ac:dyDescent="0.3">
      <c r="A53" s="88" t="s">
        <v>113</v>
      </c>
      <c r="B53" s="89" t="s">
        <v>70</v>
      </c>
      <c r="C53" s="89" t="s">
        <v>71</v>
      </c>
      <c r="D53" s="89" t="s">
        <v>91</v>
      </c>
      <c r="E53" s="90" t="s">
        <v>90</v>
      </c>
      <c r="F53" s="89" t="s">
        <v>122</v>
      </c>
      <c r="G53" s="89" t="s">
        <v>123</v>
      </c>
      <c r="H53" s="89" t="s">
        <v>124</v>
      </c>
    </row>
    <row r="54" spans="1:8" ht="15" customHeight="1" x14ac:dyDescent="0.3">
      <c r="A54" s="151" t="s">
        <v>18</v>
      </c>
      <c r="B54" s="12" t="s">
        <v>72</v>
      </c>
      <c r="C54" s="13">
        <v>731.55284596686295</v>
      </c>
      <c r="D54" s="13">
        <v>390.979543373421</v>
      </c>
      <c r="E54" s="14">
        <v>4110.88127641137</v>
      </c>
      <c r="F54" s="15">
        <f>D54/C54*1000</f>
        <v>534.45153761472909</v>
      </c>
      <c r="G54" s="13">
        <f>D54/E54*1000</f>
        <v>95.108449279938839</v>
      </c>
      <c r="H54" s="14">
        <f>F54/G54</f>
        <v>5.6193907235480562</v>
      </c>
    </row>
    <row r="55" spans="1:8" ht="15" customHeight="1" x14ac:dyDescent="0.3">
      <c r="A55" s="152"/>
      <c r="B55" s="16" t="s">
        <v>73</v>
      </c>
      <c r="C55" s="17">
        <v>678.236225236839</v>
      </c>
      <c r="D55" s="17">
        <v>335.003003988074</v>
      </c>
      <c r="E55" s="18">
        <v>3938.3350814830201</v>
      </c>
      <c r="F55" s="19">
        <f t="shared" ref="F55:F63" si="3">D55/C55*1000</f>
        <v>493.93263220508675</v>
      </c>
      <c r="G55" s="17">
        <f t="shared" ref="G55:G63" si="4">D55/E55*1000</f>
        <v>85.062087673333579</v>
      </c>
      <c r="H55" s="18">
        <f t="shared" ref="H55:H63" si="5">F55/G55</f>
        <v>5.8067306565758257</v>
      </c>
    </row>
    <row r="56" spans="1:8" ht="15" customHeight="1" x14ac:dyDescent="0.3">
      <c r="A56" s="152"/>
      <c r="B56" s="20" t="s">
        <v>75</v>
      </c>
      <c r="C56" s="21">
        <v>468.10615194354</v>
      </c>
      <c r="D56" s="21">
        <v>244.34144655028601</v>
      </c>
      <c r="E56" s="22">
        <v>3620.21315367938</v>
      </c>
      <c r="F56" s="23">
        <f t="shared" si="3"/>
        <v>521.97871259713099</v>
      </c>
      <c r="G56" s="21">
        <f t="shared" si="4"/>
        <v>67.493662991073109</v>
      </c>
      <c r="H56" s="22">
        <f t="shared" si="5"/>
        <v>7.733744020770799</v>
      </c>
    </row>
    <row r="57" spans="1:8" ht="15" customHeight="1" x14ac:dyDescent="0.3">
      <c r="A57" s="152"/>
      <c r="B57" s="16" t="s">
        <v>74</v>
      </c>
      <c r="C57" s="17">
        <v>401.90621858747801</v>
      </c>
      <c r="D57" s="17">
        <v>199.63789985250099</v>
      </c>
      <c r="E57" s="18">
        <v>3172.0779218444</v>
      </c>
      <c r="F57" s="19">
        <f t="shared" si="3"/>
        <v>496.72757130790262</v>
      </c>
      <c r="G57" s="17">
        <f t="shared" si="4"/>
        <v>62.936001186383791</v>
      </c>
      <c r="H57" s="18">
        <f t="shared" si="5"/>
        <v>7.8925823367273242</v>
      </c>
    </row>
    <row r="58" spans="1:8" ht="15" customHeight="1" x14ac:dyDescent="0.3">
      <c r="A58" s="152"/>
      <c r="B58" s="20" t="s">
        <v>77</v>
      </c>
      <c r="C58" s="21">
        <v>430.64934011295099</v>
      </c>
      <c r="D58" s="21">
        <v>182.53258590134499</v>
      </c>
      <c r="E58" s="22">
        <v>2567.5955432557198</v>
      </c>
      <c r="F58" s="23">
        <f t="shared" si="3"/>
        <v>423.85432624480563</v>
      </c>
      <c r="G58" s="21">
        <f t="shared" si="4"/>
        <v>71.090864128036714</v>
      </c>
      <c r="H58" s="22">
        <f t="shared" si="5"/>
        <v>5.9621490249637654</v>
      </c>
    </row>
    <row r="59" spans="1:8" ht="15" customHeight="1" x14ac:dyDescent="0.3">
      <c r="A59" s="152"/>
      <c r="B59" s="16" t="s">
        <v>76</v>
      </c>
      <c r="C59" s="17">
        <v>255.82513273407599</v>
      </c>
      <c r="D59" s="17">
        <v>156.45214682422099</v>
      </c>
      <c r="E59" s="18">
        <v>1394.3437158540301</v>
      </c>
      <c r="F59" s="19">
        <f t="shared" si="3"/>
        <v>611.55893931206981</v>
      </c>
      <c r="G59" s="17">
        <f t="shared" si="4"/>
        <v>112.20486386916059</v>
      </c>
      <c r="H59" s="18">
        <f t="shared" si="5"/>
        <v>5.4503781585189932</v>
      </c>
    </row>
    <row r="60" spans="1:8" ht="15" customHeight="1" x14ac:dyDescent="0.3">
      <c r="A60" s="152"/>
      <c r="B60" s="20" t="s">
        <v>149</v>
      </c>
      <c r="C60" s="21">
        <v>121.439209155763</v>
      </c>
      <c r="D60" s="21">
        <v>74.506326416707907</v>
      </c>
      <c r="E60" s="22">
        <v>706.66370446664598</v>
      </c>
      <c r="F60" s="23">
        <f t="shared" si="3"/>
        <v>613.52776368251034</v>
      </c>
      <c r="G60" s="21">
        <f t="shared" si="4"/>
        <v>105.43392273548493</v>
      </c>
      <c r="H60" s="22">
        <f t="shared" si="5"/>
        <v>5.8190736696930365</v>
      </c>
    </row>
    <row r="61" spans="1:8" ht="15" customHeight="1" x14ac:dyDescent="0.3">
      <c r="A61" s="152"/>
      <c r="B61" s="16" t="s">
        <v>78</v>
      </c>
      <c r="C61" s="17">
        <v>69.552519186603107</v>
      </c>
      <c r="D61" s="17">
        <v>54.591390223817797</v>
      </c>
      <c r="E61" s="18">
        <v>461.85865818572302</v>
      </c>
      <c r="F61" s="19">
        <f t="shared" ref="F61:F62" si="6">D61/C61*1000</f>
        <v>784.89450651462448</v>
      </c>
      <c r="G61" s="17">
        <f t="shared" ref="G61:G62" si="7">D61/E61*1000</f>
        <v>118.19934357897316</v>
      </c>
      <c r="H61" s="18">
        <f t="shared" ref="H61:H62" si="8">F61/G61</f>
        <v>6.6404303336101753</v>
      </c>
    </row>
    <row r="62" spans="1:8" ht="15" customHeight="1" x14ac:dyDescent="0.3">
      <c r="A62" s="153"/>
      <c r="B62" s="20" t="s">
        <v>79</v>
      </c>
      <c r="C62" s="41">
        <f>C63-SUM(C54:C61)</f>
        <v>2466.6205972846774</v>
      </c>
      <c r="D62" s="41">
        <f>D63-SUM(D54:D61)</f>
        <v>1211.1832945558465</v>
      </c>
      <c r="E62" s="42">
        <f>E63-SUM(E54:E61)</f>
        <v>15163.381055073714</v>
      </c>
      <c r="F62" s="43">
        <f t="shared" si="6"/>
        <v>491.02942539649183</v>
      </c>
      <c r="G62" s="41">
        <f t="shared" si="7"/>
        <v>79.875542938399008</v>
      </c>
      <c r="H62" s="42">
        <f t="shared" si="8"/>
        <v>6.147431458152087</v>
      </c>
    </row>
    <row r="63" spans="1:8" ht="15" customHeight="1" x14ac:dyDescent="0.3">
      <c r="A63" s="28"/>
      <c r="B63" s="29" t="s">
        <v>1</v>
      </c>
      <c r="C63" s="30">
        <v>5623.8882402087902</v>
      </c>
      <c r="D63" s="30">
        <v>2849.2276376862201</v>
      </c>
      <c r="E63" s="31">
        <v>35135.350110254003</v>
      </c>
      <c r="F63" s="32">
        <f t="shared" si="3"/>
        <v>506.6294911970798</v>
      </c>
      <c r="G63" s="30">
        <f t="shared" si="4"/>
        <v>81.092905826906588</v>
      </c>
      <c r="H63" s="31">
        <f t="shared" si="5"/>
        <v>6.2475192623937321</v>
      </c>
    </row>
    <row r="64" spans="1:8" ht="10.199999999999999" x14ac:dyDescent="0.3">
      <c r="A64" s="33"/>
      <c r="B64" s="34" t="s">
        <v>80</v>
      </c>
      <c r="C64" s="35">
        <v>0.17929480896746525</v>
      </c>
      <c r="D64" s="35">
        <v>0.16510135926332004</v>
      </c>
      <c r="E64" s="36">
        <v>0.16195218894137456</v>
      </c>
      <c r="F64" s="37"/>
      <c r="G64" s="38"/>
      <c r="H64" s="39"/>
    </row>
    <row r="65" spans="1:8" ht="15" customHeight="1" x14ac:dyDescent="0.3">
      <c r="A65" s="154" t="s">
        <v>132</v>
      </c>
      <c r="B65" s="154"/>
      <c r="C65" s="154"/>
      <c r="D65" s="154"/>
      <c r="E65" s="154"/>
      <c r="F65" s="1"/>
    </row>
    <row r="68" spans="1:8" ht="15" customHeight="1" x14ac:dyDescent="0.3">
      <c r="A68" s="155" t="s">
        <v>140</v>
      </c>
      <c r="B68" s="155"/>
      <c r="C68" s="155"/>
      <c r="D68" s="155"/>
      <c r="E68" s="155"/>
      <c r="F68" s="155"/>
      <c r="G68" s="155"/>
      <c r="H68" s="155"/>
    </row>
    <row r="69" spans="1:8" ht="40.799999999999997" x14ac:dyDescent="0.3">
      <c r="A69" s="88" t="s">
        <v>113</v>
      </c>
      <c r="B69" s="89" t="s">
        <v>70</v>
      </c>
      <c r="C69" s="89" t="s">
        <v>71</v>
      </c>
      <c r="D69" s="89" t="s">
        <v>91</v>
      </c>
      <c r="E69" s="90" t="s">
        <v>90</v>
      </c>
      <c r="F69" s="89" t="s">
        <v>122</v>
      </c>
      <c r="G69" s="89" t="s">
        <v>123</v>
      </c>
      <c r="H69" s="89" t="s">
        <v>124</v>
      </c>
    </row>
    <row r="70" spans="1:8" ht="15" customHeight="1" x14ac:dyDescent="0.3">
      <c r="A70" s="151" t="s">
        <v>18</v>
      </c>
      <c r="B70" s="12" t="s">
        <v>74</v>
      </c>
      <c r="C70" s="13">
        <v>242.8876695427</v>
      </c>
      <c r="D70" s="13">
        <v>113.449495649754</v>
      </c>
      <c r="E70" s="14">
        <v>1975.57176655484</v>
      </c>
      <c r="F70" s="15">
        <f>D70/C70*1000</f>
        <v>467.08627022257883</v>
      </c>
      <c r="G70" s="13">
        <f>D70/E70*1000</f>
        <v>57.426157616939577</v>
      </c>
      <c r="H70" s="14">
        <f>F70/G70</f>
        <v>8.1336848851750041</v>
      </c>
    </row>
    <row r="71" spans="1:8" ht="15" customHeight="1" x14ac:dyDescent="0.3">
      <c r="A71" s="152"/>
      <c r="B71" s="16" t="s">
        <v>73</v>
      </c>
      <c r="C71" s="17">
        <v>347.64847147893499</v>
      </c>
      <c r="D71" s="17">
        <v>211.95197614638201</v>
      </c>
      <c r="E71" s="18">
        <v>3403.1378872942801</v>
      </c>
      <c r="F71" s="19">
        <f t="shared" ref="F71:F78" si="9">D71/C71*1000</f>
        <v>609.67325771551612</v>
      </c>
      <c r="G71" s="17">
        <f t="shared" ref="G71:G78" si="10">D71/E71*1000</f>
        <v>62.281336568145306</v>
      </c>
      <c r="H71" s="18">
        <f t="shared" ref="H71:H78" si="11">F71/G71</f>
        <v>9.7890201352445345</v>
      </c>
    </row>
    <row r="72" spans="1:8" ht="15" customHeight="1" x14ac:dyDescent="0.3">
      <c r="A72" s="152"/>
      <c r="B72" s="20" t="s">
        <v>75</v>
      </c>
      <c r="C72" s="21">
        <v>286.11541040338102</v>
      </c>
      <c r="D72" s="21">
        <v>135.87189826923699</v>
      </c>
      <c r="E72" s="22">
        <v>2382.7029208357399</v>
      </c>
      <c r="F72" s="23">
        <f t="shared" si="9"/>
        <v>474.88493568968346</v>
      </c>
      <c r="G72" s="21">
        <f t="shared" si="10"/>
        <v>57.02427150321347</v>
      </c>
      <c r="H72" s="22">
        <f t="shared" si="11"/>
        <v>8.3277685654067923</v>
      </c>
    </row>
    <row r="73" spans="1:8" ht="15" customHeight="1" x14ac:dyDescent="0.3">
      <c r="A73" s="152"/>
      <c r="B73" s="16" t="s">
        <v>77</v>
      </c>
      <c r="C73" s="17">
        <v>311.16055409727801</v>
      </c>
      <c r="D73" s="17">
        <v>159.66794187647801</v>
      </c>
      <c r="E73" s="18">
        <v>2082.3207074403299</v>
      </c>
      <c r="F73" s="19">
        <f t="shared" si="9"/>
        <v>513.13683490408323</v>
      </c>
      <c r="G73" s="17">
        <f t="shared" si="10"/>
        <v>76.677882184991617</v>
      </c>
      <c r="H73" s="18">
        <f t="shared" si="11"/>
        <v>6.6921101663462608</v>
      </c>
    </row>
    <row r="74" spans="1:8" ht="15" customHeight="1" x14ac:dyDescent="0.3">
      <c r="A74" s="152"/>
      <c r="B74" s="20" t="s">
        <v>72</v>
      </c>
      <c r="C74" s="21">
        <v>222.57444705090199</v>
      </c>
      <c r="D74" s="21">
        <v>189.154387481794</v>
      </c>
      <c r="E74" s="22">
        <v>1801.88699863073</v>
      </c>
      <c r="F74" s="23">
        <f t="shared" si="9"/>
        <v>849.84772505594526</v>
      </c>
      <c r="G74" s="21">
        <f t="shared" si="10"/>
        <v>104.97572135518715</v>
      </c>
      <c r="H74" s="22">
        <f t="shared" si="11"/>
        <v>8.0956597781354702</v>
      </c>
    </row>
    <row r="75" spans="1:8" ht="15" customHeight="1" x14ac:dyDescent="0.3">
      <c r="A75" s="152"/>
      <c r="B75" s="16" t="s">
        <v>149</v>
      </c>
      <c r="C75" s="17">
        <v>63.9481303505898</v>
      </c>
      <c r="D75" s="17">
        <v>33.882873636642501</v>
      </c>
      <c r="E75" s="18">
        <v>368.044392662691</v>
      </c>
      <c r="F75" s="19">
        <f t="shared" si="9"/>
        <v>529.84932398934473</v>
      </c>
      <c r="G75" s="17">
        <f t="shared" si="10"/>
        <v>92.061920551241272</v>
      </c>
      <c r="H75" s="18">
        <f t="shared" si="11"/>
        <v>5.7553581417458357</v>
      </c>
    </row>
    <row r="76" spans="1:8" ht="15" customHeight="1" x14ac:dyDescent="0.3">
      <c r="A76" s="152"/>
      <c r="B76" s="20" t="s">
        <v>76</v>
      </c>
      <c r="C76" s="21">
        <v>100.625039509263</v>
      </c>
      <c r="D76" s="21">
        <v>43.2231496093464</v>
      </c>
      <c r="E76" s="22">
        <v>761.94675959335405</v>
      </c>
      <c r="F76" s="23">
        <f t="shared" si="9"/>
        <v>429.54665975924917</v>
      </c>
      <c r="G76" s="21">
        <f t="shared" si="10"/>
        <v>56.727256944322868</v>
      </c>
      <c r="H76" s="22">
        <f t="shared" si="11"/>
        <v>7.5721387371302677</v>
      </c>
    </row>
    <row r="77" spans="1:8" ht="15" customHeight="1" x14ac:dyDescent="0.3">
      <c r="A77" s="153"/>
      <c r="B77" s="24" t="s">
        <v>79</v>
      </c>
      <c r="C77" s="25">
        <f>C78-SUM(C70:C76)</f>
        <v>1064.837403981591</v>
      </c>
      <c r="D77" s="25">
        <f>D78-SUM(D70:D76)</f>
        <v>578.96974309291613</v>
      </c>
      <c r="E77" s="26">
        <f>E78-SUM(E70:E76)</f>
        <v>8655.8968144021364</v>
      </c>
      <c r="F77" s="27">
        <f t="shared" si="9"/>
        <v>543.7165720588506</v>
      </c>
      <c r="G77" s="25">
        <f t="shared" si="10"/>
        <v>66.887320344391796</v>
      </c>
      <c r="H77" s="26">
        <f t="shared" si="11"/>
        <v>8.1288436920382452</v>
      </c>
    </row>
    <row r="78" spans="1:8" ht="15" customHeight="1" x14ac:dyDescent="0.3">
      <c r="A78" s="28"/>
      <c r="B78" s="29" t="s">
        <v>1</v>
      </c>
      <c r="C78" s="30">
        <v>2639.7971264146399</v>
      </c>
      <c r="D78" s="30">
        <v>1466.17146576255</v>
      </c>
      <c r="E78" s="31">
        <v>21431.508247414102</v>
      </c>
      <c r="F78" s="32">
        <f t="shared" si="9"/>
        <v>555.41066057371518</v>
      </c>
      <c r="G78" s="30">
        <f t="shared" si="10"/>
        <v>68.411959104159479</v>
      </c>
      <c r="H78" s="31">
        <f t="shared" si="11"/>
        <v>8.1186194321388161</v>
      </c>
    </row>
    <row r="79" spans="1:8" ht="10.199999999999999" x14ac:dyDescent="0.3">
      <c r="A79" s="33"/>
      <c r="B79" s="34" t="s">
        <v>80</v>
      </c>
      <c r="C79" s="35">
        <v>0.16120033323315047</v>
      </c>
      <c r="D79" s="35">
        <v>0.14195505558441116</v>
      </c>
      <c r="E79" s="36">
        <v>0.1631540864490458</v>
      </c>
      <c r="F79" s="37"/>
      <c r="G79" s="38"/>
      <c r="H79" s="39"/>
    </row>
    <row r="80" spans="1:8" ht="15" customHeight="1" x14ac:dyDescent="0.3">
      <c r="A80" s="154" t="s">
        <v>132</v>
      </c>
      <c r="B80" s="154"/>
      <c r="C80" s="154"/>
      <c r="D80" s="154"/>
      <c r="E80" s="154"/>
      <c r="F80" s="1"/>
    </row>
    <row r="83" spans="1:8" ht="15" customHeight="1" x14ac:dyDescent="0.3">
      <c r="A83" s="155" t="s">
        <v>120</v>
      </c>
      <c r="B83" s="155"/>
      <c r="C83" s="155"/>
      <c r="D83" s="155"/>
      <c r="E83" s="155"/>
      <c r="F83" s="155"/>
      <c r="G83" s="155"/>
      <c r="H83" s="155"/>
    </row>
    <row r="84" spans="1:8" ht="40.799999999999997" x14ac:dyDescent="0.3">
      <c r="A84" s="88" t="s">
        <v>113</v>
      </c>
      <c r="B84" s="89" t="s">
        <v>70</v>
      </c>
      <c r="C84" s="89" t="s">
        <v>71</v>
      </c>
      <c r="D84" s="89" t="s">
        <v>91</v>
      </c>
      <c r="E84" s="90" t="s">
        <v>90</v>
      </c>
      <c r="F84" s="89" t="s">
        <v>122</v>
      </c>
      <c r="G84" s="89" t="s">
        <v>123</v>
      </c>
      <c r="H84" s="89" t="s">
        <v>124</v>
      </c>
    </row>
    <row r="85" spans="1:8" ht="15" customHeight="1" x14ac:dyDescent="0.3">
      <c r="A85" s="151" t="s">
        <v>18</v>
      </c>
      <c r="B85" s="12" t="s">
        <v>74</v>
      </c>
      <c r="C85" s="13">
        <v>180.25700000000001</v>
      </c>
      <c r="D85" s="13">
        <v>105.22014069999999</v>
      </c>
      <c r="E85" s="14">
        <v>1757.338</v>
      </c>
      <c r="F85" s="15">
        <f>D85/C85*1000</f>
        <v>583.72291062205613</v>
      </c>
      <c r="G85" s="13">
        <f>D85/E85*1000</f>
        <v>59.87473138349025</v>
      </c>
      <c r="H85" s="14">
        <f>F85/G85</f>
        <v>9.7490693842680152</v>
      </c>
    </row>
    <row r="86" spans="1:8" ht="15" customHeight="1" x14ac:dyDescent="0.3">
      <c r="A86" s="152"/>
      <c r="B86" s="16" t="s">
        <v>73</v>
      </c>
      <c r="C86" s="17">
        <v>200.309</v>
      </c>
      <c r="D86" s="17">
        <v>96.500853600000013</v>
      </c>
      <c r="E86" s="18">
        <v>1802.173</v>
      </c>
      <c r="F86" s="19">
        <f t="shared" ref="F86:F93" si="12">D86/C86*1000</f>
        <v>481.75994887898207</v>
      </c>
      <c r="G86" s="17">
        <f t="shared" ref="G86:G93" si="13">D86/E86*1000</f>
        <v>53.546942274687289</v>
      </c>
      <c r="H86" s="18">
        <f t="shared" ref="H86:H93" si="14">F86/G86</f>
        <v>8.9969646895546376</v>
      </c>
    </row>
    <row r="87" spans="1:8" ht="15" customHeight="1" x14ac:dyDescent="0.3">
      <c r="A87" s="152"/>
      <c r="B87" s="20" t="s">
        <v>75</v>
      </c>
      <c r="C87" s="21">
        <v>180.94</v>
      </c>
      <c r="D87" s="21">
        <v>80.41974239999999</v>
      </c>
      <c r="E87" s="22">
        <v>1493.28</v>
      </c>
      <c r="F87" s="23">
        <f t="shared" si="12"/>
        <v>444.455302310158</v>
      </c>
      <c r="G87" s="21">
        <f t="shared" si="13"/>
        <v>53.854429443908707</v>
      </c>
      <c r="H87" s="22">
        <f t="shared" si="14"/>
        <v>8.2529015143141375</v>
      </c>
    </row>
    <row r="88" spans="1:8" ht="15" customHeight="1" x14ac:dyDescent="0.3">
      <c r="A88" s="152"/>
      <c r="B88" s="16" t="s">
        <v>77</v>
      </c>
      <c r="C88" s="17">
        <v>139.08199999999999</v>
      </c>
      <c r="D88" s="17">
        <v>59.466347699999986</v>
      </c>
      <c r="E88" s="18">
        <v>901.60699999999997</v>
      </c>
      <c r="F88" s="19">
        <f t="shared" si="12"/>
        <v>427.56321953955211</v>
      </c>
      <c r="G88" s="17">
        <f t="shared" si="13"/>
        <v>65.955951650774651</v>
      </c>
      <c r="H88" s="18">
        <f t="shared" si="14"/>
        <v>6.4825570526739629</v>
      </c>
    </row>
    <row r="89" spans="1:8" ht="15" customHeight="1" x14ac:dyDescent="0.3">
      <c r="A89" s="152"/>
      <c r="B89" s="20" t="s">
        <v>72</v>
      </c>
      <c r="C89" s="21">
        <v>81.046000000000006</v>
      </c>
      <c r="D89" s="21">
        <v>47.421773700000003</v>
      </c>
      <c r="E89" s="22">
        <v>753.92499999999995</v>
      </c>
      <c r="F89" s="23">
        <f t="shared" si="12"/>
        <v>585.12170495767839</v>
      </c>
      <c r="G89" s="21">
        <f t="shared" si="13"/>
        <v>62.8998556885632</v>
      </c>
      <c r="H89" s="22">
        <f t="shared" si="14"/>
        <v>9.3024331860918483</v>
      </c>
    </row>
    <row r="90" spans="1:8" ht="15" customHeight="1" x14ac:dyDescent="0.3">
      <c r="A90" s="152"/>
      <c r="B90" s="16" t="s">
        <v>149</v>
      </c>
      <c r="C90" s="17">
        <v>75.203000000000003</v>
      </c>
      <c r="D90" s="17">
        <v>35.437186199999992</v>
      </c>
      <c r="E90" s="18">
        <v>275.71600000000001</v>
      </c>
      <c r="F90" s="19">
        <f t="shared" si="12"/>
        <v>471.22037950613662</v>
      </c>
      <c r="G90" s="17">
        <f t="shared" si="13"/>
        <v>128.52785547447371</v>
      </c>
      <c r="H90" s="18">
        <f t="shared" si="14"/>
        <v>3.6662899086472613</v>
      </c>
    </row>
    <row r="91" spans="1:8" ht="15" customHeight="1" x14ac:dyDescent="0.3">
      <c r="A91" s="152"/>
      <c r="B91" s="20" t="s">
        <v>76</v>
      </c>
      <c r="C91" s="21">
        <v>97.073999999999998</v>
      </c>
      <c r="D91" s="21">
        <v>28.803614700000001</v>
      </c>
      <c r="E91" s="22">
        <v>554.79499999999996</v>
      </c>
      <c r="F91" s="23">
        <f t="shared" si="12"/>
        <v>296.71811916682123</v>
      </c>
      <c r="G91" s="21">
        <f t="shared" si="13"/>
        <v>51.917581629250449</v>
      </c>
      <c r="H91" s="22">
        <f t="shared" si="14"/>
        <v>5.7151760512598635</v>
      </c>
    </row>
    <row r="92" spans="1:8" ht="15" customHeight="1" x14ac:dyDescent="0.3">
      <c r="A92" s="153"/>
      <c r="B92" s="24" t="s">
        <v>79</v>
      </c>
      <c r="C92" s="25">
        <f>C93-SUM(C85:C91)</f>
        <v>667.73399999999992</v>
      </c>
      <c r="D92" s="25">
        <f>D93-SUM(D85:D91)</f>
        <v>307.88931610000014</v>
      </c>
      <c r="E92" s="26">
        <f>E93-SUM(E85:E91)</f>
        <v>4926.9539999999997</v>
      </c>
      <c r="F92" s="27">
        <f t="shared" si="12"/>
        <v>461.09575983849879</v>
      </c>
      <c r="G92" s="25">
        <f t="shared" si="13"/>
        <v>62.49080387192577</v>
      </c>
      <c r="H92" s="26">
        <f t="shared" si="14"/>
        <v>7.3786178328496073</v>
      </c>
    </row>
    <row r="93" spans="1:8" ht="15" customHeight="1" x14ac:dyDescent="0.3">
      <c r="A93" s="28"/>
      <c r="B93" s="29" t="s">
        <v>1</v>
      </c>
      <c r="C93" s="30">
        <v>1621.645</v>
      </c>
      <c r="D93" s="30">
        <v>761.15897510000013</v>
      </c>
      <c r="E93" s="31">
        <v>12465.788</v>
      </c>
      <c r="F93" s="32">
        <f t="shared" si="12"/>
        <v>469.37460116116671</v>
      </c>
      <c r="G93" s="30">
        <f t="shared" si="13"/>
        <v>61.059836337662738</v>
      </c>
      <c r="H93" s="31">
        <f t="shared" si="14"/>
        <v>7.6871251106129899</v>
      </c>
    </row>
    <row r="94" spans="1:8" ht="15" customHeight="1" x14ac:dyDescent="0.3">
      <c r="A94" s="33"/>
      <c r="B94" s="34" t="s">
        <v>80</v>
      </c>
      <c r="C94" s="35">
        <v>0.1956712910061516</v>
      </c>
      <c r="D94" s="35">
        <v>0.19461565541121359</v>
      </c>
      <c r="E94" s="36">
        <v>0.17660581152645236</v>
      </c>
      <c r="F94" s="37"/>
      <c r="G94" s="38"/>
      <c r="H94" s="39"/>
    </row>
    <row r="95" spans="1:8" ht="15" customHeight="1" x14ac:dyDescent="0.3">
      <c r="A95" s="154" t="s">
        <v>132</v>
      </c>
      <c r="B95" s="154"/>
      <c r="C95" s="154"/>
      <c r="D95" s="154"/>
      <c r="E95" s="154"/>
      <c r="F95" s="1"/>
    </row>
    <row r="98" spans="1:8" ht="15" customHeight="1" x14ac:dyDescent="0.3">
      <c r="A98" s="155" t="s">
        <v>118</v>
      </c>
      <c r="B98" s="155"/>
      <c r="C98" s="155"/>
      <c r="D98" s="155"/>
      <c r="E98" s="155"/>
      <c r="F98" s="155"/>
      <c r="G98" s="155"/>
      <c r="H98" s="155"/>
    </row>
    <row r="99" spans="1:8" ht="40.799999999999997" x14ac:dyDescent="0.3">
      <c r="A99" s="88" t="s">
        <v>113</v>
      </c>
      <c r="B99" s="89" t="s">
        <v>70</v>
      </c>
      <c r="C99" s="89" t="s">
        <v>71</v>
      </c>
      <c r="D99" s="89" t="s">
        <v>91</v>
      </c>
      <c r="E99" s="90" t="s">
        <v>90</v>
      </c>
      <c r="F99" s="89" t="s">
        <v>122</v>
      </c>
      <c r="G99" s="89" t="s">
        <v>123</v>
      </c>
      <c r="H99" s="89" t="s">
        <v>124</v>
      </c>
    </row>
    <row r="100" spans="1:8" ht="15" customHeight="1" x14ac:dyDescent="0.3">
      <c r="A100" s="151" t="s">
        <v>18</v>
      </c>
      <c r="B100" s="12" t="s">
        <v>72</v>
      </c>
      <c r="C100" s="13">
        <v>835.678</v>
      </c>
      <c r="D100" s="13">
        <v>397.12350600000008</v>
      </c>
      <c r="E100" s="14">
        <v>4378.6949999999997</v>
      </c>
      <c r="F100" s="15">
        <f>D100/C100*1000</f>
        <v>475.21115309963898</v>
      </c>
      <c r="G100" s="13">
        <f>D100/E100*1000</f>
        <v>90.694489111481872</v>
      </c>
      <c r="H100" s="14">
        <f>F100/G100</f>
        <v>5.239691603703819</v>
      </c>
    </row>
    <row r="101" spans="1:8" ht="15" customHeight="1" x14ac:dyDescent="0.3">
      <c r="A101" s="152"/>
      <c r="B101" s="16" t="s">
        <v>73</v>
      </c>
      <c r="C101" s="17">
        <v>513.74900000000002</v>
      </c>
      <c r="D101" s="17">
        <v>250.8824449</v>
      </c>
      <c r="E101" s="18">
        <v>3922.317</v>
      </c>
      <c r="F101" s="19">
        <f t="shared" ref="F101:F109" si="15">D101/C101*1000</f>
        <v>488.3366097062962</v>
      </c>
      <c r="G101" s="17">
        <f t="shared" ref="G101:G109" si="16">D101/E101*1000</f>
        <v>63.962817105297709</v>
      </c>
      <c r="H101" s="18">
        <f t="shared" ref="H101:H109" si="17">F101/G101</f>
        <v>7.6346951526912941</v>
      </c>
    </row>
    <row r="102" spans="1:8" ht="15" customHeight="1" x14ac:dyDescent="0.3">
      <c r="A102" s="152"/>
      <c r="B102" s="20" t="s">
        <v>74</v>
      </c>
      <c r="C102" s="21">
        <v>450.24</v>
      </c>
      <c r="D102" s="21">
        <v>227.25093429999998</v>
      </c>
      <c r="E102" s="22">
        <v>3836.57</v>
      </c>
      <c r="F102" s="23">
        <f t="shared" si="15"/>
        <v>504.73288535003547</v>
      </c>
      <c r="G102" s="21">
        <f t="shared" si="16"/>
        <v>59.232839306985142</v>
      </c>
      <c r="H102" s="22">
        <f t="shared" si="17"/>
        <v>8.5211664889836527</v>
      </c>
    </row>
    <row r="103" spans="1:8" ht="15" customHeight="1" x14ac:dyDescent="0.3">
      <c r="A103" s="152"/>
      <c r="B103" s="16" t="s">
        <v>75</v>
      </c>
      <c r="C103" s="17">
        <v>419.82100000000003</v>
      </c>
      <c r="D103" s="17">
        <v>183.14936810000003</v>
      </c>
      <c r="E103" s="18">
        <v>2367.6260000000002</v>
      </c>
      <c r="F103" s="19">
        <f t="shared" si="15"/>
        <v>436.25585213698224</v>
      </c>
      <c r="G103" s="17">
        <f t="shared" si="16"/>
        <v>77.355700646977198</v>
      </c>
      <c r="H103" s="18">
        <f t="shared" si="17"/>
        <v>5.6396083092556113</v>
      </c>
    </row>
    <row r="104" spans="1:8" ht="15" customHeight="1" x14ac:dyDescent="0.3">
      <c r="A104" s="152"/>
      <c r="B104" s="20" t="s">
        <v>77</v>
      </c>
      <c r="C104" s="21">
        <v>321.149</v>
      </c>
      <c r="D104" s="21">
        <v>149.54575650000001</v>
      </c>
      <c r="E104" s="22">
        <v>1894.443</v>
      </c>
      <c r="F104" s="23">
        <f t="shared" si="15"/>
        <v>465.65848406814285</v>
      </c>
      <c r="G104" s="21">
        <f t="shared" si="16"/>
        <v>78.939169191155401</v>
      </c>
      <c r="H104" s="22">
        <f t="shared" si="17"/>
        <v>5.8989534452855219</v>
      </c>
    </row>
    <row r="105" spans="1:8" ht="15" customHeight="1" x14ac:dyDescent="0.3">
      <c r="A105" s="152"/>
      <c r="B105" s="16" t="s">
        <v>76</v>
      </c>
      <c r="C105" s="17">
        <v>297.56799999999998</v>
      </c>
      <c r="D105" s="17">
        <v>98.365836900000005</v>
      </c>
      <c r="E105" s="18">
        <v>1161.694</v>
      </c>
      <c r="F105" s="19">
        <f t="shared" si="15"/>
        <v>330.56591064899453</v>
      </c>
      <c r="G105" s="17">
        <f t="shared" si="16"/>
        <v>84.674481317799703</v>
      </c>
      <c r="H105" s="18">
        <f t="shared" si="17"/>
        <v>3.9039614474674695</v>
      </c>
    </row>
    <row r="106" spans="1:8" ht="15" customHeight="1" x14ac:dyDescent="0.3">
      <c r="A106" s="152"/>
      <c r="B106" s="20" t="s">
        <v>78</v>
      </c>
      <c r="C106" s="21">
        <v>213.33099999999999</v>
      </c>
      <c r="D106" s="21">
        <v>82.447301699999997</v>
      </c>
      <c r="E106" s="22">
        <v>843.14700000000005</v>
      </c>
      <c r="F106" s="23">
        <f t="shared" si="15"/>
        <v>386.47595379949468</v>
      </c>
      <c r="G106" s="21">
        <f t="shared" si="16"/>
        <v>97.785204359382163</v>
      </c>
      <c r="H106" s="22">
        <f t="shared" si="17"/>
        <v>3.9522947907242738</v>
      </c>
    </row>
    <row r="107" spans="1:8" ht="15" customHeight="1" x14ac:dyDescent="0.3">
      <c r="A107" s="152"/>
      <c r="B107" s="16" t="s">
        <v>149</v>
      </c>
      <c r="C107" s="17">
        <v>164.50800000000001</v>
      </c>
      <c r="D107" s="17">
        <v>67.250726799999981</v>
      </c>
      <c r="E107" s="18">
        <v>832.71</v>
      </c>
      <c r="F107" s="19">
        <f t="shared" si="15"/>
        <v>408.79912709412292</v>
      </c>
      <c r="G107" s="17">
        <f t="shared" si="16"/>
        <v>80.761281598635762</v>
      </c>
      <c r="H107" s="18">
        <f t="shared" si="17"/>
        <v>5.0618207017287906</v>
      </c>
    </row>
    <row r="108" spans="1:8" ht="15" customHeight="1" x14ac:dyDescent="0.3">
      <c r="A108" s="153"/>
      <c r="B108" s="40" t="s">
        <v>79</v>
      </c>
      <c r="C108" s="41">
        <f>C109-SUM(C100:C107)</f>
        <v>2707.2160000000003</v>
      </c>
      <c r="D108" s="41">
        <f>D109-SUM(D100:D107)</f>
        <v>1135.7558523000002</v>
      </c>
      <c r="E108" s="42">
        <f>E109-SUM(E100:E107)</f>
        <v>14790.827000000005</v>
      </c>
      <c r="F108" s="43">
        <f t="shared" si="15"/>
        <v>419.52908534080774</v>
      </c>
      <c r="G108" s="41">
        <f t="shared" si="16"/>
        <v>76.787853194415689</v>
      </c>
      <c r="H108" s="42">
        <f t="shared" si="17"/>
        <v>5.4634824114514702</v>
      </c>
    </row>
    <row r="109" spans="1:8" ht="15" customHeight="1" x14ac:dyDescent="0.3">
      <c r="A109" s="28"/>
      <c r="B109" s="29" t="s">
        <v>1</v>
      </c>
      <c r="C109" s="30">
        <v>5923.26</v>
      </c>
      <c r="D109" s="30">
        <v>2591.7717275</v>
      </c>
      <c r="E109" s="31">
        <v>34028.029000000002</v>
      </c>
      <c r="F109" s="32">
        <f t="shared" si="15"/>
        <v>437.55832556733958</v>
      </c>
      <c r="G109" s="30">
        <f t="shared" si="16"/>
        <v>76.165790487012927</v>
      </c>
      <c r="H109" s="31">
        <f t="shared" si="17"/>
        <v>5.7448143421021527</v>
      </c>
    </row>
    <row r="110" spans="1:8" ht="15" customHeight="1" x14ac:dyDescent="0.3">
      <c r="A110" s="33"/>
      <c r="B110" s="34" t="s">
        <v>80</v>
      </c>
      <c r="C110" s="35">
        <v>0.16164750851620924</v>
      </c>
      <c r="D110" s="35">
        <v>0.1465941229516067</v>
      </c>
      <c r="E110" s="36">
        <v>0.14637997003033124</v>
      </c>
      <c r="F110" s="37"/>
      <c r="G110" s="38"/>
      <c r="H110" s="39"/>
    </row>
    <row r="111" spans="1:8" ht="15" customHeight="1" x14ac:dyDescent="0.3">
      <c r="A111" s="154" t="s">
        <v>132</v>
      </c>
      <c r="B111" s="154"/>
      <c r="C111" s="154"/>
      <c r="D111" s="154"/>
      <c r="E111" s="154"/>
      <c r="F111" s="1"/>
    </row>
    <row r="114" spans="1:8" ht="15" customHeight="1" x14ac:dyDescent="0.3">
      <c r="A114" s="155" t="s">
        <v>112</v>
      </c>
      <c r="B114" s="155"/>
      <c r="C114" s="155"/>
      <c r="D114" s="155"/>
      <c r="E114" s="155"/>
      <c r="F114" s="155"/>
      <c r="G114" s="155"/>
      <c r="H114" s="155"/>
    </row>
    <row r="115" spans="1:8" ht="40.799999999999997" x14ac:dyDescent="0.3">
      <c r="A115" s="88" t="s">
        <v>113</v>
      </c>
      <c r="B115" s="89" t="s">
        <v>70</v>
      </c>
      <c r="C115" s="89" t="s">
        <v>71</v>
      </c>
      <c r="D115" s="89" t="s">
        <v>91</v>
      </c>
      <c r="E115" s="90" t="s">
        <v>90</v>
      </c>
      <c r="F115" s="89" t="s">
        <v>122</v>
      </c>
      <c r="G115" s="89" t="s">
        <v>123</v>
      </c>
      <c r="H115" s="89" t="s">
        <v>124</v>
      </c>
    </row>
    <row r="116" spans="1:8" ht="15" customHeight="1" x14ac:dyDescent="0.3">
      <c r="A116" s="151" t="s">
        <v>18</v>
      </c>
      <c r="B116" s="12" t="s">
        <v>72</v>
      </c>
      <c r="C116" s="13">
        <v>778.31399999999996</v>
      </c>
      <c r="D116" s="13">
        <v>345.21228300000001</v>
      </c>
      <c r="E116" s="14">
        <v>4264.018</v>
      </c>
      <c r="F116" s="15">
        <f>D116/C116*1000</f>
        <v>443.5385756905311</v>
      </c>
      <c r="G116" s="13">
        <f>D116/E116*1000</f>
        <v>80.959386897522478</v>
      </c>
      <c r="H116" s="14">
        <f>F116/G116</f>
        <v>5.4785318007899129</v>
      </c>
    </row>
    <row r="117" spans="1:8" ht="15" customHeight="1" x14ac:dyDescent="0.3">
      <c r="A117" s="152"/>
      <c r="B117" s="16" t="s">
        <v>73</v>
      </c>
      <c r="C117" s="17">
        <v>472.12900000000002</v>
      </c>
      <c r="D117" s="17">
        <v>199.01238030000002</v>
      </c>
      <c r="E117" s="18">
        <v>2874.627</v>
      </c>
      <c r="F117" s="19">
        <f t="shared" ref="F117:F125" si="18">D117/C117*1000</f>
        <v>421.52119505474138</v>
      </c>
      <c r="G117" s="17">
        <f t="shared" ref="G117:G125" si="19">D117/E117*1000</f>
        <v>69.230679423800041</v>
      </c>
      <c r="H117" s="18">
        <f t="shared" ref="H117:H125" si="20">F117/G117</f>
        <v>6.0886473823891336</v>
      </c>
    </row>
    <row r="118" spans="1:8" ht="15" customHeight="1" x14ac:dyDescent="0.3">
      <c r="A118" s="152"/>
      <c r="B118" s="20" t="s">
        <v>74</v>
      </c>
      <c r="C118" s="21">
        <v>375.13299999999998</v>
      </c>
      <c r="D118" s="21">
        <v>164.62516010000002</v>
      </c>
      <c r="E118" s="22">
        <v>2434.7460000000001</v>
      </c>
      <c r="F118" s="23">
        <f t="shared" si="18"/>
        <v>438.84478331685034</v>
      </c>
      <c r="G118" s="21">
        <f t="shared" si="19"/>
        <v>67.614921679715266</v>
      </c>
      <c r="H118" s="22">
        <f t="shared" si="20"/>
        <v>6.4903540877502106</v>
      </c>
    </row>
    <row r="119" spans="1:8" ht="15" customHeight="1" x14ac:dyDescent="0.3">
      <c r="A119" s="152"/>
      <c r="B119" s="16" t="s">
        <v>75</v>
      </c>
      <c r="C119" s="17">
        <v>431.702</v>
      </c>
      <c r="D119" s="17">
        <v>162.80221249999994</v>
      </c>
      <c r="E119" s="18">
        <v>2516.3910000000001</v>
      </c>
      <c r="F119" s="19">
        <f t="shared" si="18"/>
        <v>377.11711435202972</v>
      </c>
      <c r="G119" s="17">
        <f t="shared" si="19"/>
        <v>64.696707506901717</v>
      </c>
      <c r="H119" s="18">
        <f t="shared" si="20"/>
        <v>5.8290000972893345</v>
      </c>
    </row>
    <row r="120" spans="1:8" ht="15" customHeight="1" x14ac:dyDescent="0.3">
      <c r="A120" s="152"/>
      <c r="B120" s="20" t="s">
        <v>77</v>
      </c>
      <c r="C120" s="21">
        <v>331.64400000000001</v>
      </c>
      <c r="D120" s="21">
        <v>135.70448529999999</v>
      </c>
      <c r="E120" s="22">
        <v>2005.386</v>
      </c>
      <c r="F120" s="23">
        <f t="shared" si="18"/>
        <v>409.18721671430808</v>
      </c>
      <c r="G120" s="21">
        <f t="shared" si="19"/>
        <v>67.670007320286473</v>
      </c>
      <c r="H120" s="22">
        <f t="shared" si="20"/>
        <v>6.046803198610557</v>
      </c>
    </row>
    <row r="121" spans="1:8" ht="15" customHeight="1" x14ac:dyDescent="0.3">
      <c r="A121" s="152"/>
      <c r="B121" s="16" t="s">
        <v>76</v>
      </c>
      <c r="C121" s="17">
        <v>313.89699999999999</v>
      </c>
      <c r="D121" s="17">
        <v>92.443723699999993</v>
      </c>
      <c r="E121" s="18">
        <v>1681.556</v>
      </c>
      <c r="F121" s="19">
        <f t="shared" si="18"/>
        <v>294.50336798376537</v>
      </c>
      <c r="G121" s="17">
        <f t="shared" si="19"/>
        <v>54.975108589901254</v>
      </c>
      <c r="H121" s="18">
        <f t="shared" si="20"/>
        <v>5.357031128045187</v>
      </c>
    </row>
    <row r="122" spans="1:8" ht="15" customHeight="1" x14ac:dyDescent="0.3">
      <c r="A122" s="152"/>
      <c r="B122" s="20" t="s">
        <v>78</v>
      </c>
      <c r="C122" s="21">
        <v>217.39699999999999</v>
      </c>
      <c r="D122" s="21">
        <v>89.870530099999996</v>
      </c>
      <c r="E122" s="22">
        <v>1056.3789999999999</v>
      </c>
      <c r="F122" s="23">
        <f t="shared" si="18"/>
        <v>413.3936075474823</v>
      </c>
      <c r="G122" s="21">
        <f t="shared" si="19"/>
        <v>85.074135419200871</v>
      </c>
      <c r="H122" s="22">
        <f t="shared" si="20"/>
        <v>4.8592160885384814</v>
      </c>
    </row>
    <row r="123" spans="1:8" ht="15" customHeight="1" x14ac:dyDescent="0.3">
      <c r="A123" s="152"/>
      <c r="B123" s="16" t="s">
        <v>149</v>
      </c>
      <c r="C123" s="17">
        <v>177.23099999999999</v>
      </c>
      <c r="D123" s="17">
        <v>76.050708499999999</v>
      </c>
      <c r="E123" s="18">
        <v>717.63499999999999</v>
      </c>
      <c r="F123" s="19">
        <f t="shared" si="18"/>
        <v>429.10500138237666</v>
      </c>
      <c r="G123" s="17">
        <f t="shared" si="19"/>
        <v>105.9740794414988</v>
      </c>
      <c r="H123" s="18">
        <f t="shared" si="20"/>
        <v>4.0491505436407857</v>
      </c>
    </row>
    <row r="124" spans="1:8" ht="15" customHeight="1" x14ac:dyDescent="0.3">
      <c r="A124" s="153"/>
      <c r="B124" s="40" t="s">
        <v>79</v>
      </c>
      <c r="C124" s="41">
        <f>C125-SUM(C116:C123)</f>
        <v>2583.3649999999998</v>
      </c>
      <c r="D124" s="41">
        <f>D125-SUM(D116:D123)</f>
        <v>1013.1935195000003</v>
      </c>
      <c r="E124" s="42">
        <f>E125-SUM(E116:E123)</f>
        <v>13834.805000000004</v>
      </c>
      <c r="F124" s="43">
        <f t="shared" si="18"/>
        <v>392.19913542995295</v>
      </c>
      <c r="G124" s="41">
        <f t="shared" si="19"/>
        <v>73.235113866801882</v>
      </c>
      <c r="H124" s="42">
        <f t="shared" si="20"/>
        <v>5.3553427409599514</v>
      </c>
    </row>
    <row r="125" spans="1:8" ht="15" customHeight="1" x14ac:dyDescent="0.3">
      <c r="A125" s="28"/>
      <c r="B125" s="29" t="s">
        <v>1</v>
      </c>
      <c r="C125" s="30">
        <v>5680.8119999999999</v>
      </c>
      <c r="D125" s="30">
        <v>2278.9150030000001</v>
      </c>
      <c r="E125" s="31">
        <v>31385.543000000001</v>
      </c>
      <c r="F125" s="32">
        <f t="shared" si="18"/>
        <v>401.16008116445329</v>
      </c>
      <c r="G125" s="30">
        <f t="shared" si="19"/>
        <v>72.610341742374828</v>
      </c>
      <c r="H125" s="31">
        <f t="shared" si="20"/>
        <v>5.5248339497945018</v>
      </c>
    </row>
    <row r="126" spans="1:8" ht="15" customHeight="1" x14ac:dyDescent="0.3">
      <c r="A126" s="33"/>
      <c r="B126" s="34" t="s">
        <v>80</v>
      </c>
      <c r="C126" s="35">
        <v>0.16559562393962063</v>
      </c>
      <c r="D126" s="35">
        <v>0.14667619073767513</v>
      </c>
      <c r="E126" s="36">
        <v>0.14027253137818552</v>
      </c>
      <c r="F126" s="37"/>
      <c r="G126" s="38"/>
      <c r="H126" s="39"/>
    </row>
    <row r="127" spans="1:8" ht="15" customHeight="1" x14ac:dyDescent="0.3">
      <c r="A127" s="154" t="s">
        <v>132</v>
      </c>
      <c r="B127" s="154"/>
      <c r="C127" s="154"/>
      <c r="D127" s="154"/>
      <c r="E127" s="154"/>
      <c r="F127" s="1"/>
    </row>
    <row r="130" spans="1:8" ht="15" customHeight="1" x14ac:dyDescent="0.3">
      <c r="A130" s="155" t="s">
        <v>89</v>
      </c>
      <c r="B130" s="155"/>
      <c r="C130" s="155"/>
      <c r="D130" s="155"/>
      <c r="E130" s="155"/>
      <c r="F130" s="155"/>
      <c r="G130" s="155"/>
      <c r="H130" s="155"/>
    </row>
    <row r="131" spans="1:8" ht="40.799999999999997" x14ac:dyDescent="0.3">
      <c r="A131" s="88" t="s">
        <v>113</v>
      </c>
      <c r="B131" s="89" t="s">
        <v>70</v>
      </c>
      <c r="C131" s="89" t="s">
        <v>71</v>
      </c>
      <c r="D131" s="89" t="s">
        <v>91</v>
      </c>
      <c r="E131" s="90" t="s">
        <v>90</v>
      </c>
      <c r="F131" s="89" t="s">
        <v>122</v>
      </c>
      <c r="G131" s="89" t="s">
        <v>123</v>
      </c>
      <c r="H131" s="89" t="s">
        <v>124</v>
      </c>
    </row>
    <row r="132" spans="1:8" ht="15" customHeight="1" x14ac:dyDescent="0.3">
      <c r="A132" s="151" t="s">
        <v>18</v>
      </c>
      <c r="B132" s="12" t="s">
        <v>72</v>
      </c>
      <c r="C132" s="13">
        <v>616.26300000000003</v>
      </c>
      <c r="D132" s="13">
        <v>302.71924270000005</v>
      </c>
      <c r="E132" s="14">
        <v>3301.1680000000001</v>
      </c>
      <c r="F132" s="15">
        <f>D132/C132*1000</f>
        <v>491.21761764052042</v>
      </c>
      <c r="G132" s="13">
        <f>D132/E132*1000</f>
        <v>91.700647376928416</v>
      </c>
      <c r="H132" s="14">
        <f>F132/G132</f>
        <v>5.3567519062478199</v>
      </c>
    </row>
    <row r="133" spans="1:8" ht="15" customHeight="1" x14ac:dyDescent="0.3">
      <c r="A133" s="152"/>
      <c r="B133" s="16" t="s">
        <v>73</v>
      </c>
      <c r="C133" s="17">
        <v>421.36599999999999</v>
      </c>
      <c r="D133" s="17">
        <v>166.18054469999998</v>
      </c>
      <c r="E133" s="18">
        <v>2769.2150000000001</v>
      </c>
      <c r="F133" s="19">
        <f t="shared" ref="F133:F141" si="21">D133/C133*1000</f>
        <v>394.3852724234988</v>
      </c>
      <c r="G133" s="17">
        <f t="shared" ref="G133:G141" si="22">D133/E133*1000</f>
        <v>60.009982865180191</v>
      </c>
      <c r="H133" s="18">
        <f t="shared" ref="H133:H141" si="23">F133/G133</f>
        <v>6.57199441815429</v>
      </c>
    </row>
    <row r="134" spans="1:8" ht="15" customHeight="1" x14ac:dyDescent="0.3">
      <c r="A134" s="152"/>
      <c r="B134" s="20" t="s">
        <v>74</v>
      </c>
      <c r="C134" s="21">
        <v>386.60599999999999</v>
      </c>
      <c r="D134" s="21">
        <v>177.9188651</v>
      </c>
      <c r="E134" s="22">
        <v>3410.1849999999999</v>
      </c>
      <c r="F134" s="23">
        <f t="shared" si="21"/>
        <v>460.20720087117115</v>
      </c>
      <c r="G134" s="21">
        <f t="shared" si="22"/>
        <v>52.17278977533477</v>
      </c>
      <c r="H134" s="22">
        <f t="shared" si="23"/>
        <v>8.8208279230017119</v>
      </c>
    </row>
    <row r="135" spans="1:8" ht="15" customHeight="1" x14ac:dyDescent="0.3">
      <c r="A135" s="152"/>
      <c r="B135" s="16" t="s">
        <v>75</v>
      </c>
      <c r="C135" s="17">
        <v>375.214</v>
      </c>
      <c r="D135" s="17">
        <v>138.00620199999997</v>
      </c>
      <c r="E135" s="18">
        <v>2424.9050000000002</v>
      </c>
      <c r="F135" s="19">
        <f t="shared" si="21"/>
        <v>367.80664367534257</v>
      </c>
      <c r="G135" s="17">
        <f t="shared" si="22"/>
        <v>56.912003563026161</v>
      </c>
      <c r="H135" s="18">
        <f t="shared" si="23"/>
        <v>6.4627252714450973</v>
      </c>
    </row>
    <row r="136" spans="1:8" ht="15" customHeight="1" x14ac:dyDescent="0.3">
      <c r="A136" s="152"/>
      <c r="B136" s="20" t="s">
        <v>77</v>
      </c>
      <c r="C136" s="21">
        <v>305.923</v>
      </c>
      <c r="D136" s="21">
        <v>114.59969260000001</v>
      </c>
      <c r="E136" s="22">
        <v>1477.3620000000001</v>
      </c>
      <c r="F136" s="23">
        <f t="shared" si="21"/>
        <v>374.60306220846422</v>
      </c>
      <c r="G136" s="21">
        <f t="shared" si="22"/>
        <v>77.57048888491785</v>
      </c>
      <c r="H136" s="22">
        <f t="shared" si="23"/>
        <v>4.8291955818947905</v>
      </c>
    </row>
    <row r="137" spans="1:8" ht="15" customHeight="1" x14ac:dyDescent="0.3">
      <c r="A137" s="152"/>
      <c r="B137" s="16" t="s">
        <v>76</v>
      </c>
      <c r="C137" s="17">
        <v>262.315</v>
      </c>
      <c r="D137" s="17">
        <v>74.787723599999978</v>
      </c>
      <c r="E137" s="18">
        <v>1142.5509999999999</v>
      </c>
      <c r="F137" s="19">
        <f t="shared" si="21"/>
        <v>285.10654594666704</v>
      </c>
      <c r="G137" s="17">
        <f t="shared" si="22"/>
        <v>65.456792388260993</v>
      </c>
      <c r="H137" s="18">
        <f t="shared" si="23"/>
        <v>4.3556449307130727</v>
      </c>
    </row>
    <row r="138" spans="1:8" ht="15" customHeight="1" x14ac:dyDescent="0.3">
      <c r="A138" s="152"/>
      <c r="B138" s="20" t="s">
        <v>78</v>
      </c>
      <c r="C138" s="21">
        <v>220.02199999999999</v>
      </c>
      <c r="D138" s="21">
        <v>122.08716400000002</v>
      </c>
      <c r="E138" s="22">
        <v>1222.4480000000001</v>
      </c>
      <c r="F138" s="23">
        <f t="shared" si="21"/>
        <v>554.88616592886171</v>
      </c>
      <c r="G138" s="21">
        <f t="shared" si="22"/>
        <v>99.871048911691943</v>
      </c>
      <c r="H138" s="22">
        <f t="shared" si="23"/>
        <v>5.5560262155602631</v>
      </c>
    </row>
    <row r="139" spans="1:8" ht="15" customHeight="1" x14ac:dyDescent="0.3">
      <c r="A139" s="152"/>
      <c r="B139" s="16" t="s">
        <v>149</v>
      </c>
      <c r="C139" s="17">
        <v>133.37299999999999</v>
      </c>
      <c r="D139" s="17">
        <v>63.706120599999998</v>
      </c>
      <c r="E139" s="18">
        <v>428.74400000000003</v>
      </c>
      <c r="F139" s="19">
        <f t="shared" si="21"/>
        <v>477.65380249375812</v>
      </c>
      <c r="G139" s="17">
        <f t="shared" si="22"/>
        <v>148.58778338588994</v>
      </c>
      <c r="H139" s="18">
        <f t="shared" si="23"/>
        <v>3.2146236494642846</v>
      </c>
    </row>
    <row r="140" spans="1:8" ht="15" customHeight="1" x14ac:dyDescent="0.3">
      <c r="A140" s="153"/>
      <c r="B140" s="40" t="s">
        <v>79</v>
      </c>
      <c r="C140" s="41">
        <v>2415.9140000000002</v>
      </c>
      <c r="D140" s="41">
        <v>923.15748149999945</v>
      </c>
      <c r="E140" s="42">
        <v>13260.318000000001</v>
      </c>
      <c r="F140" s="43">
        <f t="shared" si="21"/>
        <v>382.11520836420476</v>
      </c>
      <c r="G140" s="41">
        <f t="shared" si="22"/>
        <v>69.618049996990976</v>
      </c>
      <c r="H140" s="42">
        <f t="shared" si="23"/>
        <v>5.4887375957919033</v>
      </c>
    </row>
    <row r="141" spans="1:8" ht="15" customHeight="1" x14ac:dyDescent="0.3">
      <c r="A141" s="28"/>
      <c r="B141" s="29" t="s">
        <v>1</v>
      </c>
      <c r="C141" s="30">
        <f>SUM(C132:C140)</f>
        <v>5136.9960000000001</v>
      </c>
      <c r="D141" s="30">
        <f t="shared" ref="D141" si="24">SUM(D132:D140)</f>
        <v>2083.1630367999996</v>
      </c>
      <c r="E141" s="31">
        <f>SUM(E132:E140)</f>
        <v>29436.896000000001</v>
      </c>
      <c r="F141" s="32">
        <f t="shared" si="21"/>
        <v>405.52163887221235</v>
      </c>
      <c r="G141" s="30">
        <f t="shared" si="22"/>
        <v>70.767075332942696</v>
      </c>
      <c r="H141" s="31">
        <f t="shared" si="23"/>
        <v>5.7303716023917479</v>
      </c>
    </row>
    <row r="142" spans="1:8" ht="15" customHeight="1" x14ac:dyDescent="0.3">
      <c r="A142" s="33"/>
      <c r="B142" s="34" t="s">
        <v>80</v>
      </c>
      <c r="C142" s="35">
        <v>0.16559562393962063</v>
      </c>
      <c r="D142" s="35">
        <v>0.14667619073767513</v>
      </c>
      <c r="E142" s="36">
        <v>0.14027253137818552</v>
      </c>
      <c r="F142" s="37"/>
      <c r="G142" s="38"/>
      <c r="H142" s="39"/>
    </row>
    <row r="143" spans="1:8" ht="15" customHeight="1" x14ac:dyDescent="0.3">
      <c r="A143" s="154" t="s">
        <v>132</v>
      </c>
      <c r="B143" s="154"/>
      <c r="C143" s="154"/>
      <c r="D143" s="154"/>
      <c r="E143" s="154"/>
      <c r="F143" s="1"/>
    </row>
    <row r="146" spans="1:8" ht="15" customHeight="1" x14ac:dyDescent="0.3">
      <c r="A146" s="155" t="s">
        <v>81</v>
      </c>
      <c r="B146" s="155"/>
      <c r="C146" s="155"/>
      <c r="D146" s="155"/>
      <c r="E146" s="155"/>
      <c r="F146" s="155"/>
      <c r="G146" s="155"/>
      <c r="H146" s="155"/>
    </row>
    <row r="147" spans="1:8" ht="40.799999999999997" x14ac:dyDescent="0.3">
      <c r="A147" s="88" t="s">
        <v>113</v>
      </c>
      <c r="B147" s="89" t="s">
        <v>70</v>
      </c>
      <c r="C147" s="89" t="s">
        <v>71</v>
      </c>
      <c r="D147" s="89" t="s">
        <v>91</v>
      </c>
      <c r="E147" s="90" t="s">
        <v>90</v>
      </c>
      <c r="F147" s="89" t="s">
        <v>122</v>
      </c>
      <c r="G147" s="89" t="s">
        <v>123</v>
      </c>
      <c r="H147" s="89" t="s">
        <v>124</v>
      </c>
    </row>
    <row r="148" spans="1:8" ht="15" customHeight="1" x14ac:dyDescent="0.3">
      <c r="A148" s="151" t="s">
        <v>18</v>
      </c>
      <c r="B148" s="12" t="s">
        <v>72</v>
      </c>
      <c r="C148" s="13">
        <v>553.61500000000001</v>
      </c>
      <c r="D148" s="13">
        <v>274.8</v>
      </c>
      <c r="E148" s="14">
        <v>3054</v>
      </c>
      <c r="F148" s="15">
        <f>D148/C148*1000</f>
        <v>496.37383380146855</v>
      </c>
      <c r="G148" s="13">
        <f>D148/E148*1000</f>
        <v>89.980353634577611</v>
      </c>
      <c r="H148" s="14">
        <f>F148/G148</f>
        <v>5.5164690263088971</v>
      </c>
    </row>
    <row r="149" spans="1:8" ht="15" customHeight="1" x14ac:dyDescent="0.3">
      <c r="A149" s="152"/>
      <c r="B149" s="16" t="s">
        <v>73</v>
      </c>
      <c r="C149" s="17">
        <v>536.34400000000005</v>
      </c>
      <c r="D149" s="17">
        <v>212.6</v>
      </c>
      <c r="E149" s="18">
        <v>3386.2</v>
      </c>
      <c r="F149" s="19">
        <f t="shared" ref="F149:F157" si="25">D149/C149*1000</f>
        <v>396.38739316558025</v>
      </c>
      <c r="G149" s="17">
        <f t="shared" ref="G149:G157" si="26">D149/E149*1000</f>
        <v>62.784241923099643</v>
      </c>
      <c r="H149" s="18">
        <f t="shared" ref="H149:H157" si="27">F149/G149</f>
        <v>6.3134853750577973</v>
      </c>
    </row>
    <row r="150" spans="1:8" ht="15" customHeight="1" x14ac:dyDescent="0.3">
      <c r="A150" s="152"/>
      <c r="B150" s="20" t="s">
        <v>74</v>
      </c>
      <c r="C150" s="21">
        <v>313.39999999999998</v>
      </c>
      <c r="D150" s="21">
        <v>120.6</v>
      </c>
      <c r="E150" s="22">
        <v>2329.5</v>
      </c>
      <c r="F150" s="23">
        <f t="shared" si="25"/>
        <v>384.81174218251437</v>
      </c>
      <c r="G150" s="21">
        <f t="shared" si="26"/>
        <v>51.770766258853833</v>
      </c>
      <c r="H150" s="22">
        <f t="shared" si="27"/>
        <v>7.4329929802169747</v>
      </c>
    </row>
    <row r="151" spans="1:8" ht="15" customHeight="1" x14ac:dyDescent="0.3">
      <c r="A151" s="152"/>
      <c r="B151" s="16" t="s">
        <v>75</v>
      </c>
      <c r="C151" s="17">
        <v>290.8</v>
      </c>
      <c r="D151" s="17">
        <v>97.5</v>
      </c>
      <c r="E151" s="18">
        <v>1559.7</v>
      </c>
      <c r="F151" s="19">
        <f t="shared" si="25"/>
        <v>335.28198074277856</v>
      </c>
      <c r="G151" s="17">
        <f t="shared" si="26"/>
        <v>62.512021542604352</v>
      </c>
      <c r="H151" s="18">
        <f t="shared" si="27"/>
        <v>5.3634800550206325</v>
      </c>
    </row>
    <row r="152" spans="1:8" ht="15" customHeight="1" x14ac:dyDescent="0.3">
      <c r="A152" s="152"/>
      <c r="B152" s="20" t="s">
        <v>76</v>
      </c>
      <c r="C152" s="21">
        <v>281.2</v>
      </c>
      <c r="D152" s="21">
        <v>73.8</v>
      </c>
      <c r="E152" s="22">
        <v>1240.0999999999999</v>
      </c>
      <c r="F152" s="23">
        <f t="shared" si="25"/>
        <v>262.44665718349933</v>
      </c>
      <c r="G152" s="21">
        <f t="shared" si="26"/>
        <v>59.511329731473275</v>
      </c>
      <c r="H152" s="22">
        <f t="shared" si="27"/>
        <v>4.4100284495021338</v>
      </c>
    </row>
    <row r="153" spans="1:8" ht="15" customHeight="1" x14ac:dyDescent="0.3">
      <c r="A153" s="152"/>
      <c r="B153" s="16" t="s">
        <v>77</v>
      </c>
      <c r="C153" s="17">
        <v>265.74599999999998</v>
      </c>
      <c r="D153" s="17">
        <v>91.4</v>
      </c>
      <c r="E153" s="18">
        <v>1407.4</v>
      </c>
      <c r="F153" s="19">
        <f t="shared" si="25"/>
        <v>343.93744402549811</v>
      </c>
      <c r="G153" s="17">
        <f t="shared" si="26"/>
        <v>64.942447065510876</v>
      </c>
      <c r="H153" s="18">
        <f t="shared" si="27"/>
        <v>5.2960345593160394</v>
      </c>
    </row>
    <row r="154" spans="1:8" ht="15" customHeight="1" x14ac:dyDescent="0.3">
      <c r="A154" s="152"/>
      <c r="B154" s="20" t="s">
        <v>149</v>
      </c>
      <c r="C154" s="21">
        <v>150.57300000000001</v>
      </c>
      <c r="D154" s="21">
        <v>52.7</v>
      </c>
      <c r="E154" s="22">
        <v>580.5</v>
      </c>
      <c r="F154" s="23">
        <f t="shared" si="25"/>
        <v>349.99634728669815</v>
      </c>
      <c r="G154" s="21">
        <f t="shared" si="26"/>
        <v>90.783807062876832</v>
      </c>
      <c r="H154" s="22">
        <f t="shared" si="27"/>
        <v>3.8552728576836484</v>
      </c>
    </row>
    <row r="155" spans="1:8" ht="15" customHeight="1" x14ac:dyDescent="0.3">
      <c r="A155" s="152"/>
      <c r="B155" s="16" t="s">
        <v>78</v>
      </c>
      <c r="C155" s="17">
        <v>104.5</v>
      </c>
      <c r="D155" s="17">
        <v>55.5</v>
      </c>
      <c r="E155" s="18">
        <v>646.1</v>
      </c>
      <c r="F155" s="19">
        <f t="shared" si="25"/>
        <v>531.1004784688995</v>
      </c>
      <c r="G155" s="17">
        <f t="shared" si="26"/>
        <v>85.900015477480267</v>
      </c>
      <c r="H155" s="18">
        <f t="shared" si="27"/>
        <v>6.1827751196172249</v>
      </c>
    </row>
    <row r="156" spans="1:8" ht="15" customHeight="1" x14ac:dyDescent="0.3">
      <c r="A156" s="153"/>
      <c r="B156" s="40" t="s">
        <v>79</v>
      </c>
      <c r="C156" s="41">
        <v>2046.7179999999998</v>
      </c>
      <c r="D156" s="41">
        <v>755.2</v>
      </c>
      <c r="E156" s="42">
        <v>10565.1</v>
      </c>
      <c r="F156" s="43">
        <f t="shared" si="25"/>
        <v>368.98097344138279</v>
      </c>
      <c r="G156" s="41">
        <f t="shared" si="26"/>
        <v>71.480629620164507</v>
      </c>
      <c r="H156" s="42">
        <f t="shared" si="27"/>
        <v>5.1619715075550223</v>
      </c>
    </row>
    <row r="157" spans="1:8" ht="15" customHeight="1" x14ac:dyDescent="0.3">
      <c r="A157" s="28"/>
      <c r="B157" s="29" t="s">
        <v>1</v>
      </c>
      <c r="C157" s="30">
        <f>SUM(C148:C156)</f>
        <v>4542.8959999999997</v>
      </c>
      <c r="D157" s="30">
        <f t="shared" ref="D157" si="28">SUM(D148:D156)</f>
        <v>1734.1</v>
      </c>
      <c r="E157" s="31">
        <f>SUM(E148:E156)</f>
        <v>24768.600000000002</v>
      </c>
      <c r="F157" s="32">
        <f t="shared" si="25"/>
        <v>381.71686078659957</v>
      </c>
      <c r="G157" s="30">
        <f t="shared" si="26"/>
        <v>70.012031362289335</v>
      </c>
      <c r="H157" s="31">
        <f t="shared" si="27"/>
        <v>5.4521609123343362</v>
      </c>
    </row>
    <row r="158" spans="1:8" ht="15" customHeight="1" x14ac:dyDescent="0.3">
      <c r="A158" s="33"/>
      <c r="B158" s="34" t="s">
        <v>80</v>
      </c>
      <c r="C158" s="35">
        <v>0.16009810595636406</v>
      </c>
      <c r="D158" s="35">
        <v>0.13600000000000001</v>
      </c>
      <c r="E158" s="36">
        <v>0.13</v>
      </c>
      <c r="F158" s="37"/>
      <c r="G158" s="38"/>
      <c r="H158" s="39"/>
    </row>
    <row r="159" spans="1:8" ht="15" customHeight="1" x14ac:dyDescent="0.3">
      <c r="A159" s="154" t="s">
        <v>132</v>
      </c>
      <c r="B159" s="154"/>
      <c r="C159" s="154"/>
      <c r="D159" s="154"/>
      <c r="E159" s="154"/>
      <c r="F159" s="1"/>
    </row>
  </sheetData>
  <mergeCells count="32">
    <mergeCell ref="A3:H3"/>
    <mergeCell ref="A5:A13"/>
    <mergeCell ref="A16:E16"/>
    <mergeCell ref="A17:E17"/>
    <mergeCell ref="A20:H20"/>
    <mergeCell ref="A22:A30"/>
    <mergeCell ref="A33:E33"/>
    <mergeCell ref="A34:E34"/>
    <mergeCell ref="A111:E111"/>
    <mergeCell ref="A36:H36"/>
    <mergeCell ref="A38:A46"/>
    <mergeCell ref="A49:E49"/>
    <mergeCell ref="A98:H98"/>
    <mergeCell ref="A100:A108"/>
    <mergeCell ref="A68:H68"/>
    <mergeCell ref="A83:H83"/>
    <mergeCell ref="A85:A92"/>
    <mergeCell ref="A95:E95"/>
    <mergeCell ref="A70:A77"/>
    <mergeCell ref="A80:E80"/>
    <mergeCell ref="A52:H52"/>
    <mergeCell ref="A54:A62"/>
    <mergeCell ref="A65:E65"/>
    <mergeCell ref="A159:E159"/>
    <mergeCell ref="A130:H130"/>
    <mergeCell ref="A132:A140"/>
    <mergeCell ref="A143:E143"/>
    <mergeCell ref="A114:H114"/>
    <mergeCell ref="A116:A124"/>
    <mergeCell ref="A127:E127"/>
    <mergeCell ref="A148:A156"/>
    <mergeCell ref="A146:H146"/>
  </mergeCells>
  <pageMargins left="0.70866141732283472" right="0.70866141732283472" top="0.74803149606299213" bottom="0.74803149606299213" header="0.31496062992125984" footer="0.31496062992125984"/>
  <pageSetup paperSize="9" scale="90" orientation="landscape" r:id="rId1"/>
  <headerFooter>
    <oddHeader>&amp;R&amp;G</oddHeader>
    <oddFooter>&amp;L&amp;F&amp;C&amp;P / &amp;N&amp;R&amp;A</oddFooter>
  </headerFooter>
  <rowBreaks count="1" manualBreakCount="1">
    <brk id="127" max="16383"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R18"/>
  <sheetViews>
    <sheetView showGridLines="0" zoomScaleNormal="100" workbookViewId="0">
      <pane xSplit="1" topLeftCell="B1" activePane="topRight" state="frozen"/>
      <selection activeCell="B27" sqref="B27:B28"/>
      <selection pane="topRight" activeCell="O15" sqref="O15"/>
    </sheetView>
  </sheetViews>
  <sheetFormatPr defaultRowHeight="15" customHeight="1" x14ac:dyDescent="0.3"/>
  <cols>
    <col min="1" max="1" width="43.21875" style="11" customWidth="1"/>
    <col min="2" max="16384" width="8.88671875" style="11"/>
  </cols>
  <sheetData>
    <row r="3" spans="1:18" ht="15" customHeight="1" x14ac:dyDescent="0.3">
      <c r="A3" s="155" t="s">
        <v>183</v>
      </c>
      <c r="B3" s="155"/>
      <c r="C3" s="155"/>
      <c r="D3" s="155"/>
      <c r="E3" s="155"/>
      <c r="F3" s="155"/>
      <c r="G3" s="155"/>
      <c r="H3" s="155"/>
      <c r="I3" s="155"/>
      <c r="J3" s="155"/>
      <c r="K3" s="155"/>
      <c r="L3" s="155"/>
      <c r="M3" s="155"/>
      <c r="N3" s="155"/>
      <c r="O3" s="155"/>
      <c r="P3" s="155"/>
      <c r="Q3" s="155"/>
    </row>
    <row r="4" spans="1:18" ht="15" customHeight="1" x14ac:dyDescent="0.3">
      <c r="A4" s="91"/>
      <c r="B4" s="88">
        <v>2010</v>
      </c>
      <c r="C4" s="88">
        <v>2011</v>
      </c>
      <c r="D4" s="88">
        <v>2012</v>
      </c>
      <c r="E4" s="88">
        <v>2013</v>
      </c>
      <c r="F4" s="88">
        <v>2014</v>
      </c>
      <c r="G4" s="88">
        <v>2015</v>
      </c>
      <c r="H4" s="88">
        <v>2016</v>
      </c>
      <c r="I4" s="88">
        <v>2017</v>
      </c>
      <c r="J4" s="88">
        <v>2018</v>
      </c>
      <c r="K4" s="88">
        <v>2019</v>
      </c>
      <c r="L4" s="88">
        <v>2020</v>
      </c>
      <c r="M4" s="88">
        <v>2021</v>
      </c>
      <c r="N4" s="88">
        <v>2022</v>
      </c>
      <c r="O4" s="88">
        <v>2023</v>
      </c>
      <c r="P4" s="88">
        <v>2024</v>
      </c>
      <c r="Q4" s="88">
        <v>2025</v>
      </c>
    </row>
    <row r="5" spans="1:18" ht="15" customHeight="1" x14ac:dyDescent="0.3">
      <c r="A5" s="80" t="s">
        <v>116</v>
      </c>
      <c r="B5" s="81">
        <v>90.242525000000001</v>
      </c>
      <c r="C5" s="81">
        <v>82.006872500000142</v>
      </c>
      <c r="D5" s="81">
        <v>78.14347750000006</v>
      </c>
      <c r="E5" s="81">
        <v>71.810542499999983</v>
      </c>
      <c r="F5" s="81">
        <v>85.75928500000002</v>
      </c>
      <c r="G5" s="81">
        <v>90.092275000000186</v>
      </c>
      <c r="H5" s="82">
        <v>97.547274999999928</v>
      </c>
      <c r="I5" s="82">
        <v>91.664190000000133</v>
      </c>
      <c r="J5" s="82">
        <v>98.1462874999999</v>
      </c>
      <c r="K5" s="82">
        <v>114.24939249999997</v>
      </c>
      <c r="L5" s="82">
        <v>112.96927250000005</v>
      </c>
      <c r="M5" s="82">
        <v>106.62077211596966</v>
      </c>
      <c r="N5" s="82">
        <v>103.34413783442344</v>
      </c>
      <c r="O5" s="82">
        <v>96.666006228277581</v>
      </c>
      <c r="P5" s="82">
        <v>104.1632922290317</v>
      </c>
      <c r="Q5" s="82">
        <v>113.96655431872207</v>
      </c>
    </row>
    <row r="6" spans="1:18" ht="15" customHeight="1" x14ac:dyDescent="0.3">
      <c r="A6" s="83" t="s">
        <v>93</v>
      </c>
      <c r="B6" s="17">
        <f>B7-B5</f>
        <v>1582.1315775000417</v>
      </c>
      <c r="C6" s="17">
        <f t="shared" ref="C6:H6" si="0">C7-C5</f>
        <v>1458.3935224999891</v>
      </c>
      <c r="D6" s="17">
        <f t="shared" si="0"/>
        <v>1306.0644400000106</v>
      </c>
      <c r="E6" s="17">
        <f t="shared" si="0"/>
        <v>1240.2046225000054</v>
      </c>
      <c r="F6" s="17">
        <f t="shared" si="0"/>
        <v>1240.1261674999989</v>
      </c>
      <c r="G6" s="17">
        <f t="shared" si="0"/>
        <v>1245.8037200000028</v>
      </c>
      <c r="H6" s="17">
        <f t="shared" si="0"/>
        <v>1262.7041025000055</v>
      </c>
      <c r="I6" s="17">
        <f>I7-I5</f>
        <v>1274.325579999984</v>
      </c>
      <c r="J6" s="17">
        <v>1280.3811425000188</v>
      </c>
      <c r="K6" s="17">
        <v>1328.1169575000047</v>
      </c>
      <c r="L6" s="17">
        <v>1358.74185499999</v>
      </c>
      <c r="M6" s="17">
        <v>1399.6017865941421</v>
      </c>
      <c r="N6" s="17">
        <f>N7-N5</f>
        <v>1472.0290092489474</v>
      </c>
      <c r="O6" s="17">
        <f>O7-O5</f>
        <v>1467.1155851397505</v>
      </c>
      <c r="P6" s="17">
        <v>1483.860721628793</v>
      </c>
      <c r="Q6" s="17">
        <v>1521.1926519326869</v>
      </c>
    </row>
    <row r="7" spans="1:18" ht="15" customHeight="1" x14ac:dyDescent="0.3">
      <c r="A7" s="80" t="s">
        <v>94</v>
      </c>
      <c r="B7" s="81">
        <v>1672.3741025000418</v>
      </c>
      <c r="C7" s="81">
        <v>1540.4003949999892</v>
      </c>
      <c r="D7" s="81">
        <v>1384.2079175000106</v>
      </c>
      <c r="E7" s="81">
        <v>1312.0151650000053</v>
      </c>
      <c r="F7" s="81">
        <v>1325.885452499999</v>
      </c>
      <c r="G7" s="81">
        <v>1335.895995000003</v>
      </c>
      <c r="H7" s="82">
        <v>1360.2513775000054</v>
      </c>
      <c r="I7" s="82">
        <v>1365.9897699999842</v>
      </c>
      <c r="J7" s="82">
        <v>1378.5274300000187</v>
      </c>
      <c r="K7" s="82">
        <v>1442.3663500000046</v>
      </c>
      <c r="L7" s="82">
        <v>1471.7111274999884</v>
      </c>
      <c r="M7" s="82">
        <v>1506.2225587101118</v>
      </c>
      <c r="N7" s="82">
        <v>1575.3731470833709</v>
      </c>
      <c r="O7" s="82">
        <v>1563.7815913680281</v>
      </c>
      <c r="P7" s="82">
        <v>1588.0240138578247</v>
      </c>
      <c r="Q7" s="82">
        <v>1635.1592062514089</v>
      </c>
      <c r="R7" s="82"/>
    </row>
    <row r="8" spans="1:18" ht="15" customHeight="1" x14ac:dyDescent="0.3">
      <c r="A8" s="92" t="s">
        <v>95</v>
      </c>
      <c r="B8" s="93">
        <v>4389.7539024999469</v>
      </c>
      <c r="C8" s="93">
        <v>4054.3311224999634</v>
      </c>
      <c r="D8" s="93">
        <v>3694.9760949999863</v>
      </c>
      <c r="E8" s="93">
        <v>3513.1972749999732</v>
      </c>
      <c r="F8" s="93">
        <v>3536.2398724999625</v>
      </c>
      <c r="G8" s="93">
        <v>3610.6925649999803</v>
      </c>
      <c r="H8" s="93">
        <v>3673.5592624999863</v>
      </c>
      <c r="I8" s="93">
        <v>3752.7</v>
      </c>
      <c r="J8" s="93">
        <v>3828.0211174999999</v>
      </c>
      <c r="K8" s="93">
        <v>3911.0299925000186</v>
      </c>
      <c r="L8" s="93">
        <v>3875.4790050002653</v>
      </c>
      <c r="M8" s="129">
        <v>3927.9804227906716</v>
      </c>
      <c r="N8" s="129">
        <v>4140.6331686931735</v>
      </c>
      <c r="O8" s="129">
        <v>4193.4603782170425</v>
      </c>
      <c r="P8" s="129">
        <v>4275.9529162760173</v>
      </c>
      <c r="Q8" s="129">
        <v>4339.7172146297426</v>
      </c>
    </row>
    <row r="9" spans="1:18" ht="20.399999999999999" x14ac:dyDescent="0.3">
      <c r="A9" s="84" t="s">
        <v>117</v>
      </c>
      <c r="B9" s="85">
        <f t="shared" ref="B9:I9" si="1">B5/B7</f>
        <v>5.3960728562524332E-2</v>
      </c>
      <c r="C9" s="85">
        <f t="shared" si="1"/>
        <v>5.3237374364605197E-2</v>
      </c>
      <c r="D9" s="85">
        <f t="shared" si="1"/>
        <v>5.6453569230505041E-2</v>
      </c>
      <c r="E9" s="85">
        <f t="shared" si="1"/>
        <v>5.4733012556298991E-2</v>
      </c>
      <c r="F9" s="85">
        <f t="shared" si="1"/>
        <v>6.4680764720887587E-2</v>
      </c>
      <c r="G9" s="85">
        <f t="shared" si="1"/>
        <v>6.7439587615501451E-2</v>
      </c>
      <c r="H9" s="66">
        <f t="shared" si="1"/>
        <v>7.1712682386163976E-2</v>
      </c>
      <c r="I9" s="66">
        <f t="shared" si="1"/>
        <v>6.7104594787705613E-2</v>
      </c>
      <c r="J9" s="66">
        <v>7.1196470497506575E-2</v>
      </c>
      <c r="K9" s="66">
        <v>7.9209690728017618E-2</v>
      </c>
      <c r="L9" s="66">
        <v>7.676049354325544E-2</v>
      </c>
      <c r="M9" s="66">
        <v>7.0786864463958626E-2</v>
      </c>
      <c r="N9" s="66">
        <f>N5/N7</f>
        <v>6.5599783788211491E-2</v>
      </c>
      <c r="O9" s="66">
        <f>O5/O7</f>
        <v>6.1815541736689829E-2</v>
      </c>
      <c r="P9" s="66">
        <v>6.5593020835991847E-2</v>
      </c>
      <c r="Q9" s="66">
        <v>6.9697527851119531E-2</v>
      </c>
    </row>
    <row r="10" spans="1:18" ht="20.399999999999999" x14ac:dyDescent="0.3">
      <c r="A10" s="86" t="s">
        <v>96</v>
      </c>
      <c r="B10" s="87">
        <f>B6/B7</f>
        <v>0.94603927143747557</v>
      </c>
      <c r="C10" s="87">
        <f t="shared" ref="C10:I10" si="2">C6/C7</f>
        <v>0.94676262563539482</v>
      </c>
      <c r="D10" s="87">
        <f t="shared" si="2"/>
        <v>0.94354643076949496</v>
      </c>
      <c r="E10" s="87">
        <f t="shared" si="2"/>
        <v>0.94526698744370108</v>
      </c>
      <c r="F10" s="87">
        <f t="shared" si="2"/>
        <v>0.93531923527911232</v>
      </c>
      <c r="G10" s="87">
        <f t="shared" si="2"/>
        <v>0.93256041238449849</v>
      </c>
      <c r="H10" s="87">
        <f t="shared" si="2"/>
        <v>0.92828731761383609</v>
      </c>
      <c r="I10" s="87">
        <f t="shared" si="2"/>
        <v>0.9328954052122943</v>
      </c>
      <c r="J10" s="87">
        <v>0.92880352950249334</v>
      </c>
      <c r="K10" s="87">
        <v>0.92079030927198247</v>
      </c>
      <c r="L10" s="87">
        <v>0.92323950645674457</v>
      </c>
      <c r="M10" s="87">
        <v>0.92921313553604135</v>
      </c>
      <c r="N10" s="87">
        <f>N6/N7</f>
        <v>0.93440021621178848</v>
      </c>
      <c r="O10" s="87">
        <f>O6/O7</f>
        <v>0.93818445826331009</v>
      </c>
      <c r="P10" s="87">
        <v>0.93440697916400817</v>
      </c>
      <c r="Q10" s="87">
        <v>0.93030247214888051</v>
      </c>
    </row>
    <row r="11" spans="1:18" ht="15" customHeight="1" x14ac:dyDescent="0.3">
      <c r="A11" s="159" t="s">
        <v>133</v>
      </c>
      <c r="B11" s="159"/>
      <c r="C11" s="159"/>
      <c r="D11" s="159"/>
      <c r="E11" s="159"/>
      <c r="F11" s="159"/>
      <c r="G11" s="159"/>
      <c r="H11" s="159"/>
    </row>
    <row r="12" spans="1:18" ht="15" customHeight="1" x14ac:dyDescent="0.3">
      <c r="A12" s="156" t="s">
        <v>130</v>
      </c>
      <c r="B12" s="157"/>
      <c r="C12" s="157"/>
      <c r="D12" s="157"/>
    </row>
    <row r="13" spans="1:18" ht="15" customHeight="1" x14ac:dyDescent="0.3">
      <c r="A13" s="158" t="s">
        <v>131</v>
      </c>
      <c r="B13" s="158"/>
      <c r="C13" s="158"/>
      <c r="D13" s="158"/>
      <c r="E13" s="158"/>
      <c r="F13" s="158"/>
      <c r="G13" s="158"/>
      <c r="H13" s="158"/>
    </row>
    <row r="14" spans="1:18" ht="15" customHeight="1" x14ac:dyDescent="0.3">
      <c r="A14" s="158"/>
      <c r="B14" s="158"/>
      <c r="C14" s="158"/>
      <c r="D14" s="158"/>
      <c r="E14" s="158"/>
      <c r="F14" s="158"/>
      <c r="G14" s="158"/>
      <c r="H14" s="158"/>
    </row>
    <row r="15" spans="1:18" ht="15" customHeight="1" x14ac:dyDescent="0.3">
      <c r="A15" s="158"/>
      <c r="B15" s="158"/>
      <c r="C15" s="158"/>
      <c r="D15" s="158"/>
      <c r="E15" s="158"/>
      <c r="F15" s="158"/>
      <c r="G15" s="158"/>
      <c r="H15" s="158"/>
    </row>
    <row r="16" spans="1:18" ht="15" customHeight="1" x14ac:dyDescent="0.3">
      <c r="A16" s="158"/>
      <c r="B16" s="158"/>
      <c r="C16" s="158"/>
      <c r="D16" s="158"/>
      <c r="E16" s="158"/>
      <c r="F16" s="158"/>
      <c r="G16" s="158"/>
      <c r="H16" s="158"/>
    </row>
    <row r="17" spans="1:8" ht="15" customHeight="1" x14ac:dyDescent="0.3">
      <c r="A17" s="158"/>
      <c r="B17" s="158"/>
      <c r="C17" s="158"/>
      <c r="D17" s="158"/>
      <c r="E17" s="158"/>
      <c r="F17" s="158"/>
      <c r="G17" s="158"/>
      <c r="H17" s="158"/>
    </row>
    <row r="18" spans="1:8" ht="15" customHeight="1" x14ac:dyDescent="0.3">
      <c r="A18" s="10"/>
      <c r="B18" s="10"/>
      <c r="C18" s="10"/>
      <c r="D18" s="10"/>
      <c r="E18" s="10"/>
      <c r="F18" s="10"/>
      <c r="G18" s="10"/>
      <c r="H18" s="10"/>
    </row>
  </sheetData>
  <mergeCells count="5">
    <mergeCell ref="A12:D12"/>
    <mergeCell ref="A13:H14"/>
    <mergeCell ref="A15:H17"/>
    <mergeCell ref="A11:H11"/>
    <mergeCell ref="A3:Q3"/>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492"/>
  <sheetViews>
    <sheetView showGridLines="0" zoomScaleNormal="100" workbookViewId="0">
      <selection activeCell="A4" sqref="A4:H4"/>
    </sheetView>
  </sheetViews>
  <sheetFormatPr defaultColWidth="9.109375" defaultRowHeight="15" customHeight="1" x14ac:dyDescent="0.3"/>
  <cols>
    <col min="1" max="1" width="15" style="11" customWidth="1"/>
    <col min="2" max="2" width="10.6640625" style="11" bestFit="1" customWidth="1"/>
    <col min="3" max="6" width="8.33203125" style="11" bestFit="1" customWidth="1"/>
    <col min="7" max="7" width="7" style="11" bestFit="1" customWidth="1"/>
    <col min="8" max="8" width="8.33203125" style="11" bestFit="1" customWidth="1"/>
    <col min="9" max="9" width="15.44140625" style="11" customWidth="1"/>
    <col min="10" max="11" width="9.109375" style="11"/>
    <col min="12" max="12" width="10.6640625" style="11" bestFit="1" customWidth="1"/>
    <col min="13" max="16" width="7.33203125" style="11" bestFit="1" customWidth="1"/>
    <col min="17" max="17" width="6.109375" style="11" bestFit="1" customWidth="1"/>
    <col min="18" max="18" width="7.44140625" style="11" bestFit="1" customWidth="1"/>
    <col min="19" max="16384" width="9.109375" style="11"/>
  </cols>
  <sheetData>
    <row r="3" spans="1:8" ht="15" customHeight="1" x14ac:dyDescent="0.3">
      <c r="A3" s="162" t="s">
        <v>97</v>
      </c>
      <c r="B3" s="162"/>
      <c r="C3" s="162"/>
      <c r="D3" s="162"/>
      <c r="E3" s="162"/>
      <c r="F3" s="162"/>
      <c r="G3" s="162"/>
      <c r="H3" s="162"/>
    </row>
    <row r="4" spans="1:8" ht="15" customHeight="1" x14ac:dyDescent="0.3">
      <c r="A4" s="162" t="s">
        <v>185</v>
      </c>
      <c r="B4" s="162"/>
      <c r="C4" s="162"/>
      <c r="D4" s="162"/>
      <c r="E4" s="162"/>
      <c r="F4" s="162"/>
      <c r="G4" s="162"/>
      <c r="H4" s="162"/>
    </row>
    <row r="5" spans="1:8" ht="15" customHeight="1" x14ac:dyDescent="0.3">
      <c r="A5" s="94" t="s">
        <v>125</v>
      </c>
      <c r="B5" s="46"/>
      <c r="C5" s="46" t="s">
        <v>62</v>
      </c>
      <c r="D5" s="46" t="s">
        <v>63</v>
      </c>
      <c r="E5" s="46" t="s">
        <v>64</v>
      </c>
      <c r="F5" s="46" t="s">
        <v>65</v>
      </c>
      <c r="G5" s="46" t="s">
        <v>0</v>
      </c>
      <c r="H5" s="46" t="s">
        <v>1</v>
      </c>
    </row>
    <row r="6" spans="1:8" ht="15" customHeight="1" x14ac:dyDescent="0.3">
      <c r="A6" s="163" t="s">
        <v>5</v>
      </c>
      <c r="B6" s="16" t="s">
        <v>2</v>
      </c>
      <c r="C6" s="74">
        <v>11</v>
      </c>
      <c r="D6" s="74">
        <v>16</v>
      </c>
      <c r="E6" s="74">
        <v>17</v>
      </c>
      <c r="F6" s="74">
        <v>27</v>
      </c>
      <c r="G6" s="74">
        <v>1</v>
      </c>
      <c r="H6" s="75">
        <f>SUM(C6:G6)</f>
        <v>72</v>
      </c>
    </row>
    <row r="7" spans="1:8" ht="15" customHeight="1" x14ac:dyDescent="0.3">
      <c r="A7" s="163"/>
      <c r="B7" s="16" t="s">
        <v>3</v>
      </c>
      <c r="C7" s="74">
        <v>2101</v>
      </c>
      <c r="D7" s="74">
        <v>1716</v>
      </c>
      <c r="E7" s="74">
        <v>1050</v>
      </c>
      <c r="F7" s="74">
        <v>999</v>
      </c>
      <c r="G7" s="74">
        <v>16</v>
      </c>
      <c r="H7" s="75">
        <f t="shared" ref="H7:H29" si="0">SUM(C7:G7)</f>
        <v>5882</v>
      </c>
    </row>
    <row r="8" spans="1:8" ht="15" customHeight="1" x14ac:dyDescent="0.3">
      <c r="A8" s="163"/>
      <c r="B8" s="16" t="s">
        <v>4</v>
      </c>
      <c r="C8" s="74">
        <v>4148</v>
      </c>
      <c r="D8" s="74">
        <v>3748</v>
      </c>
      <c r="E8" s="74">
        <v>2364</v>
      </c>
      <c r="F8" s="74">
        <v>1899</v>
      </c>
      <c r="G8" s="74">
        <v>32</v>
      </c>
      <c r="H8" s="75">
        <f t="shared" si="0"/>
        <v>12191</v>
      </c>
    </row>
    <row r="9" spans="1:8" ht="15" customHeight="1" x14ac:dyDescent="0.3">
      <c r="A9" s="164" t="s">
        <v>10</v>
      </c>
      <c r="B9" s="11" t="s">
        <v>2</v>
      </c>
      <c r="C9" s="60">
        <v>5</v>
      </c>
      <c r="D9" s="60">
        <v>5</v>
      </c>
      <c r="E9" s="60">
        <v>6</v>
      </c>
      <c r="F9" s="60">
        <v>11</v>
      </c>
      <c r="G9" s="60">
        <v>3</v>
      </c>
      <c r="H9" s="76">
        <f t="shared" si="0"/>
        <v>30</v>
      </c>
    </row>
    <row r="10" spans="1:8" ht="15" customHeight="1" x14ac:dyDescent="0.3">
      <c r="A10" s="164"/>
      <c r="B10" s="11" t="s">
        <v>3</v>
      </c>
      <c r="C10" s="60">
        <v>301</v>
      </c>
      <c r="D10" s="60">
        <v>191</v>
      </c>
      <c r="E10" s="60">
        <v>219</v>
      </c>
      <c r="F10" s="60">
        <v>421</v>
      </c>
      <c r="G10" s="60">
        <v>63</v>
      </c>
      <c r="H10" s="76">
        <f t="shared" si="0"/>
        <v>1195</v>
      </c>
    </row>
    <row r="11" spans="1:8" ht="15" customHeight="1" x14ac:dyDescent="0.3">
      <c r="A11" s="164"/>
      <c r="B11" s="11" t="s">
        <v>4</v>
      </c>
      <c r="C11" s="60">
        <v>585</v>
      </c>
      <c r="D11" s="60">
        <v>344</v>
      </c>
      <c r="E11" s="60">
        <v>405</v>
      </c>
      <c r="F11" s="60">
        <v>805</v>
      </c>
      <c r="G11" s="60">
        <v>118</v>
      </c>
      <c r="H11" s="76">
        <f t="shared" si="0"/>
        <v>2257</v>
      </c>
    </row>
    <row r="12" spans="1:8" ht="15" customHeight="1" x14ac:dyDescent="0.3">
      <c r="A12" s="163" t="s">
        <v>6</v>
      </c>
      <c r="B12" s="16" t="s">
        <v>2</v>
      </c>
      <c r="C12" s="74">
        <v>0</v>
      </c>
      <c r="D12" s="74">
        <v>2</v>
      </c>
      <c r="E12" s="74">
        <v>2</v>
      </c>
      <c r="F12" s="74">
        <v>8</v>
      </c>
      <c r="G12" s="74">
        <v>0</v>
      </c>
      <c r="H12" s="75">
        <f t="shared" si="0"/>
        <v>12</v>
      </c>
    </row>
    <row r="13" spans="1:8" ht="15" customHeight="1" x14ac:dyDescent="0.3">
      <c r="A13" s="163"/>
      <c r="B13" s="16" t="s">
        <v>3</v>
      </c>
      <c r="C13" s="74">
        <v>0</v>
      </c>
      <c r="D13" s="74">
        <v>336</v>
      </c>
      <c r="E13" s="74">
        <v>32</v>
      </c>
      <c r="F13" s="74">
        <v>219</v>
      </c>
      <c r="G13" s="74">
        <v>0</v>
      </c>
      <c r="H13" s="75">
        <f t="shared" si="0"/>
        <v>587</v>
      </c>
    </row>
    <row r="14" spans="1:8" ht="15" customHeight="1" x14ac:dyDescent="0.3">
      <c r="A14" s="163"/>
      <c r="B14" s="16" t="s">
        <v>4</v>
      </c>
      <c r="C14" s="74">
        <v>0</v>
      </c>
      <c r="D14" s="74">
        <v>662</v>
      </c>
      <c r="E14" s="74">
        <v>69</v>
      </c>
      <c r="F14" s="74">
        <v>404</v>
      </c>
      <c r="G14" s="74">
        <v>0</v>
      </c>
      <c r="H14" s="75">
        <f t="shared" si="0"/>
        <v>1135</v>
      </c>
    </row>
    <row r="15" spans="1:8" ht="15" customHeight="1" x14ac:dyDescent="0.3">
      <c r="A15" s="164" t="s">
        <v>9</v>
      </c>
      <c r="B15" s="11" t="s">
        <v>2</v>
      </c>
      <c r="C15" s="60">
        <v>0</v>
      </c>
      <c r="D15" s="60">
        <v>0</v>
      </c>
      <c r="E15" s="60">
        <v>0</v>
      </c>
      <c r="F15" s="60">
        <v>8</v>
      </c>
      <c r="G15" s="60">
        <v>1</v>
      </c>
      <c r="H15" s="76">
        <f t="shared" si="0"/>
        <v>9</v>
      </c>
    </row>
    <row r="16" spans="1:8" ht="15" customHeight="1" x14ac:dyDescent="0.3">
      <c r="A16" s="164"/>
      <c r="B16" s="11" t="s">
        <v>3</v>
      </c>
      <c r="C16" s="60">
        <v>0</v>
      </c>
      <c r="D16" s="60">
        <v>0</v>
      </c>
      <c r="E16" s="60">
        <v>0</v>
      </c>
      <c r="F16" s="60">
        <v>255</v>
      </c>
      <c r="G16" s="60">
        <v>21</v>
      </c>
      <c r="H16" s="76">
        <f t="shared" si="0"/>
        <v>276</v>
      </c>
    </row>
    <row r="17" spans="1:8" ht="15" customHeight="1" x14ac:dyDescent="0.3">
      <c r="A17" s="164"/>
      <c r="B17" s="11" t="s">
        <v>4</v>
      </c>
      <c r="C17" s="60">
        <v>0</v>
      </c>
      <c r="D17" s="60">
        <v>0</v>
      </c>
      <c r="E17" s="60">
        <v>0</v>
      </c>
      <c r="F17" s="60">
        <v>470</v>
      </c>
      <c r="G17" s="60">
        <v>42</v>
      </c>
      <c r="H17" s="76">
        <f t="shared" si="0"/>
        <v>512</v>
      </c>
    </row>
    <row r="18" spans="1:8" ht="15" customHeight="1" x14ac:dyDescent="0.3">
      <c r="A18" s="163" t="s">
        <v>12</v>
      </c>
      <c r="B18" s="16" t="s">
        <v>2</v>
      </c>
      <c r="C18" s="74">
        <v>34</v>
      </c>
      <c r="D18" s="74">
        <v>87</v>
      </c>
      <c r="E18" s="74">
        <v>73</v>
      </c>
      <c r="F18" s="74">
        <v>62</v>
      </c>
      <c r="G18" s="74">
        <v>50</v>
      </c>
      <c r="H18" s="75">
        <f t="shared" si="0"/>
        <v>306</v>
      </c>
    </row>
    <row r="19" spans="1:8" ht="15" customHeight="1" x14ac:dyDescent="0.3">
      <c r="A19" s="163"/>
      <c r="B19" s="16" t="s">
        <v>3</v>
      </c>
      <c r="C19" s="74">
        <v>5632</v>
      </c>
      <c r="D19" s="74">
        <v>6579</v>
      </c>
      <c r="E19" s="74">
        <v>3453</v>
      </c>
      <c r="F19" s="74">
        <v>2059</v>
      </c>
      <c r="G19" s="74">
        <v>1165</v>
      </c>
      <c r="H19" s="75">
        <f t="shared" si="0"/>
        <v>18888</v>
      </c>
    </row>
    <row r="20" spans="1:8" ht="15" customHeight="1" x14ac:dyDescent="0.3">
      <c r="A20" s="163"/>
      <c r="B20" s="16" t="s">
        <v>4</v>
      </c>
      <c r="C20" s="74">
        <v>10841</v>
      </c>
      <c r="D20" s="74">
        <v>12517</v>
      </c>
      <c r="E20" s="74">
        <v>6336</v>
      </c>
      <c r="F20" s="74">
        <v>3717</v>
      </c>
      <c r="G20" s="74">
        <v>2810</v>
      </c>
      <c r="H20" s="75">
        <f t="shared" si="0"/>
        <v>36221</v>
      </c>
    </row>
    <row r="21" spans="1:8" ht="15" customHeight="1" x14ac:dyDescent="0.3">
      <c r="A21" s="165" t="s">
        <v>8</v>
      </c>
      <c r="B21" s="11" t="s">
        <v>2</v>
      </c>
      <c r="C21" s="60">
        <v>7</v>
      </c>
      <c r="D21" s="60">
        <v>20</v>
      </c>
      <c r="E21" s="60">
        <v>57</v>
      </c>
      <c r="F21" s="60">
        <v>67</v>
      </c>
      <c r="G21" s="60">
        <v>40</v>
      </c>
      <c r="H21" s="76">
        <f t="shared" si="0"/>
        <v>191</v>
      </c>
    </row>
    <row r="22" spans="1:8" ht="15" customHeight="1" x14ac:dyDescent="0.3">
      <c r="A22" s="165"/>
      <c r="B22" s="11" t="s">
        <v>3</v>
      </c>
      <c r="C22" s="60">
        <v>287</v>
      </c>
      <c r="D22" s="60">
        <v>485</v>
      </c>
      <c r="E22" s="60">
        <v>1457</v>
      </c>
      <c r="F22" s="60">
        <v>1341</v>
      </c>
      <c r="G22" s="60">
        <v>583</v>
      </c>
      <c r="H22" s="76">
        <f t="shared" si="0"/>
        <v>4153</v>
      </c>
    </row>
    <row r="23" spans="1:8" ht="15" customHeight="1" x14ac:dyDescent="0.3">
      <c r="A23" s="165"/>
      <c r="B23" s="11" t="s">
        <v>4</v>
      </c>
      <c r="C23" s="60">
        <v>593</v>
      </c>
      <c r="D23" s="60">
        <v>972</v>
      </c>
      <c r="E23" s="60">
        <v>2817</v>
      </c>
      <c r="F23" s="60">
        <v>2564</v>
      </c>
      <c r="G23" s="60">
        <v>1141</v>
      </c>
      <c r="H23" s="76">
        <f t="shared" si="0"/>
        <v>8087</v>
      </c>
    </row>
    <row r="24" spans="1:8" ht="15" customHeight="1" x14ac:dyDescent="0.3">
      <c r="A24" s="163" t="s">
        <v>11</v>
      </c>
      <c r="B24" s="16" t="s">
        <v>2</v>
      </c>
      <c r="C24" s="74">
        <v>5</v>
      </c>
      <c r="D24" s="74">
        <v>15</v>
      </c>
      <c r="E24" s="74">
        <v>11</v>
      </c>
      <c r="F24" s="74">
        <v>13</v>
      </c>
      <c r="G24" s="74">
        <v>2</v>
      </c>
      <c r="H24" s="75">
        <f t="shared" si="0"/>
        <v>46</v>
      </c>
    </row>
    <row r="25" spans="1:8" ht="15" customHeight="1" x14ac:dyDescent="0.3">
      <c r="A25" s="163"/>
      <c r="B25" s="16" t="s">
        <v>3</v>
      </c>
      <c r="C25" s="74">
        <v>727</v>
      </c>
      <c r="D25" s="74">
        <v>1082</v>
      </c>
      <c r="E25" s="74">
        <v>554</v>
      </c>
      <c r="F25" s="74">
        <v>463</v>
      </c>
      <c r="G25" s="74">
        <v>44</v>
      </c>
      <c r="H25" s="75">
        <f t="shared" si="0"/>
        <v>2870</v>
      </c>
    </row>
    <row r="26" spans="1:8" ht="15" customHeight="1" x14ac:dyDescent="0.3">
      <c r="A26" s="163"/>
      <c r="B26" s="16" t="s">
        <v>4</v>
      </c>
      <c r="C26" s="74">
        <v>1524</v>
      </c>
      <c r="D26" s="74">
        <v>1974</v>
      </c>
      <c r="E26" s="74">
        <v>1003</v>
      </c>
      <c r="F26" s="74">
        <v>783</v>
      </c>
      <c r="G26" s="74">
        <v>88</v>
      </c>
      <c r="H26" s="75">
        <f t="shared" si="0"/>
        <v>5372</v>
      </c>
    </row>
    <row r="27" spans="1:8" ht="15" customHeight="1" x14ac:dyDescent="0.3">
      <c r="A27" s="160" t="s">
        <v>7</v>
      </c>
      <c r="B27" s="11" t="s">
        <v>2</v>
      </c>
      <c r="C27" s="77">
        <v>2</v>
      </c>
      <c r="D27" s="77">
        <v>6</v>
      </c>
      <c r="E27" s="77">
        <v>11</v>
      </c>
      <c r="F27" s="77">
        <v>21</v>
      </c>
      <c r="G27" s="77">
        <v>10</v>
      </c>
      <c r="H27" s="78">
        <f t="shared" si="0"/>
        <v>50</v>
      </c>
    </row>
    <row r="28" spans="1:8" ht="15" customHeight="1" x14ac:dyDescent="0.3">
      <c r="A28" s="160"/>
      <c r="B28" s="11" t="s">
        <v>3</v>
      </c>
      <c r="C28" s="77">
        <v>167</v>
      </c>
      <c r="D28" s="77">
        <v>343</v>
      </c>
      <c r="E28" s="77">
        <v>618</v>
      </c>
      <c r="F28" s="77">
        <v>760</v>
      </c>
      <c r="G28" s="77">
        <v>277</v>
      </c>
      <c r="H28" s="78">
        <f t="shared" si="0"/>
        <v>2165</v>
      </c>
    </row>
    <row r="29" spans="1:8" ht="15" customHeight="1" x14ac:dyDescent="0.3">
      <c r="A29" s="160"/>
      <c r="B29" s="11" t="s">
        <v>4</v>
      </c>
      <c r="C29" s="77">
        <v>305</v>
      </c>
      <c r="D29" s="77">
        <v>652</v>
      </c>
      <c r="E29" s="77">
        <v>1158</v>
      </c>
      <c r="F29" s="77">
        <v>1370</v>
      </c>
      <c r="G29" s="77">
        <v>514</v>
      </c>
      <c r="H29" s="78">
        <f t="shared" si="0"/>
        <v>3999</v>
      </c>
    </row>
    <row r="30" spans="1:8" ht="15" customHeight="1" x14ac:dyDescent="0.3">
      <c r="A30" s="161" t="s">
        <v>1</v>
      </c>
      <c r="B30" s="95" t="s">
        <v>2</v>
      </c>
      <c r="C30" s="96">
        <f>SUMIF($B$72:$B$95,$B$72,C6:G29)</f>
        <v>64</v>
      </c>
      <c r="D30" s="96">
        <f t="shared" ref="D30:D32" si="1">SUMIF($B$72:$B$95,$B$72,D6:H29)</f>
        <v>151</v>
      </c>
      <c r="E30" s="96">
        <f t="shared" ref="E30:E32" si="2">SUMIF($B$72:$B$95,$B$72,E6:I29)</f>
        <v>177</v>
      </c>
      <c r="F30" s="96">
        <f t="shared" ref="F30:F32" si="3">SUMIF($B$72:$B$95,$B$72,F6:J29)</f>
        <v>217</v>
      </c>
      <c r="G30" s="96">
        <f t="shared" ref="G30:G32" si="4">SUMIF($B$72:$B$95,$B$72,G6:K29)</f>
        <v>107</v>
      </c>
      <c r="H30" s="96">
        <f>SUM(C30:G30)</f>
        <v>716</v>
      </c>
    </row>
    <row r="31" spans="1:8" ht="15" customHeight="1" x14ac:dyDescent="0.3">
      <c r="A31" s="161"/>
      <c r="B31" s="95" t="s">
        <v>3</v>
      </c>
      <c r="C31" s="96">
        <f>SUMIF($B$72:$B$95,$B$72,C7:G30)</f>
        <v>9215</v>
      </c>
      <c r="D31" s="96">
        <f t="shared" si="1"/>
        <v>10732</v>
      </c>
      <c r="E31" s="96">
        <f t="shared" si="2"/>
        <v>7383</v>
      </c>
      <c r="F31" s="96">
        <f t="shared" si="3"/>
        <v>6517</v>
      </c>
      <c r="G31" s="96">
        <f t="shared" si="4"/>
        <v>2169</v>
      </c>
      <c r="H31" s="96">
        <f t="shared" ref="H31:H32" si="5">SUM(C31:G31)</f>
        <v>36016</v>
      </c>
    </row>
    <row r="32" spans="1:8" ht="15" customHeight="1" x14ac:dyDescent="0.3">
      <c r="A32" s="161"/>
      <c r="B32" s="95" t="s">
        <v>4</v>
      </c>
      <c r="C32" s="96">
        <f>SUMIF($B$72:$B$95,$B$72,C8:G31)</f>
        <v>17996</v>
      </c>
      <c r="D32" s="96">
        <f t="shared" si="1"/>
        <v>20869</v>
      </c>
      <c r="E32" s="96">
        <f t="shared" si="2"/>
        <v>14152</v>
      </c>
      <c r="F32" s="96">
        <f t="shared" si="3"/>
        <v>12012</v>
      </c>
      <c r="G32" s="96">
        <f t="shared" si="4"/>
        <v>4745</v>
      </c>
      <c r="H32" s="96">
        <f t="shared" si="5"/>
        <v>69774</v>
      </c>
    </row>
    <row r="33" spans="1:8" ht="15" customHeight="1" x14ac:dyDescent="0.3">
      <c r="A33" s="159" t="s">
        <v>134</v>
      </c>
      <c r="B33" s="159"/>
      <c r="C33" s="159"/>
      <c r="D33" s="159"/>
      <c r="E33" s="159"/>
      <c r="F33" s="7"/>
      <c r="G33" s="7"/>
      <c r="H33" s="7"/>
    </row>
    <row r="36" spans="1:8" ht="15" customHeight="1" x14ac:dyDescent="0.3">
      <c r="A36" s="162" t="s">
        <v>97</v>
      </c>
      <c r="B36" s="162"/>
      <c r="C36" s="162"/>
      <c r="D36" s="162"/>
      <c r="E36" s="162"/>
      <c r="F36" s="162"/>
      <c r="G36" s="162"/>
      <c r="H36" s="162"/>
    </row>
    <row r="37" spans="1:8" ht="15" customHeight="1" x14ac:dyDescent="0.3">
      <c r="A37" s="162" t="s">
        <v>171</v>
      </c>
      <c r="B37" s="162"/>
      <c r="C37" s="162"/>
      <c r="D37" s="162"/>
      <c r="E37" s="162"/>
      <c r="F37" s="162"/>
      <c r="G37" s="162"/>
      <c r="H37" s="162"/>
    </row>
    <row r="38" spans="1:8" ht="15" customHeight="1" x14ac:dyDescent="0.3">
      <c r="A38" s="94" t="s">
        <v>125</v>
      </c>
      <c r="B38" s="46"/>
      <c r="C38" s="46" t="s">
        <v>62</v>
      </c>
      <c r="D38" s="46" t="s">
        <v>63</v>
      </c>
      <c r="E38" s="46" t="s">
        <v>64</v>
      </c>
      <c r="F38" s="46" t="s">
        <v>65</v>
      </c>
      <c r="G38" s="46" t="s">
        <v>0</v>
      </c>
      <c r="H38" s="46" t="s">
        <v>1</v>
      </c>
    </row>
    <row r="39" spans="1:8" ht="15" customHeight="1" x14ac:dyDescent="0.3">
      <c r="A39" s="163" t="s">
        <v>5</v>
      </c>
      <c r="B39" s="16" t="s">
        <v>2</v>
      </c>
      <c r="C39" s="74">
        <v>11</v>
      </c>
      <c r="D39" s="74">
        <v>16</v>
      </c>
      <c r="E39" s="74">
        <v>18</v>
      </c>
      <c r="F39" s="74">
        <v>27</v>
      </c>
      <c r="G39" s="74">
        <v>2</v>
      </c>
      <c r="H39" s="75">
        <f>SUM(C39:G39)</f>
        <v>74</v>
      </c>
    </row>
    <row r="40" spans="1:8" ht="15" customHeight="1" x14ac:dyDescent="0.3">
      <c r="A40" s="163"/>
      <c r="B40" s="16" t="s">
        <v>3</v>
      </c>
      <c r="C40" s="74">
        <v>2101</v>
      </c>
      <c r="D40" s="74">
        <v>1716</v>
      </c>
      <c r="E40" s="74">
        <v>1070</v>
      </c>
      <c r="F40" s="74">
        <v>999</v>
      </c>
      <c r="G40" s="74">
        <v>36</v>
      </c>
      <c r="H40" s="75">
        <f t="shared" ref="H40:H62" si="6">SUM(C40:G40)</f>
        <v>5922</v>
      </c>
    </row>
    <row r="41" spans="1:8" ht="15" customHeight="1" x14ac:dyDescent="0.3">
      <c r="A41" s="163"/>
      <c r="B41" s="16" t="s">
        <v>4</v>
      </c>
      <c r="C41" s="74">
        <v>4149</v>
      </c>
      <c r="D41" s="74">
        <v>3748</v>
      </c>
      <c r="E41" s="74">
        <v>2402</v>
      </c>
      <c r="F41" s="74">
        <v>1899</v>
      </c>
      <c r="G41" s="74">
        <v>68</v>
      </c>
      <c r="H41" s="75">
        <f t="shared" si="6"/>
        <v>12266</v>
      </c>
    </row>
    <row r="42" spans="1:8" ht="15" customHeight="1" x14ac:dyDescent="0.3">
      <c r="A42" s="164" t="s">
        <v>10</v>
      </c>
      <c r="B42" s="11" t="s">
        <v>2</v>
      </c>
      <c r="C42" s="60">
        <v>4</v>
      </c>
      <c r="D42" s="60">
        <v>6</v>
      </c>
      <c r="E42" s="60">
        <v>5</v>
      </c>
      <c r="F42" s="60">
        <v>11</v>
      </c>
      <c r="G42" s="60">
        <v>3</v>
      </c>
      <c r="H42" s="76">
        <f t="shared" si="6"/>
        <v>29</v>
      </c>
    </row>
    <row r="43" spans="1:8" ht="15" customHeight="1" x14ac:dyDescent="0.3">
      <c r="A43" s="164"/>
      <c r="B43" s="11" t="s">
        <v>3</v>
      </c>
      <c r="C43" s="60">
        <v>262</v>
      </c>
      <c r="D43" s="60">
        <v>229</v>
      </c>
      <c r="E43" s="60">
        <v>197</v>
      </c>
      <c r="F43" s="60">
        <v>421</v>
      </c>
      <c r="G43" s="60">
        <v>63</v>
      </c>
      <c r="H43" s="76">
        <f t="shared" si="6"/>
        <v>1172</v>
      </c>
    </row>
    <row r="44" spans="1:8" ht="15" customHeight="1" x14ac:dyDescent="0.3">
      <c r="A44" s="164"/>
      <c r="B44" s="11" t="s">
        <v>4</v>
      </c>
      <c r="C44" s="60">
        <v>498</v>
      </c>
      <c r="D44" s="60">
        <v>427</v>
      </c>
      <c r="E44" s="60">
        <v>365</v>
      </c>
      <c r="F44" s="60">
        <v>805</v>
      </c>
      <c r="G44" s="60">
        <v>118</v>
      </c>
      <c r="H44" s="76">
        <f t="shared" si="6"/>
        <v>2213</v>
      </c>
    </row>
    <row r="45" spans="1:8" ht="15" customHeight="1" x14ac:dyDescent="0.3">
      <c r="A45" s="163" t="s">
        <v>6</v>
      </c>
      <c r="B45" s="16" t="s">
        <v>2</v>
      </c>
      <c r="C45" s="74">
        <v>0</v>
      </c>
      <c r="D45" s="74">
        <v>2</v>
      </c>
      <c r="E45" s="74">
        <v>2</v>
      </c>
      <c r="F45" s="74">
        <v>9</v>
      </c>
      <c r="G45" s="74">
        <v>0</v>
      </c>
      <c r="H45" s="75">
        <f t="shared" si="6"/>
        <v>13</v>
      </c>
    </row>
    <row r="46" spans="1:8" ht="15" customHeight="1" x14ac:dyDescent="0.3">
      <c r="A46" s="163"/>
      <c r="B46" s="16" t="s">
        <v>3</v>
      </c>
      <c r="C46" s="74">
        <v>0</v>
      </c>
      <c r="D46" s="74">
        <v>336</v>
      </c>
      <c r="E46" s="74">
        <v>32</v>
      </c>
      <c r="F46" s="74">
        <v>234</v>
      </c>
      <c r="G46" s="74">
        <v>0</v>
      </c>
      <c r="H46" s="75">
        <f t="shared" si="6"/>
        <v>602</v>
      </c>
    </row>
    <row r="47" spans="1:8" ht="15" customHeight="1" x14ac:dyDescent="0.3">
      <c r="A47" s="163"/>
      <c r="B47" s="16" t="s">
        <v>4</v>
      </c>
      <c r="C47" s="74">
        <v>0</v>
      </c>
      <c r="D47" s="74">
        <v>662</v>
      </c>
      <c r="E47" s="74">
        <v>69</v>
      </c>
      <c r="F47" s="74">
        <v>432</v>
      </c>
      <c r="G47" s="74">
        <v>0</v>
      </c>
      <c r="H47" s="75">
        <f t="shared" si="6"/>
        <v>1163</v>
      </c>
    </row>
    <row r="48" spans="1:8" ht="15" customHeight="1" x14ac:dyDescent="0.3">
      <c r="A48" s="164" t="s">
        <v>9</v>
      </c>
      <c r="B48" s="11" t="s">
        <v>2</v>
      </c>
      <c r="C48" s="60">
        <v>0</v>
      </c>
      <c r="D48" s="60">
        <v>0</v>
      </c>
      <c r="E48" s="60">
        <v>0</v>
      </c>
      <c r="F48" s="60">
        <v>7</v>
      </c>
      <c r="G48" s="60">
        <v>1</v>
      </c>
      <c r="H48" s="76">
        <f t="shared" si="6"/>
        <v>8</v>
      </c>
    </row>
    <row r="49" spans="1:8" ht="15" customHeight="1" x14ac:dyDescent="0.3">
      <c r="A49" s="164"/>
      <c r="B49" s="11" t="s">
        <v>3</v>
      </c>
      <c r="C49" s="60">
        <v>0</v>
      </c>
      <c r="D49" s="60">
        <v>0</v>
      </c>
      <c r="E49" s="60">
        <v>0</v>
      </c>
      <c r="F49" s="60">
        <v>225</v>
      </c>
      <c r="G49" s="60">
        <v>21</v>
      </c>
      <c r="H49" s="76">
        <f t="shared" si="6"/>
        <v>246</v>
      </c>
    </row>
    <row r="50" spans="1:8" ht="15" customHeight="1" x14ac:dyDescent="0.3">
      <c r="A50" s="164"/>
      <c r="B50" s="11" t="s">
        <v>4</v>
      </c>
      <c r="C50" s="60">
        <v>0</v>
      </c>
      <c r="D50" s="60">
        <v>0</v>
      </c>
      <c r="E50" s="60">
        <v>0</v>
      </c>
      <c r="F50" s="60">
        <v>417</v>
      </c>
      <c r="G50" s="60">
        <v>42</v>
      </c>
      <c r="H50" s="76">
        <f t="shared" si="6"/>
        <v>459</v>
      </c>
    </row>
    <row r="51" spans="1:8" ht="15" customHeight="1" x14ac:dyDescent="0.3">
      <c r="A51" s="163" t="s">
        <v>12</v>
      </c>
      <c r="B51" s="16" t="s">
        <v>2</v>
      </c>
      <c r="C51" s="74">
        <v>34</v>
      </c>
      <c r="D51" s="74">
        <v>84</v>
      </c>
      <c r="E51" s="74">
        <v>74</v>
      </c>
      <c r="F51" s="74">
        <v>64</v>
      </c>
      <c r="G51" s="74">
        <v>51</v>
      </c>
      <c r="H51" s="75">
        <f t="shared" si="6"/>
        <v>307</v>
      </c>
    </row>
    <row r="52" spans="1:8" ht="15" customHeight="1" x14ac:dyDescent="0.3">
      <c r="A52" s="163"/>
      <c r="B52" s="16" t="s">
        <v>3</v>
      </c>
      <c r="C52" s="74">
        <v>5443</v>
      </c>
      <c r="D52" s="74">
        <v>6502</v>
      </c>
      <c r="E52" s="74">
        <v>3407</v>
      </c>
      <c r="F52" s="74">
        <v>2111</v>
      </c>
      <c r="G52" s="74">
        <v>1215</v>
      </c>
      <c r="H52" s="75">
        <f t="shared" si="6"/>
        <v>18678</v>
      </c>
    </row>
    <row r="53" spans="1:8" ht="15" customHeight="1" x14ac:dyDescent="0.3">
      <c r="A53" s="163"/>
      <c r="B53" s="16" t="s">
        <v>4</v>
      </c>
      <c r="C53" s="74">
        <v>10478</v>
      </c>
      <c r="D53" s="74">
        <v>12245</v>
      </c>
      <c r="E53" s="74">
        <v>6288</v>
      </c>
      <c r="F53" s="74">
        <v>3796</v>
      </c>
      <c r="G53" s="74">
        <v>2896</v>
      </c>
      <c r="H53" s="75">
        <f t="shared" si="6"/>
        <v>35703</v>
      </c>
    </row>
    <row r="54" spans="1:8" ht="15" customHeight="1" x14ac:dyDescent="0.3">
      <c r="A54" s="165" t="s">
        <v>8</v>
      </c>
      <c r="B54" s="11" t="s">
        <v>2</v>
      </c>
      <c r="C54" s="60">
        <v>6</v>
      </c>
      <c r="D54" s="60">
        <v>21</v>
      </c>
      <c r="E54" s="60">
        <v>58</v>
      </c>
      <c r="F54" s="60">
        <v>68</v>
      </c>
      <c r="G54" s="60">
        <v>38</v>
      </c>
      <c r="H54" s="76">
        <f t="shared" si="6"/>
        <v>191</v>
      </c>
    </row>
    <row r="55" spans="1:8" ht="15" customHeight="1" x14ac:dyDescent="0.3">
      <c r="A55" s="165"/>
      <c r="B55" s="11" t="s">
        <v>3</v>
      </c>
      <c r="C55" s="60">
        <v>277</v>
      </c>
      <c r="D55" s="60">
        <v>559</v>
      </c>
      <c r="E55" s="60">
        <v>1367</v>
      </c>
      <c r="F55" s="60">
        <v>1398</v>
      </c>
      <c r="G55" s="60">
        <v>539</v>
      </c>
      <c r="H55" s="76">
        <f t="shared" si="6"/>
        <v>4140</v>
      </c>
    </row>
    <row r="56" spans="1:8" ht="15" customHeight="1" x14ac:dyDescent="0.3">
      <c r="A56" s="165"/>
      <c r="B56" s="11" t="s">
        <v>4</v>
      </c>
      <c r="C56" s="60">
        <v>569</v>
      </c>
      <c r="D56" s="60">
        <v>1108</v>
      </c>
      <c r="E56" s="60">
        <v>2652</v>
      </c>
      <c r="F56" s="60">
        <v>2659</v>
      </c>
      <c r="G56" s="60">
        <v>1063</v>
      </c>
      <c r="H56" s="76">
        <f t="shared" si="6"/>
        <v>8051</v>
      </c>
    </row>
    <row r="57" spans="1:8" ht="15" customHeight="1" x14ac:dyDescent="0.3">
      <c r="A57" s="163" t="s">
        <v>11</v>
      </c>
      <c r="B57" s="16" t="s">
        <v>2</v>
      </c>
      <c r="C57" s="74">
        <v>5</v>
      </c>
      <c r="D57" s="74">
        <v>15</v>
      </c>
      <c r="E57" s="74">
        <v>10</v>
      </c>
      <c r="F57" s="74">
        <v>12</v>
      </c>
      <c r="G57" s="74">
        <v>2</v>
      </c>
      <c r="H57" s="75">
        <f t="shared" si="6"/>
        <v>44</v>
      </c>
    </row>
    <row r="58" spans="1:8" ht="15" customHeight="1" x14ac:dyDescent="0.3">
      <c r="A58" s="163"/>
      <c r="B58" s="16" t="s">
        <v>3</v>
      </c>
      <c r="C58" s="74">
        <v>727</v>
      </c>
      <c r="D58" s="74">
        <v>1082</v>
      </c>
      <c r="E58" s="74">
        <v>525</v>
      </c>
      <c r="F58" s="74">
        <v>431</v>
      </c>
      <c r="G58" s="74">
        <v>44</v>
      </c>
      <c r="H58" s="75">
        <f t="shared" si="6"/>
        <v>2809</v>
      </c>
    </row>
    <row r="59" spans="1:8" ht="15" customHeight="1" x14ac:dyDescent="0.3">
      <c r="A59" s="163"/>
      <c r="B59" s="16" t="s">
        <v>4</v>
      </c>
      <c r="C59" s="74">
        <v>1524</v>
      </c>
      <c r="D59" s="74">
        <v>1972</v>
      </c>
      <c r="E59" s="74">
        <v>947</v>
      </c>
      <c r="F59" s="74">
        <v>729</v>
      </c>
      <c r="G59" s="74">
        <v>88</v>
      </c>
      <c r="H59" s="75">
        <f t="shared" si="6"/>
        <v>5260</v>
      </c>
    </row>
    <row r="60" spans="1:8" ht="15" customHeight="1" x14ac:dyDescent="0.3">
      <c r="A60" s="160" t="s">
        <v>7</v>
      </c>
      <c r="B60" s="11" t="s">
        <v>2</v>
      </c>
      <c r="C60" s="77">
        <v>1</v>
      </c>
      <c r="D60" s="77">
        <v>5</v>
      </c>
      <c r="E60" s="77">
        <v>12</v>
      </c>
      <c r="F60" s="77">
        <v>21</v>
      </c>
      <c r="G60" s="77">
        <v>10</v>
      </c>
      <c r="H60" s="78">
        <f t="shared" si="6"/>
        <v>49</v>
      </c>
    </row>
    <row r="61" spans="1:8" ht="15" customHeight="1" x14ac:dyDescent="0.3">
      <c r="A61" s="160"/>
      <c r="B61" s="11" t="s">
        <v>3</v>
      </c>
      <c r="C61" s="77">
        <v>77</v>
      </c>
      <c r="D61" s="77">
        <v>322</v>
      </c>
      <c r="E61" s="77">
        <v>639</v>
      </c>
      <c r="F61" s="77">
        <v>760</v>
      </c>
      <c r="G61" s="77">
        <v>277</v>
      </c>
      <c r="H61" s="78">
        <f t="shared" si="6"/>
        <v>2075</v>
      </c>
    </row>
    <row r="62" spans="1:8" ht="15" customHeight="1" x14ac:dyDescent="0.3">
      <c r="A62" s="160"/>
      <c r="B62" s="11" t="s">
        <v>4</v>
      </c>
      <c r="C62" s="77">
        <v>125</v>
      </c>
      <c r="D62" s="77">
        <v>610</v>
      </c>
      <c r="E62" s="77">
        <v>1200</v>
      </c>
      <c r="F62" s="77">
        <v>1370</v>
      </c>
      <c r="G62" s="77">
        <v>514</v>
      </c>
      <c r="H62" s="78">
        <f t="shared" si="6"/>
        <v>3819</v>
      </c>
    </row>
    <row r="63" spans="1:8" ht="15" customHeight="1" x14ac:dyDescent="0.3">
      <c r="A63" s="161" t="s">
        <v>1</v>
      </c>
      <c r="B63" s="95" t="s">
        <v>2</v>
      </c>
      <c r="C63" s="96">
        <f>SUMIF($B$72:$B$95,$B$72,C39:G62)</f>
        <v>61</v>
      </c>
      <c r="D63" s="96">
        <f t="shared" ref="D63:D65" si="7">SUMIF($B$72:$B$95,$B$72,D39:H62)</f>
        <v>149</v>
      </c>
      <c r="E63" s="96">
        <f t="shared" ref="E63:E65" si="8">SUMIF($B$72:$B$95,$B$72,E39:I62)</f>
        <v>179</v>
      </c>
      <c r="F63" s="96">
        <f t="shared" ref="F63:F65" si="9">SUMIF($B$72:$B$95,$B$72,F39:J62)</f>
        <v>219</v>
      </c>
      <c r="G63" s="96">
        <f t="shared" ref="G63:G65" si="10">SUMIF($B$72:$B$95,$B$72,G39:K62)</f>
        <v>107</v>
      </c>
      <c r="H63" s="96">
        <f>SUM(C63:G63)</f>
        <v>715</v>
      </c>
    </row>
    <row r="64" spans="1:8" ht="15" customHeight="1" x14ac:dyDescent="0.3">
      <c r="A64" s="161"/>
      <c r="B64" s="95" t="s">
        <v>3</v>
      </c>
      <c r="C64" s="96">
        <f>SUMIF($B$72:$B$95,$B$72,C40:G63)</f>
        <v>8887</v>
      </c>
      <c r="D64" s="96">
        <f t="shared" si="7"/>
        <v>10746</v>
      </c>
      <c r="E64" s="96">
        <f t="shared" si="8"/>
        <v>7237</v>
      </c>
      <c r="F64" s="96">
        <f t="shared" si="9"/>
        <v>6579</v>
      </c>
      <c r="G64" s="96">
        <f t="shared" si="10"/>
        <v>2195</v>
      </c>
      <c r="H64" s="96">
        <f t="shared" ref="H64:H65" si="11">SUM(C64:G64)</f>
        <v>35644</v>
      </c>
    </row>
    <row r="65" spans="1:8" ht="15" customHeight="1" x14ac:dyDescent="0.3">
      <c r="A65" s="161"/>
      <c r="B65" s="95" t="s">
        <v>4</v>
      </c>
      <c r="C65" s="96">
        <f>SUMIF($B$72:$B$95,$B$72,C41:G64)</f>
        <v>17343</v>
      </c>
      <c r="D65" s="96">
        <f t="shared" si="7"/>
        <v>20772</v>
      </c>
      <c r="E65" s="96">
        <f t="shared" si="8"/>
        <v>13923</v>
      </c>
      <c r="F65" s="96">
        <f t="shared" si="9"/>
        <v>12107</v>
      </c>
      <c r="G65" s="96">
        <f t="shared" si="10"/>
        <v>4789</v>
      </c>
      <c r="H65" s="96">
        <f t="shared" si="11"/>
        <v>68934</v>
      </c>
    </row>
    <row r="66" spans="1:8" ht="15" customHeight="1" x14ac:dyDescent="0.3">
      <c r="A66" s="159" t="s">
        <v>134</v>
      </c>
      <c r="B66" s="159"/>
      <c r="C66" s="159"/>
      <c r="D66" s="159"/>
      <c r="E66" s="159"/>
      <c r="F66" s="7"/>
      <c r="G66" s="7"/>
      <c r="H66" s="7"/>
    </row>
    <row r="69" spans="1:8" ht="15" customHeight="1" x14ac:dyDescent="0.3">
      <c r="A69" s="162" t="s">
        <v>97</v>
      </c>
      <c r="B69" s="162"/>
      <c r="C69" s="162"/>
      <c r="D69" s="162"/>
      <c r="E69" s="162"/>
      <c r="F69" s="162"/>
      <c r="G69" s="162"/>
      <c r="H69" s="162"/>
    </row>
    <row r="70" spans="1:8" ht="15" customHeight="1" x14ac:dyDescent="0.3">
      <c r="A70" s="162" t="s">
        <v>151</v>
      </c>
      <c r="B70" s="162"/>
      <c r="C70" s="162"/>
      <c r="D70" s="162"/>
      <c r="E70" s="162"/>
      <c r="F70" s="162"/>
      <c r="G70" s="162"/>
      <c r="H70" s="162"/>
    </row>
    <row r="71" spans="1:8" ht="15" customHeight="1" x14ac:dyDescent="0.3">
      <c r="A71" s="94" t="s">
        <v>125</v>
      </c>
      <c r="B71" s="46"/>
      <c r="C71" s="46" t="s">
        <v>62</v>
      </c>
      <c r="D71" s="46" t="s">
        <v>63</v>
      </c>
      <c r="E71" s="46" t="s">
        <v>64</v>
      </c>
      <c r="F71" s="46" t="s">
        <v>65</v>
      </c>
      <c r="G71" s="46" t="s">
        <v>0</v>
      </c>
      <c r="H71" s="46" t="s">
        <v>1</v>
      </c>
    </row>
    <row r="72" spans="1:8" ht="15" customHeight="1" x14ac:dyDescent="0.3">
      <c r="A72" s="163" t="s">
        <v>5</v>
      </c>
      <c r="B72" s="16" t="s">
        <v>2</v>
      </c>
      <c r="C72" s="74">
        <v>10</v>
      </c>
      <c r="D72" s="74">
        <v>17</v>
      </c>
      <c r="E72" s="74">
        <v>18</v>
      </c>
      <c r="F72" s="74">
        <v>28</v>
      </c>
      <c r="G72" s="74">
        <v>2</v>
      </c>
      <c r="H72" s="75">
        <f>SUM(C72:G72)</f>
        <v>75</v>
      </c>
    </row>
    <row r="73" spans="1:8" ht="15" customHeight="1" x14ac:dyDescent="0.3">
      <c r="A73" s="163"/>
      <c r="B73" s="16" t="s">
        <v>3</v>
      </c>
      <c r="C73" s="74">
        <v>2067</v>
      </c>
      <c r="D73" s="74">
        <v>1746</v>
      </c>
      <c r="E73" s="74">
        <v>1070</v>
      </c>
      <c r="F73" s="74">
        <v>1020</v>
      </c>
      <c r="G73" s="74">
        <v>36</v>
      </c>
      <c r="H73" s="75">
        <f t="shared" ref="H73:H95" si="12">SUM(C73:G73)</f>
        <v>5939</v>
      </c>
    </row>
    <row r="74" spans="1:8" ht="15" customHeight="1" x14ac:dyDescent="0.3">
      <c r="A74" s="163"/>
      <c r="B74" s="16" t="s">
        <v>4</v>
      </c>
      <c r="C74" s="74">
        <v>4079</v>
      </c>
      <c r="D74" s="74">
        <v>3805</v>
      </c>
      <c r="E74" s="74">
        <v>2402</v>
      </c>
      <c r="F74" s="74">
        <v>1954</v>
      </c>
      <c r="G74" s="74">
        <v>68</v>
      </c>
      <c r="H74" s="75">
        <f t="shared" si="12"/>
        <v>12308</v>
      </c>
    </row>
    <row r="75" spans="1:8" ht="15" customHeight="1" x14ac:dyDescent="0.3">
      <c r="A75" s="164" t="s">
        <v>10</v>
      </c>
      <c r="B75" s="11" t="s">
        <v>2</v>
      </c>
      <c r="C75" s="60">
        <v>4</v>
      </c>
      <c r="D75" s="60">
        <v>6</v>
      </c>
      <c r="E75" s="60">
        <v>5</v>
      </c>
      <c r="F75" s="60">
        <v>11</v>
      </c>
      <c r="G75" s="60">
        <v>3</v>
      </c>
      <c r="H75" s="76">
        <f t="shared" si="12"/>
        <v>29</v>
      </c>
    </row>
    <row r="76" spans="1:8" ht="15" customHeight="1" x14ac:dyDescent="0.3">
      <c r="A76" s="164"/>
      <c r="B76" s="11" t="s">
        <v>3</v>
      </c>
      <c r="C76" s="60">
        <v>262</v>
      </c>
      <c r="D76" s="60">
        <v>229</v>
      </c>
      <c r="E76" s="60">
        <v>197</v>
      </c>
      <c r="F76" s="60">
        <v>421</v>
      </c>
      <c r="G76" s="60">
        <v>63</v>
      </c>
      <c r="H76" s="76">
        <f t="shared" si="12"/>
        <v>1172</v>
      </c>
    </row>
    <row r="77" spans="1:8" ht="15" customHeight="1" x14ac:dyDescent="0.3">
      <c r="A77" s="164"/>
      <c r="B77" s="11" t="s">
        <v>4</v>
      </c>
      <c r="C77" s="60">
        <v>498</v>
      </c>
      <c r="D77" s="60">
        <v>427</v>
      </c>
      <c r="E77" s="60">
        <v>365</v>
      </c>
      <c r="F77" s="60">
        <v>805</v>
      </c>
      <c r="G77" s="60">
        <v>118</v>
      </c>
      <c r="H77" s="76">
        <f t="shared" si="12"/>
        <v>2213</v>
      </c>
    </row>
    <row r="78" spans="1:8" ht="15" customHeight="1" x14ac:dyDescent="0.3">
      <c r="A78" s="163" t="s">
        <v>6</v>
      </c>
      <c r="B78" s="16" t="s">
        <v>2</v>
      </c>
      <c r="C78" s="74">
        <v>0</v>
      </c>
      <c r="D78" s="74">
        <v>2</v>
      </c>
      <c r="E78" s="74">
        <v>2</v>
      </c>
      <c r="F78" s="74">
        <v>9</v>
      </c>
      <c r="G78" s="74">
        <v>0</v>
      </c>
      <c r="H78" s="75">
        <f t="shared" si="12"/>
        <v>13</v>
      </c>
    </row>
    <row r="79" spans="1:8" ht="15" customHeight="1" x14ac:dyDescent="0.3">
      <c r="A79" s="163"/>
      <c r="B79" s="16" t="s">
        <v>3</v>
      </c>
      <c r="C79" s="74">
        <v>0</v>
      </c>
      <c r="D79" s="74">
        <v>336</v>
      </c>
      <c r="E79" s="74">
        <v>28</v>
      </c>
      <c r="F79" s="74">
        <v>234</v>
      </c>
      <c r="G79" s="74">
        <v>0</v>
      </c>
      <c r="H79" s="75">
        <f t="shared" si="12"/>
        <v>598</v>
      </c>
    </row>
    <row r="80" spans="1:8" ht="15" customHeight="1" x14ac:dyDescent="0.3">
      <c r="A80" s="163"/>
      <c r="B80" s="16" t="s">
        <v>4</v>
      </c>
      <c r="C80" s="74">
        <v>0</v>
      </c>
      <c r="D80" s="74">
        <v>662</v>
      </c>
      <c r="E80" s="74">
        <v>59</v>
      </c>
      <c r="F80" s="74">
        <v>432</v>
      </c>
      <c r="G80" s="74">
        <v>0</v>
      </c>
      <c r="H80" s="75">
        <f t="shared" si="12"/>
        <v>1153</v>
      </c>
    </row>
    <row r="81" spans="1:8" ht="15" customHeight="1" x14ac:dyDescent="0.3">
      <c r="A81" s="164" t="s">
        <v>9</v>
      </c>
      <c r="B81" s="11" t="s">
        <v>2</v>
      </c>
      <c r="C81" s="60">
        <v>0</v>
      </c>
      <c r="D81" s="60">
        <v>0</v>
      </c>
      <c r="E81" s="60">
        <v>0</v>
      </c>
      <c r="F81" s="60">
        <v>7</v>
      </c>
      <c r="G81" s="60">
        <v>1</v>
      </c>
      <c r="H81" s="76">
        <f t="shared" si="12"/>
        <v>8</v>
      </c>
    </row>
    <row r="82" spans="1:8" ht="15" customHeight="1" x14ac:dyDescent="0.3">
      <c r="A82" s="164"/>
      <c r="B82" s="11" t="s">
        <v>3</v>
      </c>
      <c r="C82" s="60">
        <v>0</v>
      </c>
      <c r="D82" s="60">
        <v>0</v>
      </c>
      <c r="E82" s="60">
        <v>0</v>
      </c>
      <c r="F82" s="60">
        <v>225</v>
      </c>
      <c r="G82" s="60">
        <v>21</v>
      </c>
      <c r="H82" s="76">
        <f t="shared" si="12"/>
        <v>246</v>
      </c>
    </row>
    <row r="83" spans="1:8" ht="15" customHeight="1" x14ac:dyDescent="0.3">
      <c r="A83" s="164"/>
      <c r="B83" s="11" t="s">
        <v>4</v>
      </c>
      <c r="C83" s="60">
        <v>0</v>
      </c>
      <c r="D83" s="60">
        <v>0</v>
      </c>
      <c r="E83" s="60">
        <v>0</v>
      </c>
      <c r="F83" s="60">
        <v>417</v>
      </c>
      <c r="G83" s="60">
        <v>42</v>
      </c>
      <c r="H83" s="76">
        <f t="shared" si="12"/>
        <v>459</v>
      </c>
    </row>
    <row r="84" spans="1:8" ht="15" customHeight="1" x14ac:dyDescent="0.3">
      <c r="A84" s="163" t="s">
        <v>12</v>
      </c>
      <c r="B84" s="16" t="s">
        <v>2</v>
      </c>
      <c r="C84" s="74">
        <v>32</v>
      </c>
      <c r="D84" s="74">
        <v>76</v>
      </c>
      <c r="E84" s="74">
        <v>70</v>
      </c>
      <c r="F84" s="74">
        <v>65</v>
      </c>
      <c r="G84" s="74">
        <v>52</v>
      </c>
      <c r="H84" s="75">
        <f t="shared" si="12"/>
        <v>295</v>
      </c>
    </row>
    <row r="85" spans="1:8" ht="15" customHeight="1" x14ac:dyDescent="0.3">
      <c r="A85" s="163"/>
      <c r="B85" s="16" t="s">
        <v>3</v>
      </c>
      <c r="C85" s="74">
        <v>5376</v>
      </c>
      <c r="D85" s="74">
        <v>6078</v>
      </c>
      <c r="E85" s="74">
        <v>3506</v>
      </c>
      <c r="F85" s="74">
        <v>2076</v>
      </c>
      <c r="G85" s="74">
        <v>1229</v>
      </c>
      <c r="H85" s="75">
        <f t="shared" si="12"/>
        <v>18265</v>
      </c>
    </row>
    <row r="86" spans="1:8" ht="15" customHeight="1" x14ac:dyDescent="0.3">
      <c r="A86" s="163"/>
      <c r="B86" s="16" t="s">
        <v>4</v>
      </c>
      <c r="C86" s="74">
        <v>10339</v>
      </c>
      <c r="D86" s="74">
        <v>11493</v>
      </c>
      <c r="E86" s="74">
        <v>6429</v>
      </c>
      <c r="F86" s="74">
        <v>3760</v>
      </c>
      <c r="G86" s="74">
        <v>2932</v>
      </c>
      <c r="H86" s="75">
        <f t="shared" si="12"/>
        <v>34953</v>
      </c>
    </row>
    <row r="87" spans="1:8" ht="15" customHeight="1" x14ac:dyDescent="0.3">
      <c r="A87" s="165" t="s">
        <v>8</v>
      </c>
      <c r="B87" s="11" t="s">
        <v>2</v>
      </c>
      <c r="C87" s="60">
        <v>6</v>
      </c>
      <c r="D87" s="60">
        <v>21</v>
      </c>
      <c r="E87" s="60">
        <v>56</v>
      </c>
      <c r="F87" s="60">
        <v>69</v>
      </c>
      <c r="G87" s="60">
        <v>38</v>
      </c>
      <c r="H87" s="76">
        <f t="shared" si="12"/>
        <v>190</v>
      </c>
    </row>
    <row r="88" spans="1:8" ht="15" customHeight="1" x14ac:dyDescent="0.3">
      <c r="A88" s="165"/>
      <c r="B88" s="11" t="s">
        <v>3</v>
      </c>
      <c r="C88" s="60">
        <v>276</v>
      </c>
      <c r="D88" s="60">
        <v>526</v>
      </c>
      <c r="E88" s="60">
        <v>1277</v>
      </c>
      <c r="F88" s="60">
        <v>1468</v>
      </c>
      <c r="G88" s="60">
        <v>554</v>
      </c>
      <c r="H88" s="76">
        <f t="shared" si="12"/>
        <v>4101</v>
      </c>
    </row>
    <row r="89" spans="1:8" ht="15" customHeight="1" x14ac:dyDescent="0.3">
      <c r="A89" s="165"/>
      <c r="B89" s="11" t="s">
        <v>4</v>
      </c>
      <c r="C89" s="60">
        <v>567</v>
      </c>
      <c r="D89" s="60">
        <v>1018</v>
      </c>
      <c r="E89" s="60">
        <v>2477</v>
      </c>
      <c r="F89" s="60">
        <v>2785</v>
      </c>
      <c r="G89" s="60">
        <v>1092</v>
      </c>
      <c r="H89" s="76">
        <f t="shared" si="12"/>
        <v>7939</v>
      </c>
    </row>
    <row r="90" spans="1:8" ht="15" customHeight="1" x14ac:dyDescent="0.3">
      <c r="A90" s="163" t="s">
        <v>11</v>
      </c>
      <c r="B90" s="16" t="s">
        <v>2</v>
      </c>
      <c r="C90" s="74">
        <v>4</v>
      </c>
      <c r="D90" s="74">
        <v>15</v>
      </c>
      <c r="E90" s="74">
        <v>9</v>
      </c>
      <c r="F90" s="74">
        <v>13</v>
      </c>
      <c r="G90" s="74">
        <v>2</v>
      </c>
      <c r="H90" s="75">
        <f t="shared" si="12"/>
        <v>43</v>
      </c>
    </row>
    <row r="91" spans="1:8" ht="15" customHeight="1" x14ac:dyDescent="0.3">
      <c r="A91" s="163"/>
      <c r="B91" s="16" t="s">
        <v>3</v>
      </c>
      <c r="C91" s="74">
        <v>607</v>
      </c>
      <c r="D91" s="74">
        <v>1085</v>
      </c>
      <c r="E91" s="74">
        <v>486</v>
      </c>
      <c r="F91" s="74">
        <v>470</v>
      </c>
      <c r="G91" s="74">
        <v>44</v>
      </c>
      <c r="H91" s="75">
        <f t="shared" si="12"/>
        <v>2692</v>
      </c>
    </row>
    <row r="92" spans="1:8" ht="15" customHeight="1" x14ac:dyDescent="0.3">
      <c r="A92" s="163"/>
      <c r="B92" s="16" t="s">
        <v>4</v>
      </c>
      <c r="C92" s="74">
        <v>1269</v>
      </c>
      <c r="D92" s="74">
        <v>2072</v>
      </c>
      <c r="E92" s="74">
        <v>875</v>
      </c>
      <c r="F92" s="74">
        <v>800</v>
      </c>
      <c r="G92" s="74">
        <v>88</v>
      </c>
      <c r="H92" s="75">
        <f t="shared" si="12"/>
        <v>5104</v>
      </c>
    </row>
    <row r="93" spans="1:8" ht="15" customHeight="1" x14ac:dyDescent="0.3">
      <c r="A93" s="160" t="s">
        <v>7</v>
      </c>
      <c r="B93" s="11" t="s">
        <v>2</v>
      </c>
      <c r="C93" s="77">
        <v>1</v>
      </c>
      <c r="D93" s="77">
        <v>3</v>
      </c>
      <c r="E93" s="77">
        <v>9</v>
      </c>
      <c r="F93" s="77">
        <v>22</v>
      </c>
      <c r="G93" s="77">
        <v>10</v>
      </c>
      <c r="H93" s="78">
        <f t="shared" si="12"/>
        <v>45</v>
      </c>
    </row>
    <row r="94" spans="1:8" ht="15" customHeight="1" x14ac:dyDescent="0.3">
      <c r="A94" s="160"/>
      <c r="B94" s="11" t="s">
        <v>3</v>
      </c>
      <c r="C94" s="77">
        <v>77</v>
      </c>
      <c r="D94" s="77">
        <v>136</v>
      </c>
      <c r="E94" s="77">
        <v>517</v>
      </c>
      <c r="F94" s="77">
        <v>807</v>
      </c>
      <c r="G94" s="77">
        <v>277</v>
      </c>
      <c r="H94" s="78">
        <f t="shared" si="12"/>
        <v>1814</v>
      </c>
    </row>
    <row r="95" spans="1:8" ht="15" customHeight="1" x14ac:dyDescent="0.3">
      <c r="A95" s="160"/>
      <c r="B95" s="11" t="s">
        <v>4</v>
      </c>
      <c r="C95" s="77">
        <v>125</v>
      </c>
      <c r="D95" s="77">
        <v>226</v>
      </c>
      <c r="E95" s="77">
        <v>949</v>
      </c>
      <c r="F95" s="77">
        <v>1455</v>
      </c>
      <c r="G95" s="77">
        <v>514</v>
      </c>
      <c r="H95" s="78">
        <f t="shared" si="12"/>
        <v>3269</v>
      </c>
    </row>
    <row r="96" spans="1:8" ht="15" customHeight="1" x14ac:dyDescent="0.3">
      <c r="A96" s="161" t="s">
        <v>1</v>
      </c>
      <c r="B96" s="95" t="s">
        <v>2</v>
      </c>
      <c r="C96" s="96">
        <f>SUMIF($B$72:$B$95,$B$72,C72:G95)</f>
        <v>57</v>
      </c>
      <c r="D96" s="96">
        <f t="shared" ref="D96:G96" si="13">SUMIF($B$72:$B$95,$B$72,D72:H95)</f>
        <v>140</v>
      </c>
      <c r="E96" s="96">
        <f t="shared" si="13"/>
        <v>169</v>
      </c>
      <c r="F96" s="96">
        <f t="shared" si="13"/>
        <v>224</v>
      </c>
      <c r="G96" s="96">
        <f t="shared" si="13"/>
        <v>108</v>
      </c>
      <c r="H96" s="96">
        <f>SUM(C96:G96)</f>
        <v>698</v>
      </c>
    </row>
    <row r="97" spans="1:8" ht="15" customHeight="1" x14ac:dyDescent="0.3">
      <c r="A97" s="161"/>
      <c r="B97" s="95" t="s">
        <v>3</v>
      </c>
      <c r="C97" s="96">
        <f>SUMIF($B$72:$B$95,$B$72,C73:G96)</f>
        <v>8665</v>
      </c>
      <c r="D97" s="96">
        <f t="shared" ref="D97:G97" si="14">SUMIF($B$72:$B$95,$B$72,D73:H96)</f>
        <v>10136</v>
      </c>
      <c r="E97" s="96">
        <f t="shared" si="14"/>
        <v>7081</v>
      </c>
      <c r="F97" s="96">
        <f t="shared" si="14"/>
        <v>6721</v>
      </c>
      <c r="G97" s="96">
        <f t="shared" si="14"/>
        <v>2224</v>
      </c>
      <c r="H97" s="96">
        <f t="shared" ref="H97:H98" si="15">SUM(C97:G97)</f>
        <v>34827</v>
      </c>
    </row>
    <row r="98" spans="1:8" ht="15" customHeight="1" x14ac:dyDescent="0.3">
      <c r="A98" s="161"/>
      <c r="B98" s="95" t="s">
        <v>4</v>
      </c>
      <c r="C98" s="96">
        <f>SUMIF($B$72:$B$95,$B$72,C74:G97)</f>
        <v>16877</v>
      </c>
      <c r="D98" s="96">
        <f t="shared" ref="D98:G98" si="16">SUMIF($B$72:$B$95,$B$72,D74:H97)</f>
        <v>19703</v>
      </c>
      <c r="E98" s="96">
        <f t="shared" si="16"/>
        <v>13556</v>
      </c>
      <c r="F98" s="96">
        <f t="shared" si="16"/>
        <v>12408</v>
      </c>
      <c r="G98" s="96">
        <f t="shared" si="16"/>
        <v>4854</v>
      </c>
      <c r="H98" s="96">
        <f t="shared" si="15"/>
        <v>67398</v>
      </c>
    </row>
    <row r="99" spans="1:8" ht="15" customHeight="1" x14ac:dyDescent="0.3">
      <c r="A99" s="159" t="s">
        <v>134</v>
      </c>
      <c r="B99" s="159"/>
      <c r="C99" s="159"/>
      <c r="D99" s="159"/>
      <c r="E99" s="159"/>
      <c r="F99" s="7"/>
      <c r="G99" s="7"/>
      <c r="H99" s="7"/>
    </row>
    <row r="102" spans="1:8" ht="15" customHeight="1" x14ac:dyDescent="0.3">
      <c r="A102" s="162" t="s">
        <v>97</v>
      </c>
      <c r="B102" s="162"/>
      <c r="C102" s="162"/>
      <c r="D102" s="162"/>
      <c r="E102" s="162"/>
      <c r="F102" s="162"/>
      <c r="G102" s="162"/>
      <c r="H102" s="162"/>
    </row>
    <row r="103" spans="1:8" ht="15" customHeight="1" x14ac:dyDescent="0.3">
      <c r="A103" s="162" t="s">
        <v>147</v>
      </c>
      <c r="B103" s="162"/>
      <c r="C103" s="162"/>
      <c r="D103" s="162"/>
      <c r="E103" s="162"/>
      <c r="F103" s="162"/>
      <c r="G103" s="162"/>
      <c r="H103" s="162"/>
    </row>
    <row r="104" spans="1:8" ht="15" customHeight="1" x14ac:dyDescent="0.3">
      <c r="A104" s="94" t="s">
        <v>125</v>
      </c>
      <c r="B104" s="46"/>
      <c r="C104" s="46" t="s">
        <v>62</v>
      </c>
      <c r="D104" s="46" t="s">
        <v>63</v>
      </c>
      <c r="E104" s="46" t="s">
        <v>64</v>
      </c>
      <c r="F104" s="46" t="s">
        <v>65</v>
      </c>
      <c r="G104" s="46" t="s">
        <v>0</v>
      </c>
      <c r="H104" s="46" t="s">
        <v>1</v>
      </c>
    </row>
    <row r="105" spans="1:8" ht="15" customHeight="1" x14ac:dyDescent="0.3">
      <c r="A105" s="163" t="s">
        <v>5</v>
      </c>
      <c r="B105" s="16" t="s">
        <v>2</v>
      </c>
      <c r="C105" s="74">
        <v>10</v>
      </c>
      <c r="D105" s="74">
        <v>17</v>
      </c>
      <c r="E105" s="74">
        <v>18</v>
      </c>
      <c r="F105" s="74">
        <v>28</v>
      </c>
      <c r="G105" s="74">
        <v>2</v>
      </c>
      <c r="H105" s="75">
        <f>SUM(C105:G105)</f>
        <v>75</v>
      </c>
    </row>
    <row r="106" spans="1:8" ht="15" customHeight="1" x14ac:dyDescent="0.3">
      <c r="A106" s="163"/>
      <c r="B106" s="16" t="s">
        <v>3</v>
      </c>
      <c r="C106" s="74">
        <v>2067</v>
      </c>
      <c r="D106" s="74">
        <v>1745</v>
      </c>
      <c r="E106" s="74">
        <v>1160</v>
      </c>
      <c r="F106" s="74">
        <v>1020</v>
      </c>
      <c r="G106" s="74">
        <v>36</v>
      </c>
      <c r="H106" s="75">
        <f t="shared" ref="H106:H128" si="17">SUM(C106:G106)</f>
        <v>6028</v>
      </c>
    </row>
    <row r="107" spans="1:8" ht="15" customHeight="1" x14ac:dyDescent="0.3">
      <c r="A107" s="163"/>
      <c r="B107" s="16" t="s">
        <v>4</v>
      </c>
      <c r="C107" s="74">
        <v>4079</v>
      </c>
      <c r="D107" s="74">
        <v>3804</v>
      </c>
      <c r="E107" s="74">
        <v>2576</v>
      </c>
      <c r="F107" s="74">
        <v>1954</v>
      </c>
      <c r="G107" s="74">
        <v>68</v>
      </c>
      <c r="H107" s="75">
        <f t="shared" si="17"/>
        <v>12481</v>
      </c>
    </row>
    <row r="108" spans="1:8" ht="15" customHeight="1" x14ac:dyDescent="0.3">
      <c r="A108" s="164" t="s">
        <v>10</v>
      </c>
      <c r="B108" s="11" t="s">
        <v>2</v>
      </c>
      <c r="C108" s="60">
        <v>4</v>
      </c>
      <c r="D108" s="60">
        <v>6</v>
      </c>
      <c r="E108" s="60">
        <v>5</v>
      </c>
      <c r="F108" s="60">
        <v>11</v>
      </c>
      <c r="G108" s="60">
        <v>3</v>
      </c>
      <c r="H108" s="76">
        <f t="shared" si="17"/>
        <v>29</v>
      </c>
    </row>
    <row r="109" spans="1:8" ht="15" customHeight="1" x14ac:dyDescent="0.3">
      <c r="A109" s="164"/>
      <c r="B109" s="11" t="s">
        <v>3</v>
      </c>
      <c r="C109" s="60">
        <v>262</v>
      </c>
      <c r="D109" s="60">
        <v>229</v>
      </c>
      <c r="E109" s="60">
        <v>197</v>
      </c>
      <c r="F109" s="60">
        <v>421</v>
      </c>
      <c r="G109" s="60">
        <v>63</v>
      </c>
      <c r="H109" s="76">
        <f t="shared" si="17"/>
        <v>1172</v>
      </c>
    </row>
    <row r="110" spans="1:8" ht="15" customHeight="1" x14ac:dyDescent="0.3">
      <c r="A110" s="164"/>
      <c r="B110" s="11" t="s">
        <v>4</v>
      </c>
      <c r="C110" s="60">
        <v>498</v>
      </c>
      <c r="D110" s="60">
        <v>427</v>
      </c>
      <c r="E110" s="60">
        <v>365</v>
      </c>
      <c r="F110" s="60">
        <v>805</v>
      </c>
      <c r="G110" s="60">
        <v>118</v>
      </c>
      <c r="H110" s="76">
        <f t="shared" si="17"/>
        <v>2213</v>
      </c>
    </row>
    <row r="111" spans="1:8" ht="15" customHeight="1" x14ac:dyDescent="0.3">
      <c r="A111" s="163" t="s">
        <v>6</v>
      </c>
      <c r="B111" s="16" t="s">
        <v>2</v>
      </c>
      <c r="C111" s="74">
        <v>0</v>
      </c>
      <c r="D111" s="74">
        <v>2</v>
      </c>
      <c r="E111" s="74">
        <v>2</v>
      </c>
      <c r="F111" s="74">
        <v>9</v>
      </c>
      <c r="G111" s="74">
        <v>0</v>
      </c>
      <c r="H111" s="75">
        <f t="shared" si="17"/>
        <v>13</v>
      </c>
    </row>
    <row r="112" spans="1:8" ht="15" customHeight="1" x14ac:dyDescent="0.3">
      <c r="A112" s="163"/>
      <c r="B112" s="16" t="s">
        <v>3</v>
      </c>
      <c r="C112" s="74">
        <v>0</v>
      </c>
      <c r="D112" s="74">
        <v>336</v>
      </c>
      <c r="E112" s="74">
        <v>28</v>
      </c>
      <c r="F112" s="74">
        <v>234</v>
      </c>
      <c r="G112" s="74">
        <v>0</v>
      </c>
      <c r="H112" s="75">
        <f t="shared" si="17"/>
        <v>598</v>
      </c>
    </row>
    <row r="113" spans="1:8" ht="15" customHeight="1" x14ac:dyDescent="0.3">
      <c r="A113" s="163"/>
      <c r="B113" s="16" t="s">
        <v>4</v>
      </c>
      <c r="C113" s="74">
        <v>0</v>
      </c>
      <c r="D113" s="74">
        <v>662</v>
      </c>
      <c r="E113" s="74">
        <v>59</v>
      </c>
      <c r="F113" s="74">
        <v>432</v>
      </c>
      <c r="G113" s="74">
        <v>0</v>
      </c>
      <c r="H113" s="75">
        <f t="shared" si="17"/>
        <v>1153</v>
      </c>
    </row>
    <row r="114" spans="1:8" ht="15" customHeight="1" x14ac:dyDescent="0.3">
      <c r="A114" s="164" t="s">
        <v>9</v>
      </c>
      <c r="B114" s="11" t="s">
        <v>2</v>
      </c>
      <c r="C114" s="60">
        <v>0</v>
      </c>
      <c r="D114" s="60">
        <v>0</v>
      </c>
      <c r="E114" s="60">
        <v>0</v>
      </c>
      <c r="F114" s="60">
        <v>8</v>
      </c>
      <c r="G114" s="60">
        <v>1</v>
      </c>
      <c r="H114" s="76">
        <f t="shared" si="17"/>
        <v>9</v>
      </c>
    </row>
    <row r="115" spans="1:8" ht="15" customHeight="1" x14ac:dyDescent="0.3">
      <c r="A115" s="164"/>
      <c r="B115" s="11" t="s">
        <v>3</v>
      </c>
      <c r="C115" s="60">
        <v>0</v>
      </c>
      <c r="D115" s="60">
        <v>0</v>
      </c>
      <c r="E115" s="60">
        <v>0</v>
      </c>
      <c r="F115" s="60">
        <v>255</v>
      </c>
      <c r="G115" s="60">
        <v>21</v>
      </c>
      <c r="H115" s="76">
        <f t="shared" si="17"/>
        <v>276</v>
      </c>
    </row>
    <row r="116" spans="1:8" ht="15" customHeight="1" x14ac:dyDescent="0.3">
      <c r="A116" s="164"/>
      <c r="B116" s="11" t="s">
        <v>4</v>
      </c>
      <c r="C116" s="60">
        <v>0</v>
      </c>
      <c r="D116" s="60">
        <v>0</v>
      </c>
      <c r="E116" s="60">
        <v>0</v>
      </c>
      <c r="F116" s="60">
        <v>470</v>
      </c>
      <c r="G116" s="60">
        <v>42</v>
      </c>
      <c r="H116" s="76">
        <f t="shared" si="17"/>
        <v>512</v>
      </c>
    </row>
    <row r="117" spans="1:8" ht="15" customHeight="1" x14ac:dyDescent="0.3">
      <c r="A117" s="163" t="s">
        <v>12</v>
      </c>
      <c r="B117" s="16" t="s">
        <v>2</v>
      </c>
      <c r="C117" s="74">
        <v>28</v>
      </c>
      <c r="D117" s="74">
        <v>75</v>
      </c>
      <c r="E117" s="74">
        <v>72</v>
      </c>
      <c r="F117" s="74">
        <v>62</v>
      </c>
      <c r="G117" s="74">
        <v>55</v>
      </c>
      <c r="H117" s="75">
        <f t="shared" si="17"/>
        <v>292</v>
      </c>
    </row>
    <row r="118" spans="1:8" ht="15" customHeight="1" x14ac:dyDescent="0.3">
      <c r="A118" s="163"/>
      <c r="B118" s="16" t="s">
        <v>3</v>
      </c>
      <c r="C118" s="74">
        <v>4803</v>
      </c>
      <c r="D118" s="74">
        <v>6117</v>
      </c>
      <c r="E118" s="74">
        <v>3682</v>
      </c>
      <c r="F118" s="74">
        <v>2016</v>
      </c>
      <c r="G118" s="74">
        <v>1286</v>
      </c>
      <c r="H118" s="75">
        <f t="shared" si="17"/>
        <v>17904</v>
      </c>
    </row>
    <row r="119" spans="1:8" ht="15" customHeight="1" x14ac:dyDescent="0.3">
      <c r="A119" s="163"/>
      <c r="B119" s="16" t="s">
        <v>4</v>
      </c>
      <c r="C119" s="74">
        <v>9117</v>
      </c>
      <c r="D119" s="74">
        <v>11627</v>
      </c>
      <c r="E119" s="74">
        <v>6734</v>
      </c>
      <c r="F119" s="74">
        <v>3648</v>
      </c>
      <c r="G119" s="74">
        <v>3039</v>
      </c>
      <c r="H119" s="75">
        <f t="shared" si="17"/>
        <v>34165</v>
      </c>
    </row>
    <row r="120" spans="1:8" ht="15" customHeight="1" x14ac:dyDescent="0.3">
      <c r="A120" s="165" t="s">
        <v>8</v>
      </c>
      <c r="B120" s="11" t="s">
        <v>2</v>
      </c>
      <c r="C120" s="60">
        <v>5</v>
      </c>
      <c r="D120" s="60">
        <v>21</v>
      </c>
      <c r="E120" s="60">
        <v>54</v>
      </c>
      <c r="F120" s="60">
        <v>72</v>
      </c>
      <c r="G120" s="60">
        <v>39</v>
      </c>
      <c r="H120" s="76">
        <f t="shared" si="17"/>
        <v>191</v>
      </c>
    </row>
    <row r="121" spans="1:8" ht="15" customHeight="1" x14ac:dyDescent="0.3">
      <c r="A121" s="165"/>
      <c r="B121" s="11" t="s">
        <v>3</v>
      </c>
      <c r="C121" s="60">
        <v>175</v>
      </c>
      <c r="D121" s="60">
        <v>526</v>
      </c>
      <c r="E121" s="60">
        <v>1347</v>
      </c>
      <c r="F121" s="60">
        <v>1549</v>
      </c>
      <c r="G121" s="60">
        <v>569</v>
      </c>
      <c r="H121" s="76">
        <f t="shared" si="17"/>
        <v>4166</v>
      </c>
    </row>
    <row r="122" spans="1:8" ht="15" customHeight="1" x14ac:dyDescent="0.3">
      <c r="A122" s="165"/>
      <c r="B122" s="11" t="s">
        <v>4</v>
      </c>
      <c r="C122" s="60">
        <v>358</v>
      </c>
      <c r="D122" s="60">
        <v>1018</v>
      </c>
      <c r="E122" s="60">
        <v>2572</v>
      </c>
      <c r="F122" s="60">
        <v>2937</v>
      </c>
      <c r="G122" s="60">
        <v>1126</v>
      </c>
      <c r="H122" s="76">
        <f t="shared" si="17"/>
        <v>8011</v>
      </c>
    </row>
    <row r="123" spans="1:8" ht="15" customHeight="1" x14ac:dyDescent="0.3">
      <c r="A123" s="163" t="s">
        <v>11</v>
      </c>
      <c r="B123" s="16" t="s">
        <v>2</v>
      </c>
      <c r="C123" s="74">
        <v>3</v>
      </c>
      <c r="D123" s="74">
        <v>15</v>
      </c>
      <c r="E123" s="74">
        <v>10</v>
      </c>
      <c r="F123" s="74">
        <v>15</v>
      </c>
      <c r="G123" s="74">
        <v>3</v>
      </c>
      <c r="H123" s="75">
        <f t="shared" si="17"/>
        <v>46</v>
      </c>
    </row>
    <row r="124" spans="1:8" ht="15" customHeight="1" x14ac:dyDescent="0.3">
      <c r="A124" s="163"/>
      <c r="B124" s="16" t="s">
        <v>3</v>
      </c>
      <c r="C124" s="74">
        <v>436</v>
      </c>
      <c r="D124" s="74">
        <v>1085</v>
      </c>
      <c r="E124" s="74">
        <v>572</v>
      </c>
      <c r="F124" s="74">
        <v>534</v>
      </c>
      <c r="G124" s="74">
        <v>61</v>
      </c>
      <c r="H124" s="75">
        <f t="shared" si="17"/>
        <v>2688</v>
      </c>
    </row>
    <row r="125" spans="1:8" ht="15" customHeight="1" x14ac:dyDescent="0.3">
      <c r="A125" s="163"/>
      <c r="B125" s="16" t="s">
        <v>4</v>
      </c>
      <c r="C125" s="74">
        <v>927</v>
      </c>
      <c r="D125" s="74">
        <v>2072</v>
      </c>
      <c r="E125" s="74">
        <v>1037</v>
      </c>
      <c r="F125" s="74">
        <v>919</v>
      </c>
      <c r="G125" s="74">
        <v>136</v>
      </c>
      <c r="H125" s="75">
        <f t="shared" si="17"/>
        <v>5091</v>
      </c>
    </row>
    <row r="126" spans="1:8" ht="15" customHeight="1" x14ac:dyDescent="0.3">
      <c r="A126" s="160" t="s">
        <v>7</v>
      </c>
      <c r="B126" s="11" t="s">
        <v>2</v>
      </c>
      <c r="C126" s="77">
        <v>1</v>
      </c>
      <c r="D126" s="77">
        <v>2</v>
      </c>
      <c r="E126" s="77">
        <v>8</v>
      </c>
      <c r="F126" s="77">
        <v>22</v>
      </c>
      <c r="G126" s="77">
        <v>10</v>
      </c>
      <c r="H126" s="78">
        <f t="shared" si="17"/>
        <v>43</v>
      </c>
    </row>
    <row r="127" spans="1:8" ht="15" customHeight="1" x14ac:dyDescent="0.3">
      <c r="A127" s="160"/>
      <c r="B127" s="11" t="s">
        <v>3</v>
      </c>
      <c r="C127" s="77">
        <v>77</v>
      </c>
      <c r="D127" s="77">
        <v>87</v>
      </c>
      <c r="E127" s="77">
        <v>496</v>
      </c>
      <c r="F127" s="77">
        <v>807</v>
      </c>
      <c r="G127" s="77">
        <v>278</v>
      </c>
      <c r="H127" s="78">
        <f t="shared" si="17"/>
        <v>1745</v>
      </c>
    </row>
    <row r="128" spans="1:8" ht="15" customHeight="1" x14ac:dyDescent="0.3">
      <c r="A128" s="160"/>
      <c r="B128" s="11" t="s">
        <v>4</v>
      </c>
      <c r="C128" s="77">
        <v>125</v>
      </c>
      <c r="D128" s="77">
        <v>177</v>
      </c>
      <c r="E128" s="77">
        <v>907</v>
      </c>
      <c r="F128" s="77">
        <v>1455</v>
      </c>
      <c r="G128" s="77">
        <v>512</v>
      </c>
      <c r="H128" s="78">
        <f t="shared" si="17"/>
        <v>3176</v>
      </c>
    </row>
    <row r="129" spans="1:8" ht="15" customHeight="1" x14ac:dyDescent="0.3">
      <c r="A129" s="161" t="s">
        <v>1</v>
      </c>
      <c r="B129" s="95" t="s">
        <v>2</v>
      </c>
      <c r="C129" s="96">
        <f>SUMIF($B$72:$B$95,$B$72,C105:G128)</f>
        <v>51</v>
      </c>
      <c r="D129" s="96">
        <f t="shared" ref="D129:D131" si="18">SUMIF($B$72:$B$95,$B$72,D105:H128)</f>
        <v>138</v>
      </c>
      <c r="E129" s="96">
        <f t="shared" ref="E129:E131" si="19">SUMIF($B$72:$B$95,$B$72,E105:I128)</f>
        <v>169</v>
      </c>
      <c r="F129" s="96">
        <f t="shared" ref="F129:F131" si="20">SUMIF($B$72:$B$95,$B$72,F105:J128)</f>
        <v>227</v>
      </c>
      <c r="G129" s="96">
        <f t="shared" ref="G129:G131" si="21">SUMIF($B$72:$B$95,$B$72,G105:K128)</f>
        <v>113</v>
      </c>
      <c r="H129" s="96">
        <f>SUM(C129:G129)</f>
        <v>698</v>
      </c>
    </row>
    <row r="130" spans="1:8" ht="15" customHeight="1" x14ac:dyDescent="0.3">
      <c r="A130" s="161"/>
      <c r="B130" s="95" t="s">
        <v>3</v>
      </c>
      <c r="C130" s="96">
        <f>SUMIF($B$72:$B$95,$B$72,C106:G129)</f>
        <v>7820</v>
      </c>
      <c r="D130" s="96">
        <f t="shared" si="18"/>
        <v>10125</v>
      </c>
      <c r="E130" s="96">
        <f t="shared" si="19"/>
        <v>7482</v>
      </c>
      <c r="F130" s="96">
        <f t="shared" si="20"/>
        <v>6836</v>
      </c>
      <c r="G130" s="96">
        <f t="shared" si="21"/>
        <v>2314</v>
      </c>
      <c r="H130" s="96">
        <f t="shared" ref="H130:H131" si="22">SUM(C130:G130)</f>
        <v>34577</v>
      </c>
    </row>
    <row r="131" spans="1:8" ht="15" customHeight="1" x14ac:dyDescent="0.3">
      <c r="A131" s="161"/>
      <c r="B131" s="95" t="s">
        <v>4</v>
      </c>
      <c r="C131" s="96">
        <f>SUMIF($B$72:$B$95,$B$72,C107:G130)</f>
        <v>15104</v>
      </c>
      <c r="D131" s="96">
        <f t="shared" si="18"/>
        <v>19787</v>
      </c>
      <c r="E131" s="96">
        <f t="shared" si="19"/>
        <v>14250</v>
      </c>
      <c r="F131" s="96">
        <f t="shared" si="20"/>
        <v>12620</v>
      </c>
      <c r="G131" s="96">
        <f t="shared" si="21"/>
        <v>5041</v>
      </c>
      <c r="H131" s="96">
        <f t="shared" si="22"/>
        <v>66802</v>
      </c>
    </row>
    <row r="132" spans="1:8" ht="15" customHeight="1" x14ac:dyDescent="0.3">
      <c r="A132" s="159" t="s">
        <v>134</v>
      </c>
      <c r="B132" s="159"/>
      <c r="C132" s="159"/>
      <c r="D132" s="159"/>
      <c r="E132" s="159"/>
      <c r="F132" s="7"/>
      <c r="G132" s="7"/>
      <c r="H132" s="7"/>
    </row>
    <row r="135" spans="1:8" ht="15" customHeight="1" x14ac:dyDescent="0.3">
      <c r="A135" s="162" t="s">
        <v>97</v>
      </c>
      <c r="B135" s="162"/>
      <c r="C135" s="162"/>
      <c r="D135" s="162"/>
      <c r="E135" s="162"/>
      <c r="F135" s="162"/>
      <c r="G135" s="162"/>
      <c r="H135" s="162"/>
    </row>
    <row r="136" spans="1:8" ht="15" customHeight="1" x14ac:dyDescent="0.3">
      <c r="A136" s="162" t="s">
        <v>139</v>
      </c>
      <c r="B136" s="162"/>
      <c r="C136" s="162"/>
      <c r="D136" s="162"/>
      <c r="E136" s="162"/>
      <c r="F136" s="162"/>
      <c r="G136" s="162"/>
      <c r="H136" s="162"/>
    </row>
    <row r="137" spans="1:8" ht="15" customHeight="1" x14ac:dyDescent="0.3">
      <c r="A137" s="94" t="s">
        <v>125</v>
      </c>
      <c r="B137" s="46"/>
      <c r="C137" s="46" t="s">
        <v>62</v>
      </c>
      <c r="D137" s="46" t="s">
        <v>63</v>
      </c>
      <c r="E137" s="46" t="s">
        <v>64</v>
      </c>
      <c r="F137" s="46" t="s">
        <v>65</v>
      </c>
      <c r="G137" s="46" t="s">
        <v>0</v>
      </c>
      <c r="H137" s="46" t="s">
        <v>1</v>
      </c>
    </row>
    <row r="138" spans="1:8" ht="15" customHeight="1" x14ac:dyDescent="0.3">
      <c r="A138" s="163" t="s">
        <v>5</v>
      </c>
      <c r="B138" s="16" t="s">
        <v>2</v>
      </c>
      <c r="C138" s="74">
        <v>9</v>
      </c>
      <c r="D138" s="74">
        <v>18</v>
      </c>
      <c r="E138" s="74">
        <v>19</v>
      </c>
      <c r="F138" s="74">
        <v>28</v>
      </c>
      <c r="G138" s="74">
        <v>2</v>
      </c>
      <c r="H138" s="75">
        <f>SUM(C138:G138)</f>
        <v>76</v>
      </c>
    </row>
    <row r="139" spans="1:8" ht="15" customHeight="1" x14ac:dyDescent="0.3">
      <c r="A139" s="163"/>
      <c r="B139" s="16" t="s">
        <v>3</v>
      </c>
      <c r="C139" s="74">
        <v>1941</v>
      </c>
      <c r="D139" s="74">
        <v>1806</v>
      </c>
      <c r="E139" s="74">
        <v>1175</v>
      </c>
      <c r="F139" s="74">
        <v>1020</v>
      </c>
      <c r="G139" s="74">
        <v>36</v>
      </c>
      <c r="H139" s="75">
        <f t="shared" ref="H139:H161" si="23">SUM(C139:G139)</f>
        <v>5978</v>
      </c>
    </row>
    <row r="140" spans="1:8" ht="15" customHeight="1" x14ac:dyDescent="0.3">
      <c r="A140" s="163"/>
      <c r="B140" s="16" t="s">
        <v>4</v>
      </c>
      <c r="C140" s="74">
        <v>3822</v>
      </c>
      <c r="D140" s="74">
        <v>3892</v>
      </c>
      <c r="E140" s="74">
        <v>2604</v>
      </c>
      <c r="F140" s="74">
        <v>1954</v>
      </c>
      <c r="G140" s="74">
        <v>68</v>
      </c>
      <c r="H140" s="75">
        <f t="shared" si="23"/>
        <v>12340</v>
      </c>
    </row>
    <row r="141" spans="1:8" ht="15" customHeight="1" x14ac:dyDescent="0.3">
      <c r="A141" s="164" t="s">
        <v>10</v>
      </c>
      <c r="B141" s="11" t="s">
        <v>2</v>
      </c>
      <c r="C141" s="60">
        <v>4</v>
      </c>
      <c r="D141" s="60">
        <v>6</v>
      </c>
      <c r="E141" s="60">
        <v>5</v>
      </c>
      <c r="F141" s="60">
        <v>11</v>
      </c>
      <c r="G141" s="60">
        <v>3</v>
      </c>
      <c r="H141" s="76">
        <f t="shared" si="23"/>
        <v>29</v>
      </c>
    </row>
    <row r="142" spans="1:8" ht="15" customHeight="1" x14ac:dyDescent="0.3">
      <c r="A142" s="164"/>
      <c r="B142" s="11" t="s">
        <v>3</v>
      </c>
      <c r="C142" s="60">
        <v>262</v>
      </c>
      <c r="D142" s="60">
        <v>229</v>
      </c>
      <c r="E142" s="60">
        <v>197</v>
      </c>
      <c r="F142" s="60">
        <v>421</v>
      </c>
      <c r="G142" s="60">
        <v>63</v>
      </c>
      <c r="H142" s="76">
        <f t="shared" si="23"/>
        <v>1172</v>
      </c>
    </row>
    <row r="143" spans="1:8" ht="15" customHeight="1" x14ac:dyDescent="0.3">
      <c r="A143" s="164"/>
      <c r="B143" s="11" t="s">
        <v>4</v>
      </c>
      <c r="C143" s="60">
        <v>498</v>
      </c>
      <c r="D143" s="60">
        <v>427</v>
      </c>
      <c r="E143" s="60">
        <v>365</v>
      </c>
      <c r="F143" s="60">
        <v>805</v>
      </c>
      <c r="G143" s="60">
        <v>118</v>
      </c>
      <c r="H143" s="76">
        <f t="shared" si="23"/>
        <v>2213</v>
      </c>
    </row>
    <row r="144" spans="1:8" ht="15" customHeight="1" x14ac:dyDescent="0.3">
      <c r="A144" s="163" t="s">
        <v>6</v>
      </c>
      <c r="B144" s="16" t="s">
        <v>2</v>
      </c>
      <c r="C144" s="74">
        <v>0</v>
      </c>
      <c r="D144" s="74">
        <v>2</v>
      </c>
      <c r="E144" s="74">
        <v>2</v>
      </c>
      <c r="F144" s="74">
        <v>9</v>
      </c>
      <c r="G144" s="74">
        <v>0</v>
      </c>
      <c r="H144" s="75">
        <f t="shared" si="23"/>
        <v>13</v>
      </c>
    </row>
    <row r="145" spans="1:8" ht="15" customHeight="1" x14ac:dyDescent="0.3">
      <c r="A145" s="163"/>
      <c r="B145" s="16" t="s">
        <v>3</v>
      </c>
      <c r="C145" s="74">
        <v>0</v>
      </c>
      <c r="D145" s="74">
        <v>336</v>
      </c>
      <c r="E145" s="74">
        <v>28</v>
      </c>
      <c r="F145" s="74">
        <v>234</v>
      </c>
      <c r="G145" s="74">
        <v>0</v>
      </c>
      <c r="H145" s="75">
        <f t="shared" si="23"/>
        <v>598</v>
      </c>
    </row>
    <row r="146" spans="1:8" ht="15" customHeight="1" x14ac:dyDescent="0.3">
      <c r="A146" s="163"/>
      <c r="B146" s="16" t="s">
        <v>4</v>
      </c>
      <c r="C146" s="74">
        <v>0</v>
      </c>
      <c r="D146" s="74">
        <v>662</v>
      </c>
      <c r="E146" s="74">
        <v>59</v>
      </c>
      <c r="F146" s="74">
        <v>432</v>
      </c>
      <c r="G146" s="74">
        <v>0</v>
      </c>
      <c r="H146" s="75">
        <f t="shared" si="23"/>
        <v>1153</v>
      </c>
    </row>
    <row r="147" spans="1:8" ht="15" customHeight="1" x14ac:dyDescent="0.3">
      <c r="A147" s="164" t="s">
        <v>9</v>
      </c>
      <c r="B147" s="11" t="s">
        <v>2</v>
      </c>
      <c r="C147" s="60">
        <v>0</v>
      </c>
      <c r="D147" s="60">
        <v>0</v>
      </c>
      <c r="E147" s="60">
        <v>0</v>
      </c>
      <c r="F147" s="60">
        <v>9</v>
      </c>
      <c r="G147" s="60">
        <v>2</v>
      </c>
      <c r="H147" s="76">
        <f t="shared" si="23"/>
        <v>11</v>
      </c>
    </row>
    <row r="148" spans="1:8" ht="15" customHeight="1" x14ac:dyDescent="0.3">
      <c r="A148" s="164"/>
      <c r="B148" s="11" t="s">
        <v>3</v>
      </c>
      <c r="C148" s="60">
        <v>0</v>
      </c>
      <c r="D148" s="60">
        <v>0</v>
      </c>
      <c r="E148" s="60">
        <v>0</v>
      </c>
      <c r="F148" s="60">
        <v>315</v>
      </c>
      <c r="G148" s="60">
        <v>41</v>
      </c>
      <c r="H148" s="76">
        <f t="shared" si="23"/>
        <v>356</v>
      </c>
    </row>
    <row r="149" spans="1:8" ht="15" customHeight="1" x14ac:dyDescent="0.3">
      <c r="A149" s="164"/>
      <c r="B149" s="11" t="s">
        <v>4</v>
      </c>
      <c r="C149" s="60">
        <v>0</v>
      </c>
      <c r="D149" s="60">
        <v>0</v>
      </c>
      <c r="E149" s="60">
        <v>0</v>
      </c>
      <c r="F149" s="60">
        <v>586</v>
      </c>
      <c r="G149" s="60">
        <v>78</v>
      </c>
      <c r="H149" s="76">
        <f t="shared" si="23"/>
        <v>664</v>
      </c>
    </row>
    <row r="150" spans="1:8" ht="15" customHeight="1" x14ac:dyDescent="0.3">
      <c r="A150" s="163" t="s">
        <v>12</v>
      </c>
      <c r="B150" s="16" t="s">
        <v>2</v>
      </c>
      <c r="C150" s="74">
        <v>27</v>
      </c>
      <c r="D150" s="74">
        <v>72</v>
      </c>
      <c r="E150" s="74">
        <v>63</v>
      </c>
      <c r="F150" s="74">
        <v>66</v>
      </c>
      <c r="G150" s="74">
        <v>52</v>
      </c>
      <c r="H150" s="75">
        <f t="shared" si="23"/>
        <v>280</v>
      </c>
    </row>
    <row r="151" spans="1:8" ht="15" customHeight="1" x14ac:dyDescent="0.3">
      <c r="A151" s="163"/>
      <c r="B151" s="16" t="s">
        <v>3</v>
      </c>
      <c r="C151" s="74">
        <v>4726</v>
      </c>
      <c r="D151" s="74">
        <v>6035</v>
      </c>
      <c r="E151" s="74">
        <v>3280</v>
      </c>
      <c r="F151" s="74">
        <v>2140</v>
      </c>
      <c r="G151" s="74">
        <v>1190</v>
      </c>
      <c r="H151" s="75">
        <f t="shared" si="23"/>
        <v>17371</v>
      </c>
    </row>
    <row r="152" spans="1:8" ht="15" customHeight="1" x14ac:dyDescent="0.3">
      <c r="A152" s="163"/>
      <c r="B152" s="16" t="s">
        <v>4</v>
      </c>
      <c r="C152" s="74">
        <v>9004</v>
      </c>
      <c r="D152" s="74">
        <v>11374</v>
      </c>
      <c r="E152" s="74">
        <v>5875</v>
      </c>
      <c r="F152" s="74">
        <v>3889</v>
      </c>
      <c r="G152" s="74">
        <v>2647</v>
      </c>
      <c r="H152" s="75">
        <f t="shared" si="23"/>
        <v>32789</v>
      </c>
    </row>
    <row r="153" spans="1:8" ht="15" customHeight="1" x14ac:dyDescent="0.3">
      <c r="A153" s="165" t="s">
        <v>8</v>
      </c>
      <c r="B153" s="11" t="s">
        <v>2</v>
      </c>
      <c r="C153" s="60">
        <v>5</v>
      </c>
      <c r="D153" s="60">
        <v>23</v>
      </c>
      <c r="E153" s="60">
        <v>52</v>
      </c>
      <c r="F153" s="60">
        <v>76</v>
      </c>
      <c r="G153" s="60">
        <v>40</v>
      </c>
      <c r="H153" s="76">
        <f t="shared" si="23"/>
        <v>196</v>
      </c>
    </row>
    <row r="154" spans="1:8" ht="15" customHeight="1" x14ac:dyDescent="0.3">
      <c r="A154" s="165"/>
      <c r="B154" s="11" t="s">
        <v>3</v>
      </c>
      <c r="C154" s="60">
        <v>175</v>
      </c>
      <c r="D154" s="60">
        <v>556</v>
      </c>
      <c r="E154" s="60">
        <v>1293</v>
      </c>
      <c r="F154" s="60">
        <v>1613</v>
      </c>
      <c r="G154" s="60">
        <v>581</v>
      </c>
      <c r="H154" s="76">
        <f t="shared" si="23"/>
        <v>4218</v>
      </c>
    </row>
    <row r="155" spans="1:8" ht="15" customHeight="1" x14ac:dyDescent="0.3">
      <c r="A155" s="165"/>
      <c r="B155" s="11" t="s">
        <v>4</v>
      </c>
      <c r="C155" s="60">
        <v>358</v>
      </c>
      <c r="D155" s="60">
        <v>1069</v>
      </c>
      <c r="E155" s="60">
        <v>2459</v>
      </c>
      <c r="F155" s="60">
        <v>3061</v>
      </c>
      <c r="G155" s="60">
        <v>1154</v>
      </c>
      <c r="H155" s="76">
        <f t="shared" si="23"/>
        <v>8101</v>
      </c>
    </row>
    <row r="156" spans="1:8" ht="15" customHeight="1" x14ac:dyDescent="0.3">
      <c r="A156" s="163" t="s">
        <v>11</v>
      </c>
      <c r="B156" s="16" t="s">
        <v>2</v>
      </c>
      <c r="C156" s="74">
        <v>2</v>
      </c>
      <c r="D156" s="74">
        <v>15</v>
      </c>
      <c r="E156" s="74">
        <v>10</v>
      </c>
      <c r="F156" s="74">
        <v>18</v>
      </c>
      <c r="G156" s="74">
        <v>3</v>
      </c>
      <c r="H156" s="75">
        <f t="shared" si="23"/>
        <v>48</v>
      </c>
    </row>
    <row r="157" spans="1:8" ht="15" customHeight="1" x14ac:dyDescent="0.3">
      <c r="A157" s="163"/>
      <c r="B157" s="16" t="s">
        <v>3</v>
      </c>
      <c r="C157" s="74">
        <v>400</v>
      </c>
      <c r="D157" s="74">
        <v>1087</v>
      </c>
      <c r="E157" s="74">
        <v>572</v>
      </c>
      <c r="F157" s="74">
        <v>610</v>
      </c>
      <c r="G157" s="74">
        <v>61</v>
      </c>
      <c r="H157" s="75">
        <f t="shared" si="23"/>
        <v>2730</v>
      </c>
    </row>
    <row r="158" spans="1:8" ht="15" customHeight="1" x14ac:dyDescent="0.3">
      <c r="A158" s="163"/>
      <c r="B158" s="16" t="s">
        <v>4</v>
      </c>
      <c r="C158" s="74">
        <v>843</v>
      </c>
      <c r="D158" s="74">
        <v>2077</v>
      </c>
      <c r="E158" s="74">
        <v>1037</v>
      </c>
      <c r="F158" s="74">
        <v>1056</v>
      </c>
      <c r="G158" s="74">
        <v>136</v>
      </c>
      <c r="H158" s="75">
        <f t="shared" si="23"/>
        <v>5149</v>
      </c>
    </row>
    <row r="159" spans="1:8" ht="15" customHeight="1" x14ac:dyDescent="0.3">
      <c r="A159" s="160" t="s">
        <v>7</v>
      </c>
      <c r="B159" s="11" t="s">
        <v>2</v>
      </c>
      <c r="C159" s="77">
        <v>1</v>
      </c>
      <c r="D159" s="77">
        <v>2</v>
      </c>
      <c r="E159" s="77">
        <v>8</v>
      </c>
      <c r="F159" s="77">
        <v>23</v>
      </c>
      <c r="G159" s="77">
        <v>11</v>
      </c>
      <c r="H159" s="78">
        <f t="shared" si="23"/>
        <v>45</v>
      </c>
    </row>
    <row r="160" spans="1:8" ht="15" customHeight="1" x14ac:dyDescent="0.3">
      <c r="A160" s="160"/>
      <c r="B160" s="11" t="s">
        <v>3</v>
      </c>
      <c r="C160" s="77">
        <v>77</v>
      </c>
      <c r="D160" s="77">
        <v>57</v>
      </c>
      <c r="E160" s="77">
        <v>496</v>
      </c>
      <c r="F160" s="77">
        <v>859</v>
      </c>
      <c r="G160" s="77">
        <v>295</v>
      </c>
      <c r="H160" s="78">
        <f t="shared" si="23"/>
        <v>1784</v>
      </c>
    </row>
    <row r="161" spans="1:8" ht="15" customHeight="1" x14ac:dyDescent="0.3">
      <c r="A161" s="160"/>
      <c r="B161" s="11" t="s">
        <v>4</v>
      </c>
      <c r="C161" s="77">
        <v>125</v>
      </c>
      <c r="D161" s="77">
        <v>116</v>
      </c>
      <c r="E161" s="77">
        <v>907</v>
      </c>
      <c r="F161" s="77">
        <v>1544</v>
      </c>
      <c r="G161" s="77">
        <v>538</v>
      </c>
      <c r="H161" s="78">
        <f t="shared" si="23"/>
        <v>3230</v>
      </c>
    </row>
    <row r="162" spans="1:8" ht="15" customHeight="1" x14ac:dyDescent="0.3">
      <c r="A162" s="161" t="s">
        <v>1</v>
      </c>
      <c r="B162" s="95" t="s">
        <v>2</v>
      </c>
      <c r="C162" s="96">
        <f>SUMIF($B$72:$B$95,$B$72,C138:G161)</f>
        <v>48</v>
      </c>
      <c r="D162" s="96">
        <f t="shared" ref="D162:D164" si="24">SUMIF($B$72:$B$95,$B$72,D138:H161)</f>
        <v>138</v>
      </c>
      <c r="E162" s="96">
        <f t="shared" ref="E162:E164" si="25">SUMIF($B$72:$B$95,$B$72,E138:I161)</f>
        <v>159</v>
      </c>
      <c r="F162" s="96">
        <f t="shared" ref="F162:F164" si="26">SUMIF($B$72:$B$95,$B$72,F138:J161)</f>
        <v>240</v>
      </c>
      <c r="G162" s="96">
        <f t="shared" ref="G162:G164" si="27">SUMIF($B$72:$B$95,$B$72,G138:K161)</f>
        <v>113</v>
      </c>
      <c r="H162" s="96">
        <f>SUM(C162:G162)</f>
        <v>698</v>
      </c>
    </row>
    <row r="163" spans="1:8" ht="15" customHeight="1" x14ac:dyDescent="0.3">
      <c r="A163" s="161"/>
      <c r="B163" s="95" t="s">
        <v>3</v>
      </c>
      <c r="C163" s="96">
        <f>SUMIF($B$72:$B$95,$B$72,C139:G162)</f>
        <v>7581</v>
      </c>
      <c r="D163" s="96">
        <f t="shared" si="24"/>
        <v>10106</v>
      </c>
      <c r="E163" s="96">
        <f t="shared" si="25"/>
        <v>7041</v>
      </c>
      <c r="F163" s="96">
        <f t="shared" si="26"/>
        <v>7212</v>
      </c>
      <c r="G163" s="96">
        <f t="shared" si="27"/>
        <v>2267</v>
      </c>
      <c r="H163" s="96">
        <f t="shared" ref="H163:H164" si="28">SUM(C163:G163)</f>
        <v>34207</v>
      </c>
    </row>
    <row r="164" spans="1:8" ht="15" customHeight="1" x14ac:dyDescent="0.3">
      <c r="A164" s="161"/>
      <c r="B164" s="95" t="s">
        <v>4</v>
      </c>
      <c r="C164" s="96">
        <f>SUMIF($B$72:$B$95,$B$72,C140:G163)</f>
        <v>14650</v>
      </c>
      <c r="D164" s="96">
        <f t="shared" si="24"/>
        <v>19617</v>
      </c>
      <c r="E164" s="96">
        <f t="shared" si="25"/>
        <v>13306</v>
      </c>
      <c r="F164" s="96">
        <f t="shared" si="26"/>
        <v>13327</v>
      </c>
      <c r="G164" s="96">
        <f t="shared" si="27"/>
        <v>4739</v>
      </c>
      <c r="H164" s="96">
        <f t="shared" si="28"/>
        <v>65639</v>
      </c>
    </row>
    <row r="165" spans="1:8" ht="15" customHeight="1" x14ac:dyDescent="0.3">
      <c r="A165" s="159" t="s">
        <v>134</v>
      </c>
      <c r="B165" s="159"/>
      <c r="C165" s="159"/>
      <c r="D165" s="159"/>
      <c r="E165" s="159"/>
      <c r="F165" s="7"/>
      <c r="G165" s="7"/>
      <c r="H165" s="7"/>
    </row>
    <row r="168" spans="1:8" ht="15" customHeight="1" x14ac:dyDescent="0.3">
      <c r="A168" s="162" t="s">
        <v>97</v>
      </c>
      <c r="B168" s="162"/>
      <c r="C168" s="162"/>
      <c r="D168" s="162"/>
      <c r="E168" s="162"/>
      <c r="F168" s="162"/>
      <c r="G168" s="162"/>
      <c r="H168" s="162"/>
    </row>
    <row r="169" spans="1:8" ht="15" customHeight="1" x14ac:dyDescent="0.3">
      <c r="A169" s="162" t="s">
        <v>119</v>
      </c>
      <c r="B169" s="162"/>
      <c r="C169" s="162"/>
      <c r="D169" s="162"/>
      <c r="E169" s="162"/>
      <c r="F169" s="162"/>
      <c r="G169" s="162"/>
      <c r="H169" s="162"/>
    </row>
    <row r="170" spans="1:8" ht="15" customHeight="1" x14ac:dyDescent="0.3">
      <c r="A170" s="94" t="s">
        <v>125</v>
      </c>
      <c r="B170" s="46"/>
      <c r="C170" s="46" t="s">
        <v>62</v>
      </c>
      <c r="D170" s="46" t="s">
        <v>63</v>
      </c>
      <c r="E170" s="46" t="s">
        <v>64</v>
      </c>
      <c r="F170" s="46" t="s">
        <v>65</v>
      </c>
      <c r="G170" s="46" t="s">
        <v>0</v>
      </c>
      <c r="H170" s="46" t="s">
        <v>1</v>
      </c>
    </row>
    <row r="171" spans="1:8" ht="15" customHeight="1" x14ac:dyDescent="0.3">
      <c r="A171" s="163" t="s">
        <v>5</v>
      </c>
      <c r="B171" s="16" t="s">
        <v>2</v>
      </c>
      <c r="C171" s="74">
        <v>9</v>
      </c>
      <c r="D171" s="74">
        <v>18</v>
      </c>
      <c r="E171" s="74">
        <v>19</v>
      </c>
      <c r="F171" s="74">
        <v>29</v>
      </c>
      <c r="G171" s="74">
        <v>2</v>
      </c>
      <c r="H171" s="75">
        <f>SUM(C171:G171)</f>
        <v>77</v>
      </c>
    </row>
    <row r="172" spans="1:8" ht="15" customHeight="1" x14ac:dyDescent="0.3">
      <c r="A172" s="163"/>
      <c r="B172" s="16" t="s">
        <v>3</v>
      </c>
      <c r="C172" s="74">
        <v>1967</v>
      </c>
      <c r="D172" s="74">
        <v>1806</v>
      </c>
      <c r="E172" s="74">
        <v>1175</v>
      </c>
      <c r="F172" s="74">
        <v>1032</v>
      </c>
      <c r="G172" s="74">
        <v>36</v>
      </c>
      <c r="H172" s="75">
        <f t="shared" ref="H172:H194" si="29">SUM(C172:G172)</f>
        <v>6016</v>
      </c>
    </row>
    <row r="173" spans="1:8" ht="15" customHeight="1" x14ac:dyDescent="0.3">
      <c r="A173" s="163"/>
      <c r="B173" s="16" t="s">
        <v>4</v>
      </c>
      <c r="C173" s="74">
        <v>3869</v>
      </c>
      <c r="D173" s="74">
        <v>3892</v>
      </c>
      <c r="E173" s="74">
        <v>2604</v>
      </c>
      <c r="F173" s="74">
        <v>1977</v>
      </c>
      <c r="G173" s="74">
        <v>68</v>
      </c>
      <c r="H173" s="75">
        <f t="shared" si="29"/>
        <v>12410</v>
      </c>
    </row>
    <row r="174" spans="1:8" ht="15" customHeight="1" x14ac:dyDescent="0.3">
      <c r="A174" s="164" t="s">
        <v>10</v>
      </c>
      <c r="B174" s="11" t="s">
        <v>2</v>
      </c>
      <c r="C174" s="60">
        <v>4</v>
      </c>
      <c r="D174" s="60">
        <v>5</v>
      </c>
      <c r="E174" s="60">
        <v>4</v>
      </c>
      <c r="F174" s="60">
        <v>13</v>
      </c>
      <c r="G174" s="60">
        <v>3</v>
      </c>
      <c r="H174" s="76">
        <f t="shared" si="29"/>
        <v>29</v>
      </c>
    </row>
    <row r="175" spans="1:8" ht="15" customHeight="1" x14ac:dyDescent="0.3">
      <c r="A175" s="164"/>
      <c r="B175" s="11" t="s">
        <v>3</v>
      </c>
      <c r="C175" s="60">
        <v>262</v>
      </c>
      <c r="D175" s="60">
        <v>216</v>
      </c>
      <c r="E175" s="60">
        <v>131</v>
      </c>
      <c r="F175" s="60">
        <v>499</v>
      </c>
      <c r="G175" s="60">
        <v>63</v>
      </c>
      <c r="H175" s="76">
        <f t="shared" si="29"/>
        <v>1171</v>
      </c>
    </row>
    <row r="176" spans="1:8" ht="15" customHeight="1" x14ac:dyDescent="0.3">
      <c r="A176" s="164"/>
      <c r="B176" s="11" t="s">
        <v>4</v>
      </c>
      <c r="C176" s="60">
        <v>498</v>
      </c>
      <c r="D176" s="60">
        <v>405</v>
      </c>
      <c r="E176" s="60">
        <v>239</v>
      </c>
      <c r="F176" s="60">
        <v>954</v>
      </c>
      <c r="G176" s="60">
        <v>118</v>
      </c>
      <c r="H176" s="76">
        <f t="shared" si="29"/>
        <v>2214</v>
      </c>
    </row>
    <row r="177" spans="1:8" ht="15" customHeight="1" x14ac:dyDescent="0.3">
      <c r="A177" s="163" t="s">
        <v>6</v>
      </c>
      <c r="B177" s="16" t="s">
        <v>2</v>
      </c>
      <c r="C177" s="74">
        <v>0</v>
      </c>
      <c r="D177" s="74">
        <v>2</v>
      </c>
      <c r="E177" s="74">
        <v>2</v>
      </c>
      <c r="F177" s="74">
        <v>9</v>
      </c>
      <c r="G177" s="74">
        <v>0</v>
      </c>
      <c r="H177" s="75">
        <f t="shared" si="29"/>
        <v>13</v>
      </c>
    </row>
    <row r="178" spans="1:8" ht="15" customHeight="1" x14ac:dyDescent="0.3">
      <c r="A178" s="163"/>
      <c r="B178" s="16" t="s">
        <v>3</v>
      </c>
      <c r="C178" s="74">
        <v>0</v>
      </c>
      <c r="D178" s="74">
        <v>336</v>
      </c>
      <c r="E178" s="74">
        <v>28</v>
      </c>
      <c r="F178" s="74">
        <v>234</v>
      </c>
      <c r="G178" s="74">
        <v>0</v>
      </c>
      <c r="H178" s="75">
        <f t="shared" si="29"/>
        <v>598</v>
      </c>
    </row>
    <row r="179" spans="1:8" ht="15" customHeight="1" x14ac:dyDescent="0.3">
      <c r="A179" s="163"/>
      <c r="B179" s="16" t="s">
        <v>4</v>
      </c>
      <c r="C179" s="74">
        <v>0</v>
      </c>
      <c r="D179" s="74">
        <v>662</v>
      </c>
      <c r="E179" s="74">
        <v>59</v>
      </c>
      <c r="F179" s="74">
        <v>432</v>
      </c>
      <c r="G179" s="74">
        <v>0</v>
      </c>
      <c r="H179" s="75">
        <f t="shared" si="29"/>
        <v>1153</v>
      </c>
    </row>
    <row r="180" spans="1:8" ht="15" customHeight="1" x14ac:dyDescent="0.3">
      <c r="A180" s="164" t="s">
        <v>9</v>
      </c>
      <c r="B180" s="11" t="s">
        <v>2</v>
      </c>
      <c r="C180" s="60">
        <v>0</v>
      </c>
      <c r="D180" s="60">
        <v>0</v>
      </c>
      <c r="E180" s="60">
        <v>0</v>
      </c>
      <c r="F180" s="60">
        <v>9</v>
      </c>
      <c r="G180" s="60">
        <v>2</v>
      </c>
      <c r="H180" s="76">
        <f t="shared" si="29"/>
        <v>11</v>
      </c>
    </row>
    <row r="181" spans="1:8" ht="15" customHeight="1" x14ac:dyDescent="0.3">
      <c r="A181" s="164"/>
      <c r="B181" s="11" t="s">
        <v>3</v>
      </c>
      <c r="C181" s="60">
        <v>0</v>
      </c>
      <c r="D181" s="60">
        <v>0</v>
      </c>
      <c r="E181" s="60">
        <v>0</v>
      </c>
      <c r="F181" s="60">
        <v>315</v>
      </c>
      <c r="G181" s="60">
        <v>41</v>
      </c>
      <c r="H181" s="76">
        <f t="shared" si="29"/>
        <v>356</v>
      </c>
    </row>
    <row r="182" spans="1:8" ht="15" customHeight="1" x14ac:dyDescent="0.3">
      <c r="A182" s="164"/>
      <c r="B182" s="11" t="s">
        <v>4</v>
      </c>
      <c r="C182" s="60">
        <v>0</v>
      </c>
      <c r="D182" s="60">
        <v>0</v>
      </c>
      <c r="E182" s="60">
        <v>0</v>
      </c>
      <c r="F182" s="60">
        <v>586</v>
      </c>
      <c r="G182" s="60">
        <v>78</v>
      </c>
      <c r="H182" s="76">
        <f t="shared" si="29"/>
        <v>664</v>
      </c>
    </row>
    <row r="183" spans="1:8" ht="15" customHeight="1" x14ac:dyDescent="0.3">
      <c r="A183" s="163" t="s">
        <v>12</v>
      </c>
      <c r="B183" s="16" t="s">
        <v>2</v>
      </c>
      <c r="C183" s="74">
        <v>23</v>
      </c>
      <c r="D183" s="74">
        <v>68</v>
      </c>
      <c r="E183" s="74">
        <v>64</v>
      </c>
      <c r="F183" s="74">
        <v>65</v>
      </c>
      <c r="G183" s="74">
        <v>50</v>
      </c>
      <c r="H183" s="75">
        <f t="shared" si="29"/>
        <v>270</v>
      </c>
    </row>
    <row r="184" spans="1:8" ht="15" customHeight="1" x14ac:dyDescent="0.3">
      <c r="A184" s="163"/>
      <c r="B184" s="16" t="s">
        <v>3</v>
      </c>
      <c r="C184" s="74">
        <v>4522</v>
      </c>
      <c r="D184" s="74">
        <v>5761</v>
      </c>
      <c r="E184" s="74">
        <v>3321</v>
      </c>
      <c r="F184" s="74">
        <v>2142</v>
      </c>
      <c r="G184" s="74">
        <v>1210</v>
      </c>
      <c r="H184" s="75">
        <f t="shared" si="29"/>
        <v>16956</v>
      </c>
    </row>
    <row r="185" spans="1:8" ht="15" customHeight="1" x14ac:dyDescent="0.3">
      <c r="A185" s="163"/>
      <c r="B185" s="16" t="s">
        <v>4</v>
      </c>
      <c r="C185" s="74">
        <v>8591</v>
      </c>
      <c r="D185" s="74">
        <v>10802</v>
      </c>
      <c r="E185" s="74">
        <v>5916</v>
      </c>
      <c r="F185" s="74">
        <v>3877</v>
      </c>
      <c r="G185" s="74">
        <v>2701</v>
      </c>
      <c r="H185" s="75">
        <f t="shared" si="29"/>
        <v>31887</v>
      </c>
    </row>
    <row r="186" spans="1:8" ht="15" customHeight="1" x14ac:dyDescent="0.3">
      <c r="A186" s="165" t="s">
        <v>8</v>
      </c>
      <c r="B186" s="11" t="s">
        <v>2</v>
      </c>
      <c r="C186" s="60">
        <v>4</v>
      </c>
      <c r="D186" s="60">
        <v>23</v>
      </c>
      <c r="E186" s="60">
        <v>51</v>
      </c>
      <c r="F186" s="60">
        <v>77</v>
      </c>
      <c r="G186" s="60">
        <v>42</v>
      </c>
      <c r="H186" s="76">
        <f t="shared" si="29"/>
        <v>197</v>
      </c>
    </row>
    <row r="187" spans="1:8" ht="15" customHeight="1" x14ac:dyDescent="0.3">
      <c r="A187" s="165"/>
      <c r="B187" s="11" t="s">
        <v>3</v>
      </c>
      <c r="C187" s="60">
        <v>159</v>
      </c>
      <c r="D187" s="60">
        <v>556</v>
      </c>
      <c r="E187" s="60">
        <v>1241</v>
      </c>
      <c r="F187" s="60">
        <v>1646</v>
      </c>
      <c r="G187" s="60">
        <v>608</v>
      </c>
      <c r="H187" s="76">
        <f t="shared" si="29"/>
        <v>4210</v>
      </c>
    </row>
    <row r="188" spans="1:8" ht="15" customHeight="1" x14ac:dyDescent="0.3">
      <c r="A188" s="165"/>
      <c r="B188" s="11" t="s">
        <v>4</v>
      </c>
      <c r="C188" s="60">
        <v>326</v>
      </c>
      <c r="D188" s="60">
        <v>1065</v>
      </c>
      <c r="E188" s="60">
        <v>2348</v>
      </c>
      <c r="F188" s="60">
        <v>3121</v>
      </c>
      <c r="G188" s="60">
        <v>1214</v>
      </c>
      <c r="H188" s="76">
        <f t="shared" si="29"/>
        <v>8074</v>
      </c>
    </row>
    <row r="189" spans="1:8" ht="15" customHeight="1" x14ac:dyDescent="0.3">
      <c r="A189" s="163" t="s">
        <v>11</v>
      </c>
      <c r="B189" s="16" t="s">
        <v>2</v>
      </c>
      <c r="C189" s="74">
        <v>2</v>
      </c>
      <c r="D189" s="74">
        <v>15</v>
      </c>
      <c r="E189" s="74">
        <v>10</v>
      </c>
      <c r="F189" s="74">
        <v>18</v>
      </c>
      <c r="G189" s="74">
        <v>4</v>
      </c>
      <c r="H189" s="75">
        <f t="shared" si="29"/>
        <v>49</v>
      </c>
    </row>
    <row r="190" spans="1:8" ht="15" customHeight="1" x14ac:dyDescent="0.3">
      <c r="A190" s="163"/>
      <c r="B190" s="16" t="s">
        <v>3</v>
      </c>
      <c r="C190" s="74">
        <v>400</v>
      </c>
      <c r="D190" s="74">
        <v>1087</v>
      </c>
      <c r="E190" s="74">
        <v>572</v>
      </c>
      <c r="F190" s="74">
        <v>610</v>
      </c>
      <c r="G190" s="74">
        <v>91</v>
      </c>
      <c r="H190" s="75">
        <f t="shared" si="29"/>
        <v>2760</v>
      </c>
    </row>
    <row r="191" spans="1:8" ht="15" customHeight="1" x14ac:dyDescent="0.3">
      <c r="A191" s="163"/>
      <c r="B191" s="16" t="s">
        <v>4</v>
      </c>
      <c r="C191" s="74">
        <v>843</v>
      </c>
      <c r="D191" s="74">
        <v>2077</v>
      </c>
      <c r="E191" s="74">
        <v>1037</v>
      </c>
      <c r="F191" s="74">
        <v>1056</v>
      </c>
      <c r="G191" s="74">
        <v>190</v>
      </c>
      <c r="H191" s="75">
        <f t="shared" si="29"/>
        <v>5203</v>
      </c>
    </row>
    <row r="192" spans="1:8" ht="15" customHeight="1" x14ac:dyDescent="0.3">
      <c r="A192" s="160" t="s">
        <v>7</v>
      </c>
      <c r="B192" s="11" t="s">
        <v>2</v>
      </c>
      <c r="C192" s="77">
        <v>1</v>
      </c>
      <c r="D192" s="77">
        <v>2</v>
      </c>
      <c r="E192" s="77">
        <v>7</v>
      </c>
      <c r="F192" s="77">
        <v>23</v>
      </c>
      <c r="G192" s="77">
        <v>10</v>
      </c>
      <c r="H192" s="78">
        <f t="shared" si="29"/>
        <v>43</v>
      </c>
    </row>
    <row r="193" spans="1:8" ht="15" customHeight="1" x14ac:dyDescent="0.3">
      <c r="A193" s="160"/>
      <c r="B193" s="11" t="s">
        <v>3</v>
      </c>
      <c r="C193" s="77">
        <v>77</v>
      </c>
      <c r="D193" s="77">
        <v>57</v>
      </c>
      <c r="E193" s="77">
        <v>450</v>
      </c>
      <c r="F193" s="77">
        <v>860</v>
      </c>
      <c r="G193" s="77">
        <v>238</v>
      </c>
      <c r="H193" s="78">
        <f t="shared" si="29"/>
        <v>1682</v>
      </c>
    </row>
    <row r="194" spans="1:8" ht="15" customHeight="1" x14ac:dyDescent="0.3">
      <c r="A194" s="160"/>
      <c r="B194" s="11" t="s">
        <v>4</v>
      </c>
      <c r="C194" s="77">
        <v>125</v>
      </c>
      <c r="D194" s="77">
        <v>116</v>
      </c>
      <c r="E194" s="77">
        <v>815</v>
      </c>
      <c r="F194" s="77">
        <v>1543</v>
      </c>
      <c r="G194" s="77">
        <v>508</v>
      </c>
      <c r="H194" s="78">
        <f t="shared" si="29"/>
        <v>3107</v>
      </c>
    </row>
    <row r="195" spans="1:8" ht="15" customHeight="1" x14ac:dyDescent="0.3">
      <c r="A195" s="161" t="s">
        <v>1</v>
      </c>
      <c r="B195" s="95" t="s">
        <v>2</v>
      </c>
      <c r="C195" s="96">
        <f>SUMIF($B$72:$B$95,$B$72,C171:G194)</f>
        <v>43</v>
      </c>
      <c r="D195" s="96">
        <f t="shared" ref="D195:D197" si="30">SUMIF($B$72:$B$95,$B$72,D171:H194)</f>
        <v>133</v>
      </c>
      <c r="E195" s="96">
        <f t="shared" ref="E195:E197" si="31">SUMIF($B$72:$B$95,$B$72,E171:I194)</f>
        <v>157</v>
      </c>
      <c r="F195" s="96">
        <f t="shared" ref="F195:F197" si="32">SUMIF($B$72:$B$95,$B$72,F171:J194)</f>
        <v>243</v>
      </c>
      <c r="G195" s="96">
        <f t="shared" ref="G195:G197" si="33">SUMIF($B$72:$B$95,$B$72,G171:K194)</f>
        <v>113</v>
      </c>
      <c r="H195" s="96">
        <f>SUM(C195:G195)</f>
        <v>689</v>
      </c>
    </row>
    <row r="196" spans="1:8" ht="15" customHeight="1" x14ac:dyDescent="0.3">
      <c r="A196" s="161"/>
      <c r="B196" s="95" t="s">
        <v>3</v>
      </c>
      <c r="C196" s="96">
        <f>SUMIF($B$72:$B$95,$B$72,C172:G195)</f>
        <v>7387</v>
      </c>
      <c r="D196" s="96">
        <f t="shared" si="30"/>
        <v>9819</v>
      </c>
      <c r="E196" s="96">
        <f t="shared" si="31"/>
        <v>6918</v>
      </c>
      <c r="F196" s="96">
        <f t="shared" si="32"/>
        <v>7338</v>
      </c>
      <c r="G196" s="96">
        <f t="shared" si="33"/>
        <v>2287</v>
      </c>
      <c r="H196" s="96">
        <f t="shared" ref="H196:H197" si="34">SUM(C196:G196)</f>
        <v>33749</v>
      </c>
    </row>
    <row r="197" spans="1:8" ht="15" customHeight="1" x14ac:dyDescent="0.3">
      <c r="A197" s="161"/>
      <c r="B197" s="95" t="s">
        <v>4</v>
      </c>
      <c r="C197" s="96">
        <f>SUMIF($B$72:$B$95,$B$72,C173:G196)</f>
        <v>14252</v>
      </c>
      <c r="D197" s="96">
        <f t="shared" si="30"/>
        <v>19019</v>
      </c>
      <c r="E197" s="96">
        <f t="shared" si="31"/>
        <v>13018</v>
      </c>
      <c r="F197" s="96">
        <f t="shared" si="32"/>
        <v>13546</v>
      </c>
      <c r="G197" s="96">
        <f t="shared" si="33"/>
        <v>4877</v>
      </c>
      <c r="H197" s="96">
        <f t="shared" si="34"/>
        <v>64712</v>
      </c>
    </row>
    <row r="198" spans="1:8" ht="15" customHeight="1" x14ac:dyDescent="0.3">
      <c r="A198" s="159" t="s">
        <v>134</v>
      </c>
      <c r="B198" s="159"/>
      <c r="C198" s="159"/>
      <c r="D198" s="159"/>
      <c r="E198" s="159"/>
      <c r="F198" s="7"/>
      <c r="G198" s="7"/>
      <c r="H198" s="7"/>
    </row>
    <row r="201" spans="1:8" ht="15" customHeight="1" x14ac:dyDescent="0.3">
      <c r="A201" s="162" t="s">
        <v>97</v>
      </c>
      <c r="B201" s="162"/>
      <c r="C201" s="162"/>
      <c r="D201" s="162"/>
      <c r="E201" s="162"/>
      <c r="F201" s="162"/>
      <c r="G201" s="162"/>
      <c r="H201" s="162"/>
    </row>
    <row r="202" spans="1:8" ht="15" customHeight="1" x14ac:dyDescent="0.3">
      <c r="A202" s="162" t="s">
        <v>115</v>
      </c>
      <c r="B202" s="162"/>
      <c r="C202" s="162"/>
      <c r="D202" s="162"/>
      <c r="E202" s="162"/>
      <c r="F202" s="162"/>
      <c r="G202" s="162"/>
      <c r="H202" s="162"/>
    </row>
    <row r="203" spans="1:8" ht="15" customHeight="1" x14ac:dyDescent="0.3">
      <c r="A203" s="94" t="s">
        <v>125</v>
      </c>
      <c r="B203" s="46"/>
      <c r="C203" s="46" t="s">
        <v>62</v>
      </c>
      <c r="D203" s="46" t="s">
        <v>63</v>
      </c>
      <c r="E203" s="46" t="s">
        <v>64</v>
      </c>
      <c r="F203" s="46" t="s">
        <v>65</v>
      </c>
      <c r="G203" s="46" t="s">
        <v>0</v>
      </c>
      <c r="H203" s="46" t="s">
        <v>1</v>
      </c>
    </row>
    <row r="204" spans="1:8" ht="15" customHeight="1" x14ac:dyDescent="0.3">
      <c r="A204" s="163" t="s">
        <v>5</v>
      </c>
      <c r="B204" s="16" t="s">
        <v>2</v>
      </c>
      <c r="C204" s="74">
        <v>7</v>
      </c>
      <c r="D204" s="74">
        <v>21</v>
      </c>
      <c r="E204" s="74">
        <v>20</v>
      </c>
      <c r="F204" s="74">
        <v>28</v>
      </c>
      <c r="G204" s="74">
        <v>2</v>
      </c>
      <c r="H204" s="75">
        <f>SUM(C204:G204)</f>
        <v>78</v>
      </c>
    </row>
    <row r="205" spans="1:8" ht="15" customHeight="1" x14ac:dyDescent="0.3">
      <c r="A205" s="163"/>
      <c r="B205" s="16" t="s">
        <v>3</v>
      </c>
      <c r="C205" s="74">
        <v>1465</v>
      </c>
      <c r="D205" s="74">
        <v>2371</v>
      </c>
      <c r="E205" s="74">
        <v>1269</v>
      </c>
      <c r="F205" s="74">
        <v>963</v>
      </c>
      <c r="G205" s="74">
        <v>36</v>
      </c>
      <c r="H205" s="75">
        <f t="shared" ref="H205:H227" si="35">SUM(C205:G205)</f>
        <v>6104</v>
      </c>
    </row>
    <row r="206" spans="1:8" ht="15" customHeight="1" x14ac:dyDescent="0.3">
      <c r="A206" s="163"/>
      <c r="B206" s="16" t="s">
        <v>4</v>
      </c>
      <c r="C206" s="74">
        <v>2849</v>
      </c>
      <c r="D206" s="74">
        <v>5014</v>
      </c>
      <c r="E206" s="74">
        <v>2594</v>
      </c>
      <c r="F206" s="74">
        <v>1855</v>
      </c>
      <c r="G206" s="74">
        <v>68</v>
      </c>
      <c r="H206" s="75">
        <f t="shared" si="35"/>
        <v>12380</v>
      </c>
    </row>
    <row r="207" spans="1:8" ht="15" customHeight="1" x14ac:dyDescent="0.3">
      <c r="A207" s="164" t="s">
        <v>10</v>
      </c>
      <c r="B207" s="11" t="s">
        <v>2</v>
      </c>
      <c r="C207" s="60">
        <v>4</v>
      </c>
      <c r="D207" s="60">
        <v>4</v>
      </c>
      <c r="E207" s="60">
        <v>4</v>
      </c>
      <c r="F207" s="60">
        <v>13</v>
      </c>
      <c r="G207" s="60">
        <v>3</v>
      </c>
      <c r="H207" s="76">
        <f t="shared" si="35"/>
        <v>28</v>
      </c>
    </row>
    <row r="208" spans="1:8" ht="15" customHeight="1" x14ac:dyDescent="0.3">
      <c r="A208" s="164"/>
      <c r="B208" s="11" t="s">
        <v>3</v>
      </c>
      <c r="C208" s="60">
        <v>262</v>
      </c>
      <c r="D208" s="60">
        <v>188</v>
      </c>
      <c r="E208" s="60">
        <v>131</v>
      </c>
      <c r="F208" s="60">
        <v>499</v>
      </c>
      <c r="G208" s="60">
        <v>63</v>
      </c>
      <c r="H208" s="76">
        <f t="shared" si="35"/>
        <v>1143</v>
      </c>
    </row>
    <row r="209" spans="1:8" ht="15" customHeight="1" x14ac:dyDescent="0.3">
      <c r="A209" s="164"/>
      <c r="B209" s="11" t="s">
        <v>4</v>
      </c>
      <c r="C209" s="60">
        <v>498</v>
      </c>
      <c r="D209" s="60">
        <v>350</v>
      </c>
      <c r="E209" s="60">
        <v>239</v>
      </c>
      <c r="F209" s="60">
        <v>954</v>
      </c>
      <c r="G209" s="60">
        <v>118</v>
      </c>
      <c r="H209" s="76">
        <f t="shared" si="35"/>
        <v>2159</v>
      </c>
    </row>
    <row r="210" spans="1:8" ht="15" customHeight="1" x14ac:dyDescent="0.3">
      <c r="A210" s="163" t="s">
        <v>6</v>
      </c>
      <c r="B210" s="16" t="s">
        <v>2</v>
      </c>
      <c r="C210" s="74"/>
      <c r="D210" s="74">
        <v>2</v>
      </c>
      <c r="E210" s="74">
        <v>2</v>
      </c>
      <c r="F210" s="74">
        <v>9</v>
      </c>
      <c r="G210" s="74"/>
      <c r="H210" s="75">
        <f t="shared" si="35"/>
        <v>13</v>
      </c>
    </row>
    <row r="211" spans="1:8" ht="15" customHeight="1" x14ac:dyDescent="0.3">
      <c r="A211" s="163"/>
      <c r="B211" s="16" t="s">
        <v>3</v>
      </c>
      <c r="C211" s="74"/>
      <c r="D211" s="74">
        <v>336</v>
      </c>
      <c r="E211" s="74">
        <v>28</v>
      </c>
      <c r="F211" s="74">
        <v>234</v>
      </c>
      <c r="G211" s="74"/>
      <c r="H211" s="75">
        <f t="shared" si="35"/>
        <v>598</v>
      </c>
    </row>
    <row r="212" spans="1:8" ht="15" customHeight="1" x14ac:dyDescent="0.3">
      <c r="A212" s="163"/>
      <c r="B212" s="16" t="s">
        <v>4</v>
      </c>
      <c r="C212" s="74"/>
      <c r="D212" s="74">
        <v>662</v>
      </c>
      <c r="E212" s="74">
        <v>59</v>
      </c>
      <c r="F212" s="74">
        <v>432</v>
      </c>
      <c r="G212" s="74"/>
      <c r="H212" s="75">
        <f t="shared" si="35"/>
        <v>1153</v>
      </c>
    </row>
    <row r="213" spans="1:8" ht="15" customHeight="1" x14ac:dyDescent="0.3">
      <c r="A213" s="164" t="s">
        <v>9</v>
      </c>
      <c r="B213" s="11" t="s">
        <v>2</v>
      </c>
      <c r="C213" s="60"/>
      <c r="D213" s="60"/>
      <c r="E213" s="60"/>
      <c r="F213" s="60">
        <v>9</v>
      </c>
      <c r="G213" s="60">
        <v>2</v>
      </c>
      <c r="H213" s="76">
        <f t="shared" si="35"/>
        <v>11</v>
      </c>
    </row>
    <row r="214" spans="1:8" ht="15" customHeight="1" x14ac:dyDescent="0.3">
      <c r="A214" s="164"/>
      <c r="B214" s="11" t="s">
        <v>3</v>
      </c>
      <c r="C214" s="60"/>
      <c r="D214" s="60"/>
      <c r="E214" s="60"/>
      <c r="F214" s="60">
        <v>315</v>
      </c>
      <c r="G214" s="60">
        <v>41</v>
      </c>
      <c r="H214" s="76">
        <f t="shared" si="35"/>
        <v>356</v>
      </c>
    </row>
    <row r="215" spans="1:8" ht="15" customHeight="1" x14ac:dyDescent="0.3">
      <c r="A215" s="164"/>
      <c r="B215" s="11" t="s">
        <v>4</v>
      </c>
      <c r="C215" s="60"/>
      <c r="D215" s="60"/>
      <c r="E215" s="60"/>
      <c r="F215" s="60">
        <v>586</v>
      </c>
      <c r="G215" s="60">
        <v>78</v>
      </c>
      <c r="H215" s="76">
        <f t="shared" si="35"/>
        <v>664</v>
      </c>
    </row>
    <row r="216" spans="1:8" ht="15" customHeight="1" x14ac:dyDescent="0.3">
      <c r="A216" s="163" t="s">
        <v>12</v>
      </c>
      <c r="B216" s="16" t="s">
        <v>2</v>
      </c>
      <c r="C216" s="74">
        <v>21</v>
      </c>
      <c r="D216" s="74">
        <v>59</v>
      </c>
      <c r="E216" s="74">
        <v>64</v>
      </c>
      <c r="F216" s="74">
        <v>65</v>
      </c>
      <c r="G216" s="74">
        <v>48</v>
      </c>
      <c r="H216" s="75">
        <f t="shared" si="35"/>
        <v>257</v>
      </c>
    </row>
    <row r="217" spans="1:8" ht="15" customHeight="1" x14ac:dyDescent="0.3">
      <c r="A217" s="163"/>
      <c r="B217" s="16" t="s">
        <v>3</v>
      </c>
      <c r="C217" s="74">
        <v>4305</v>
      </c>
      <c r="D217" s="74">
        <v>5363</v>
      </c>
      <c r="E217" s="74">
        <v>3319</v>
      </c>
      <c r="F217" s="74">
        <v>2217</v>
      </c>
      <c r="G217" s="74">
        <v>1095</v>
      </c>
      <c r="H217" s="75">
        <f t="shared" si="35"/>
        <v>16299</v>
      </c>
    </row>
    <row r="218" spans="1:8" ht="15" customHeight="1" x14ac:dyDescent="0.3">
      <c r="A218" s="163"/>
      <c r="B218" s="16" t="s">
        <v>4</v>
      </c>
      <c r="C218" s="74">
        <v>8154</v>
      </c>
      <c r="D218" s="74">
        <v>9946</v>
      </c>
      <c r="E218" s="74">
        <v>5925</v>
      </c>
      <c r="F218" s="74">
        <v>4002</v>
      </c>
      <c r="G218" s="74">
        <v>2205</v>
      </c>
      <c r="H218" s="75">
        <f t="shared" si="35"/>
        <v>30232</v>
      </c>
    </row>
    <row r="219" spans="1:8" ht="15" customHeight="1" x14ac:dyDescent="0.3">
      <c r="A219" s="165" t="s">
        <v>8</v>
      </c>
      <c r="B219" s="11" t="s">
        <v>2</v>
      </c>
      <c r="C219" s="60">
        <v>3</v>
      </c>
      <c r="D219" s="60">
        <v>24</v>
      </c>
      <c r="E219" s="60">
        <v>50</v>
      </c>
      <c r="F219" s="60">
        <v>76</v>
      </c>
      <c r="G219" s="60">
        <v>44</v>
      </c>
      <c r="H219" s="76">
        <f t="shared" si="35"/>
        <v>197</v>
      </c>
    </row>
    <row r="220" spans="1:8" ht="15" customHeight="1" x14ac:dyDescent="0.3">
      <c r="A220" s="165"/>
      <c r="B220" s="11" t="s">
        <v>3</v>
      </c>
      <c r="C220" s="60">
        <v>85</v>
      </c>
      <c r="D220" s="60">
        <v>560</v>
      </c>
      <c r="E220" s="60">
        <v>1294</v>
      </c>
      <c r="F220" s="60">
        <v>1629</v>
      </c>
      <c r="G220" s="60">
        <v>649</v>
      </c>
      <c r="H220" s="76">
        <f t="shared" si="35"/>
        <v>4217</v>
      </c>
    </row>
    <row r="221" spans="1:8" ht="15" customHeight="1" x14ac:dyDescent="0.3">
      <c r="A221" s="165"/>
      <c r="B221" s="11" t="s">
        <v>4</v>
      </c>
      <c r="C221" s="60">
        <v>171</v>
      </c>
      <c r="D221" s="60">
        <v>1073</v>
      </c>
      <c r="E221" s="60">
        <v>2449</v>
      </c>
      <c r="F221" s="60">
        <v>3090</v>
      </c>
      <c r="G221" s="60">
        <v>1298</v>
      </c>
      <c r="H221" s="76">
        <f t="shared" si="35"/>
        <v>8081</v>
      </c>
    </row>
    <row r="222" spans="1:8" ht="15" customHeight="1" x14ac:dyDescent="0.3">
      <c r="A222" s="163" t="s">
        <v>11</v>
      </c>
      <c r="B222" s="16" t="s">
        <v>2</v>
      </c>
      <c r="C222" s="74">
        <v>2</v>
      </c>
      <c r="D222" s="74">
        <v>15</v>
      </c>
      <c r="E222" s="74">
        <v>10</v>
      </c>
      <c r="F222" s="74">
        <v>18</v>
      </c>
      <c r="G222" s="74">
        <v>3</v>
      </c>
      <c r="H222" s="75">
        <f t="shared" si="35"/>
        <v>48</v>
      </c>
    </row>
    <row r="223" spans="1:8" ht="15" customHeight="1" x14ac:dyDescent="0.3">
      <c r="A223" s="163"/>
      <c r="B223" s="16" t="s">
        <v>3</v>
      </c>
      <c r="C223" s="74">
        <v>400</v>
      </c>
      <c r="D223" s="74">
        <v>1087</v>
      </c>
      <c r="E223" s="74">
        <v>572</v>
      </c>
      <c r="F223" s="74">
        <v>610</v>
      </c>
      <c r="G223" s="74">
        <v>59</v>
      </c>
      <c r="H223" s="75">
        <f t="shared" si="35"/>
        <v>2728</v>
      </c>
    </row>
    <row r="224" spans="1:8" ht="15" customHeight="1" x14ac:dyDescent="0.3">
      <c r="A224" s="163"/>
      <c r="B224" s="16" t="s">
        <v>4</v>
      </c>
      <c r="C224" s="74">
        <v>843</v>
      </c>
      <c r="D224" s="74">
        <v>2077</v>
      </c>
      <c r="E224" s="74">
        <v>1037</v>
      </c>
      <c r="F224" s="74">
        <v>1056</v>
      </c>
      <c r="G224" s="74">
        <v>110</v>
      </c>
      <c r="H224" s="75">
        <f t="shared" si="35"/>
        <v>5123</v>
      </c>
    </row>
    <row r="225" spans="1:8" ht="15" customHeight="1" x14ac:dyDescent="0.3">
      <c r="A225" s="160" t="s">
        <v>7</v>
      </c>
      <c r="B225" s="11" t="s">
        <v>2</v>
      </c>
      <c r="C225" s="77">
        <v>1</v>
      </c>
      <c r="D225" s="77">
        <v>2</v>
      </c>
      <c r="E225" s="77">
        <v>7</v>
      </c>
      <c r="F225" s="77">
        <v>23</v>
      </c>
      <c r="G225" s="77">
        <v>10</v>
      </c>
      <c r="H225" s="78">
        <f t="shared" si="35"/>
        <v>43</v>
      </c>
    </row>
    <row r="226" spans="1:8" ht="15" customHeight="1" x14ac:dyDescent="0.3">
      <c r="A226" s="160"/>
      <c r="B226" s="11" t="s">
        <v>3</v>
      </c>
      <c r="C226" s="77">
        <v>77</v>
      </c>
      <c r="D226" s="77">
        <v>57</v>
      </c>
      <c r="E226" s="77">
        <v>450</v>
      </c>
      <c r="F226" s="77">
        <v>860</v>
      </c>
      <c r="G226" s="77">
        <v>238</v>
      </c>
      <c r="H226" s="78">
        <f t="shared" si="35"/>
        <v>1682</v>
      </c>
    </row>
    <row r="227" spans="1:8" ht="15" customHeight="1" x14ac:dyDescent="0.3">
      <c r="A227" s="160"/>
      <c r="B227" s="11" t="s">
        <v>4</v>
      </c>
      <c r="C227" s="77">
        <v>125</v>
      </c>
      <c r="D227" s="77">
        <v>116</v>
      </c>
      <c r="E227" s="77">
        <v>815</v>
      </c>
      <c r="F227" s="77">
        <v>1543</v>
      </c>
      <c r="G227" s="77">
        <v>508</v>
      </c>
      <c r="H227" s="78">
        <f t="shared" si="35"/>
        <v>3107</v>
      </c>
    </row>
    <row r="228" spans="1:8" ht="15" customHeight="1" x14ac:dyDescent="0.3">
      <c r="A228" s="161" t="s">
        <v>1</v>
      </c>
      <c r="B228" s="95" t="s">
        <v>2</v>
      </c>
      <c r="C228" s="96">
        <f>SUMIF($B$72:$B$95,$B$72,C204:G227)</f>
        <v>38</v>
      </c>
      <c r="D228" s="96">
        <f t="shared" ref="D228:D230" si="36">SUMIF($B$72:$B$95,$B$72,D204:H227)</f>
        <v>127</v>
      </c>
      <c r="E228" s="96">
        <f t="shared" ref="E228:E230" si="37">SUMIF($B$72:$B$95,$B$72,E204:I227)</f>
        <v>157</v>
      </c>
      <c r="F228" s="96">
        <f t="shared" ref="F228:F230" si="38">SUMIF($B$72:$B$95,$B$72,F204:J227)</f>
        <v>241</v>
      </c>
      <c r="G228" s="96">
        <f t="shared" ref="G228:G230" si="39">SUMIF($B$72:$B$95,$B$72,G204:K227)</f>
        <v>112</v>
      </c>
      <c r="H228" s="96">
        <f>SUM(C228:G228)</f>
        <v>675</v>
      </c>
    </row>
    <row r="229" spans="1:8" ht="15" customHeight="1" x14ac:dyDescent="0.3">
      <c r="A229" s="161"/>
      <c r="B229" s="95" t="s">
        <v>3</v>
      </c>
      <c r="C229" s="96">
        <f>SUMIF($B$72:$B$95,$B$72,C205:G228)</f>
        <v>6594</v>
      </c>
      <c r="D229" s="96">
        <f t="shared" si="36"/>
        <v>9962</v>
      </c>
      <c r="E229" s="96">
        <f t="shared" si="37"/>
        <v>7063</v>
      </c>
      <c r="F229" s="96">
        <f t="shared" si="38"/>
        <v>7327</v>
      </c>
      <c r="G229" s="96">
        <f t="shared" si="39"/>
        <v>2181</v>
      </c>
      <c r="H229" s="96">
        <f t="shared" ref="H229:H230" si="40">SUM(C229:G229)</f>
        <v>33127</v>
      </c>
    </row>
    <row r="230" spans="1:8" ht="15" customHeight="1" x14ac:dyDescent="0.3">
      <c r="A230" s="161"/>
      <c r="B230" s="95" t="s">
        <v>4</v>
      </c>
      <c r="C230" s="96">
        <f>SUMIF($B$72:$B$95,$B$72,C206:G229)</f>
        <v>12640</v>
      </c>
      <c r="D230" s="96">
        <f t="shared" si="36"/>
        <v>19238</v>
      </c>
      <c r="E230" s="96">
        <f t="shared" si="37"/>
        <v>13118</v>
      </c>
      <c r="F230" s="96">
        <f t="shared" si="38"/>
        <v>13518</v>
      </c>
      <c r="G230" s="96">
        <f t="shared" si="39"/>
        <v>4385</v>
      </c>
      <c r="H230" s="96">
        <f t="shared" si="40"/>
        <v>62899</v>
      </c>
    </row>
    <row r="231" spans="1:8" ht="15" customHeight="1" x14ac:dyDescent="0.3">
      <c r="A231" s="159" t="s">
        <v>134</v>
      </c>
      <c r="B231" s="159"/>
      <c r="C231" s="159"/>
      <c r="D231" s="159"/>
      <c r="E231" s="159"/>
      <c r="F231" s="7"/>
      <c r="G231" s="7"/>
      <c r="H231" s="7"/>
    </row>
    <row r="234" spans="1:8" ht="15" customHeight="1" x14ac:dyDescent="0.3">
      <c r="A234" s="162" t="s">
        <v>97</v>
      </c>
      <c r="B234" s="162"/>
      <c r="C234" s="162"/>
      <c r="D234" s="162"/>
      <c r="E234" s="162"/>
      <c r="F234" s="162"/>
      <c r="G234" s="162"/>
      <c r="H234" s="162"/>
    </row>
    <row r="235" spans="1:8" ht="15" customHeight="1" x14ac:dyDescent="0.3">
      <c r="A235" s="162" t="s">
        <v>111</v>
      </c>
      <c r="B235" s="162"/>
      <c r="C235" s="162"/>
      <c r="D235" s="162"/>
      <c r="E235" s="162"/>
      <c r="F235" s="162"/>
      <c r="G235" s="162"/>
      <c r="H235" s="162"/>
    </row>
    <row r="236" spans="1:8" ht="15" customHeight="1" x14ac:dyDescent="0.3">
      <c r="A236" s="94" t="s">
        <v>125</v>
      </c>
      <c r="B236" s="46"/>
      <c r="C236" s="46" t="s">
        <v>62</v>
      </c>
      <c r="D236" s="46" t="s">
        <v>63</v>
      </c>
      <c r="E236" s="46" t="s">
        <v>64</v>
      </c>
      <c r="F236" s="46" t="s">
        <v>65</v>
      </c>
      <c r="G236" s="46" t="s">
        <v>0</v>
      </c>
      <c r="H236" s="46" t="s">
        <v>1</v>
      </c>
    </row>
    <row r="237" spans="1:8" ht="15" customHeight="1" x14ac:dyDescent="0.3">
      <c r="A237" s="163" t="s">
        <v>5</v>
      </c>
      <c r="B237" s="16" t="s">
        <v>2</v>
      </c>
      <c r="C237" s="74">
        <v>7</v>
      </c>
      <c r="D237" s="74">
        <v>21</v>
      </c>
      <c r="E237" s="74">
        <v>19</v>
      </c>
      <c r="F237" s="74">
        <v>28</v>
      </c>
      <c r="G237" s="74">
        <v>2</v>
      </c>
      <c r="H237" s="75">
        <f>SUM(C237:G237)</f>
        <v>77</v>
      </c>
    </row>
    <row r="238" spans="1:8" ht="15" customHeight="1" x14ac:dyDescent="0.3">
      <c r="A238" s="163"/>
      <c r="B238" s="16" t="s">
        <v>3</v>
      </c>
      <c r="C238" s="74">
        <v>1496</v>
      </c>
      <c r="D238" s="74">
        <v>2353</v>
      </c>
      <c r="E238" s="74">
        <v>1252</v>
      </c>
      <c r="F238" s="74">
        <v>963</v>
      </c>
      <c r="G238" s="74">
        <v>36</v>
      </c>
      <c r="H238" s="75">
        <f t="shared" ref="H238:H260" si="41">SUM(C238:G238)</f>
        <v>6100</v>
      </c>
    </row>
    <row r="239" spans="1:8" ht="15" customHeight="1" x14ac:dyDescent="0.3">
      <c r="A239" s="163"/>
      <c r="B239" s="16" t="s">
        <v>4</v>
      </c>
      <c r="C239" s="74">
        <v>2861</v>
      </c>
      <c r="D239" s="74">
        <v>4859</v>
      </c>
      <c r="E239" s="74">
        <v>2551</v>
      </c>
      <c r="F239" s="74">
        <v>1855</v>
      </c>
      <c r="G239" s="74">
        <v>68</v>
      </c>
      <c r="H239" s="75">
        <f t="shared" si="41"/>
        <v>12194</v>
      </c>
    </row>
    <row r="240" spans="1:8" ht="15" customHeight="1" x14ac:dyDescent="0.3">
      <c r="A240" s="164" t="s">
        <v>10</v>
      </c>
      <c r="B240" s="11" t="s">
        <v>2</v>
      </c>
      <c r="C240" s="60">
        <v>4</v>
      </c>
      <c r="D240" s="60">
        <v>4</v>
      </c>
      <c r="E240" s="60">
        <v>5</v>
      </c>
      <c r="F240" s="60">
        <v>11</v>
      </c>
      <c r="G240" s="60">
        <v>3</v>
      </c>
      <c r="H240" s="76">
        <f t="shared" si="41"/>
        <v>27</v>
      </c>
    </row>
    <row r="241" spans="1:8" ht="15" customHeight="1" x14ac:dyDescent="0.3">
      <c r="A241" s="164"/>
      <c r="B241" s="11" t="s">
        <v>3</v>
      </c>
      <c r="C241" s="60">
        <v>262</v>
      </c>
      <c r="D241" s="60">
        <v>188</v>
      </c>
      <c r="E241" s="60">
        <v>196</v>
      </c>
      <c r="F241" s="60">
        <v>412</v>
      </c>
      <c r="G241" s="60">
        <v>63</v>
      </c>
      <c r="H241" s="76">
        <f t="shared" si="41"/>
        <v>1121</v>
      </c>
    </row>
    <row r="242" spans="1:8" ht="15" customHeight="1" x14ac:dyDescent="0.3">
      <c r="A242" s="164"/>
      <c r="B242" s="11" t="s">
        <v>4</v>
      </c>
      <c r="C242" s="60">
        <v>498</v>
      </c>
      <c r="D242" s="60">
        <v>350</v>
      </c>
      <c r="E242" s="60">
        <v>364</v>
      </c>
      <c r="F242" s="60">
        <v>787</v>
      </c>
      <c r="G242" s="60">
        <v>118</v>
      </c>
      <c r="H242" s="76">
        <f t="shared" si="41"/>
        <v>2117</v>
      </c>
    </row>
    <row r="243" spans="1:8" ht="15" customHeight="1" x14ac:dyDescent="0.3">
      <c r="A243" s="163" t="s">
        <v>6</v>
      </c>
      <c r="B243" s="16" t="s">
        <v>2</v>
      </c>
      <c r="C243" s="74">
        <v>0</v>
      </c>
      <c r="D243" s="74">
        <v>2</v>
      </c>
      <c r="E243" s="74">
        <v>2</v>
      </c>
      <c r="F243" s="74">
        <v>9</v>
      </c>
      <c r="G243" s="74">
        <v>0</v>
      </c>
      <c r="H243" s="75">
        <f t="shared" si="41"/>
        <v>13</v>
      </c>
    </row>
    <row r="244" spans="1:8" ht="15" customHeight="1" x14ac:dyDescent="0.3">
      <c r="A244" s="163"/>
      <c r="B244" s="16" t="s">
        <v>3</v>
      </c>
      <c r="C244" s="74">
        <v>0</v>
      </c>
      <c r="D244" s="74">
        <v>336</v>
      </c>
      <c r="E244" s="74">
        <v>28</v>
      </c>
      <c r="F244" s="74">
        <v>234</v>
      </c>
      <c r="G244" s="74">
        <v>0</v>
      </c>
      <c r="H244" s="75">
        <f t="shared" si="41"/>
        <v>598</v>
      </c>
    </row>
    <row r="245" spans="1:8" ht="15" customHeight="1" x14ac:dyDescent="0.3">
      <c r="A245" s="163"/>
      <c r="B245" s="16" t="s">
        <v>4</v>
      </c>
      <c r="C245" s="74">
        <v>0</v>
      </c>
      <c r="D245" s="74">
        <v>662</v>
      </c>
      <c r="E245" s="74">
        <v>59</v>
      </c>
      <c r="F245" s="74">
        <v>432</v>
      </c>
      <c r="G245" s="74">
        <v>0</v>
      </c>
      <c r="H245" s="75">
        <f t="shared" si="41"/>
        <v>1153</v>
      </c>
    </row>
    <row r="246" spans="1:8" ht="15" customHeight="1" x14ac:dyDescent="0.3">
      <c r="A246" s="164" t="s">
        <v>9</v>
      </c>
      <c r="B246" s="11" t="s">
        <v>2</v>
      </c>
      <c r="C246" s="60">
        <v>0</v>
      </c>
      <c r="D246" s="60">
        <v>0</v>
      </c>
      <c r="E246" s="60">
        <v>0</v>
      </c>
      <c r="F246" s="60">
        <v>8</v>
      </c>
      <c r="G246" s="60">
        <v>2</v>
      </c>
      <c r="H246" s="76">
        <f t="shared" si="41"/>
        <v>10</v>
      </c>
    </row>
    <row r="247" spans="1:8" ht="15" customHeight="1" x14ac:dyDescent="0.3">
      <c r="A247" s="164"/>
      <c r="B247" s="11" t="s">
        <v>3</v>
      </c>
      <c r="C247" s="60">
        <v>0</v>
      </c>
      <c r="D247" s="60">
        <v>0</v>
      </c>
      <c r="E247" s="60">
        <v>0</v>
      </c>
      <c r="F247" s="60">
        <v>275</v>
      </c>
      <c r="G247" s="60">
        <v>41</v>
      </c>
      <c r="H247" s="76">
        <f t="shared" si="41"/>
        <v>316</v>
      </c>
    </row>
    <row r="248" spans="1:8" ht="15" customHeight="1" x14ac:dyDescent="0.3">
      <c r="A248" s="164"/>
      <c r="B248" s="11" t="s">
        <v>4</v>
      </c>
      <c r="C248" s="60">
        <v>0</v>
      </c>
      <c r="D248" s="60">
        <v>0</v>
      </c>
      <c r="E248" s="60">
        <v>0</v>
      </c>
      <c r="F248" s="60">
        <v>511</v>
      </c>
      <c r="G248" s="60">
        <v>78</v>
      </c>
      <c r="H248" s="76">
        <f t="shared" si="41"/>
        <v>589</v>
      </c>
    </row>
    <row r="249" spans="1:8" ht="15" customHeight="1" x14ac:dyDescent="0.3">
      <c r="A249" s="163" t="s">
        <v>12</v>
      </c>
      <c r="B249" s="16" t="s">
        <v>2</v>
      </c>
      <c r="C249" s="74">
        <v>17</v>
      </c>
      <c r="D249" s="74">
        <v>51</v>
      </c>
      <c r="E249" s="74">
        <v>56</v>
      </c>
      <c r="F249" s="74">
        <v>69</v>
      </c>
      <c r="G249" s="74">
        <v>46</v>
      </c>
      <c r="H249" s="75">
        <f t="shared" si="41"/>
        <v>239</v>
      </c>
    </row>
    <row r="250" spans="1:8" ht="15" customHeight="1" x14ac:dyDescent="0.3">
      <c r="A250" s="163"/>
      <c r="B250" s="16" t="s">
        <v>3</v>
      </c>
      <c r="C250" s="74">
        <v>4128</v>
      </c>
      <c r="D250" s="74">
        <v>4939</v>
      </c>
      <c r="E250" s="74">
        <v>3117</v>
      </c>
      <c r="F250" s="74">
        <v>2321</v>
      </c>
      <c r="G250" s="74">
        <v>1071</v>
      </c>
      <c r="H250" s="75">
        <f t="shared" si="41"/>
        <v>15576</v>
      </c>
    </row>
    <row r="251" spans="1:8" ht="15" customHeight="1" x14ac:dyDescent="0.3">
      <c r="A251" s="163"/>
      <c r="B251" s="16" t="s">
        <v>4</v>
      </c>
      <c r="C251" s="74">
        <v>7889</v>
      </c>
      <c r="D251" s="74">
        <v>9231</v>
      </c>
      <c r="E251" s="74">
        <v>5542</v>
      </c>
      <c r="F251" s="74">
        <v>4194</v>
      </c>
      <c r="G251" s="74">
        <v>2080</v>
      </c>
      <c r="H251" s="75">
        <f t="shared" si="41"/>
        <v>28936</v>
      </c>
    </row>
    <row r="252" spans="1:8" ht="15" customHeight="1" x14ac:dyDescent="0.3">
      <c r="A252" s="165" t="s">
        <v>8</v>
      </c>
      <c r="B252" s="11" t="s">
        <v>2</v>
      </c>
      <c r="C252" s="60">
        <v>3</v>
      </c>
      <c r="D252" s="60">
        <v>24</v>
      </c>
      <c r="E252" s="60">
        <v>49</v>
      </c>
      <c r="F252" s="60">
        <v>76</v>
      </c>
      <c r="G252" s="60">
        <v>42</v>
      </c>
      <c r="H252" s="76">
        <f t="shared" si="41"/>
        <v>194</v>
      </c>
    </row>
    <row r="253" spans="1:8" ht="15" customHeight="1" x14ac:dyDescent="0.3">
      <c r="A253" s="165"/>
      <c r="B253" s="11" t="s">
        <v>3</v>
      </c>
      <c r="C253" s="60">
        <v>85</v>
      </c>
      <c r="D253" s="60">
        <v>560</v>
      </c>
      <c r="E253" s="60">
        <v>1266</v>
      </c>
      <c r="F253" s="60">
        <v>1625</v>
      </c>
      <c r="G253" s="60">
        <v>621</v>
      </c>
      <c r="H253" s="76">
        <f t="shared" si="41"/>
        <v>4157</v>
      </c>
    </row>
    <row r="254" spans="1:8" ht="15" customHeight="1" x14ac:dyDescent="0.3">
      <c r="A254" s="165"/>
      <c r="B254" s="11" t="s">
        <v>4</v>
      </c>
      <c r="C254" s="60">
        <v>171</v>
      </c>
      <c r="D254" s="60">
        <v>1073</v>
      </c>
      <c r="E254" s="60">
        <v>2390</v>
      </c>
      <c r="F254" s="60">
        <v>3074</v>
      </c>
      <c r="G254" s="60">
        <v>1246</v>
      </c>
      <c r="H254" s="76">
        <f t="shared" si="41"/>
        <v>7954</v>
      </c>
    </row>
    <row r="255" spans="1:8" ht="15" customHeight="1" x14ac:dyDescent="0.3">
      <c r="A255" s="163" t="s">
        <v>11</v>
      </c>
      <c r="B255" s="16" t="s">
        <v>2</v>
      </c>
      <c r="C255" s="74">
        <v>1</v>
      </c>
      <c r="D255" s="74">
        <v>15</v>
      </c>
      <c r="E255" s="74">
        <v>11</v>
      </c>
      <c r="F255" s="74">
        <v>19</v>
      </c>
      <c r="G255" s="74">
        <v>2</v>
      </c>
      <c r="H255" s="75">
        <f t="shared" si="41"/>
        <v>48</v>
      </c>
    </row>
    <row r="256" spans="1:8" ht="15" customHeight="1" x14ac:dyDescent="0.3">
      <c r="A256" s="163"/>
      <c r="B256" s="16" t="s">
        <v>3</v>
      </c>
      <c r="C256" s="74">
        <v>366</v>
      </c>
      <c r="D256" s="74">
        <v>1081</v>
      </c>
      <c r="E256" s="74">
        <v>620</v>
      </c>
      <c r="F256" s="74">
        <v>637</v>
      </c>
      <c r="G256" s="74">
        <v>47</v>
      </c>
      <c r="H256" s="75">
        <f t="shared" si="41"/>
        <v>2751</v>
      </c>
    </row>
    <row r="257" spans="1:8" ht="15" customHeight="1" x14ac:dyDescent="0.3">
      <c r="A257" s="163"/>
      <c r="B257" s="16" t="s">
        <v>4</v>
      </c>
      <c r="C257" s="74">
        <v>751</v>
      </c>
      <c r="D257" s="74">
        <v>2056</v>
      </c>
      <c r="E257" s="74">
        <v>1129</v>
      </c>
      <c r="F257" s="74">
        <v>1106</v>
      </c>
      <c r="G257" s="74">
        <v>87</v>
      </c>
      <c r="H257" s="75">
        <f t="shared" si="41"/>
        <v>5129</v>
      </c>
    </row>
    <row r="258" spans="1:8" ht="15" customHeight="1" x14ac:dyDescent="0.3">
      <c r="A258" s="160" t="s">
        <v>7</v>
      </c>
      <c r="B258" s="11" t="s">
        <v>2</v>
      </c>
      <c r="C258" s="77">
        <v>1</v>
      </c>
      <c r="D258" s="77">
        <v>1</v>
      </c>
      <c r="E258" s="77">
        <v>7</v>
      </c>
      <c r="F258" s="77">
        <v>24</v>
      </c>
      <c r="G258" s="77">
        <v>8</v>
      </c>
      <c r="H258" s="78">
        <f t="shared" si="41"/>
        <v>41</v>
      </c>
    </row>
    <row r="259" spans="1:8" ht="15" customHeight="1" x14ac:dyDescent="0.3">
      <c r="A259" s="160"/>
      <c r="B259" s="11" t="s">
        <v>3</v>
      </c>
      <c r="C259" s="77">
        <v>77</v>
      </c>
      <c r="D259" s="77">
        <v>23</v>
      </c>
      <c r="E259" s="77">
        <v>450</v>
      </c>
      <c r="F259" s="77">
        <v>914</v>
      </c>
      <c r="G259" s="77">
        <v>167</v>
      </c>
      <c r="H259" s="78">
        <f t="shared" si="41"/>
        <v>1631</v>
      </c>
    </row>
    <row r="260" spans="1:8" ht="15" customHeight="1" x14ac:dyDescent="0.3">
      <c r="A260" s="160"/>
      <c r="B260" s="11" t="s">
        <v>4</v>
      </c>
      <c r="C260" s="77">
        <v>125</v>
      </c>
      <c r="D260" s="77">
        <v>45</v>
      </c>
      <c r="E260" s="77">
        <v>815</v>
      </c>
      <c r="F260" s="77">
        <v>1651</v>
      </c>
      <c r="G260" s="77">
        <v>321</v>
      </c>
      <c r="H260" s="78">
        <f t="shared" si="41"/>
        <v>2957</v>
      </c>
    </row>
    <row r="261" spans="1:8" ht="15" customHeight="1" x14ac:dyDescent="0.3">
      <c r="A261" s="161" t="s">
        <v>1</v>
      </c>
      <c r="B261" s="95" t="s">
        <v>2</v>
      </c>
      <c r="C261" s="96">
        <f>SUMIF($B$72:$B$95,$B$72,C237:G260)</f>
        <v>33</v>
      </c>
      <c r="D261" s="96">
        <f t="shared" ref="D261:D263" si="42">SUMIF($B$72:$B$95,$B$72,D237:H260)</f>
        <v>118</v>
      </c>
      <c r="E261" s="96">
        <f t="shared" ref="E261:E263" si="43">SUMIF($B$72:$B$95,$B$72,E237:I260)</f>
        <v>149</v>
      </c>
      <c r="F261" s="96">
        <f t="shared" ref="F261:F263" si="44">SUMIF($B$72:$B$95,$B$72,F237:J260)</f>
        <v>244</v>
      </c>
      <c r="G261" s="96">
        <f t="shared" ref="G261:G263" si="45">SUMIF($B$72:$B$95,$B$72,G237:K260)</f>
        <v>105</v>
      </c>
      <c r="H261" s="96">
        <f>SUM(C261:G261)</f>
        <v>649</v>
      </c>
    </row>
    <row r="262" spans="1:8" ht="15" customHeight="1" x14ac:dyDescent="0.3">
      <c r="A262" s="161"/>
      <c r="B262" s="95" t="s">
        <v>3</v>
      </c>
      <c r="C262" s="96">
        <f>SUMIF($B$72:$B$95,$B$72,C238:G261)</f>
        <v>6414</v>
      </c>
      <c r="D262" s="96">
        <f t="shared" si="42"/>
        <v>9480</v>
      </c>
      <c r="E262" s="96">
        <f t="shared" si="43"/>
        <v>6929</v>
      </c>
      <c r="F262" s="96">
        <f t="shared" si="44"/>
        <v>7381</v>
      </c>
      <c r="G262" s="96">
        <f t="shared" si="45"/>
        <v>2046</v>
      </c>
      <c r="H262" s="96">
        <f t="shared" ref="H262:H263" si="46">SUM(C262:G262)</f>
        <v>32250</v>
      </c>
    </row>
    <row r="263" spans="1:8" ht="15" customHeight="1" x14ac:dyDescent="0.3">
      <c r="A263" s="161"/>
      <c r="B263" s="95" t="s">
        <v>4</v>
      </c>
      <c r="C263" s="96">
        <f>SUMIF($B$72:$B$95,$B$72,C239:G262)</f>
        <v>12295</v>
      </c>
      <c r="D263" s="96">
        <f t="shared" si="42"/>
        <v>18276</v>
      </c>
      <c r="E263" s="96">
        <f t="shared" si="43"/>
        <v>12850</v>
      </c>
      <c r="F263" s="96">
        <f t="shared" si="44"/>
        <v>13610</v>
      </c>
      <c r="G263" s="96">
        <f t="shared" si="45"/>
        <v>3998</v>
      </c>
      <c r="H263" s="96">
        <f t="shared" si="46"/>
        <v>61029</v>
      </c>
    </row>
    <row r="264" spans="1:8" ht="15" customHeight="1" x14ac:dyDescent="0.3">
      <c r="A264" s="159" t="s">
        <v>134</v>
      </c>
      <c r="B264" s="159"/>
      <c r="C264" s="159"/>
      <c r="D264" s="159"/>
      <c r="E264" s="159"/>
      <c r="F264" s="7"/>
      <c r="G264" s="7"/>
      <c r="H264" s="7"/>
    </row>
    <row r="267" spans="1:8" ht="15" customHeight="1" x14ac:dyDescent="0.3">
      <c r="A267" s="162" t="s">
        <v>97</v>
      </c>
      <c r="B267" s="162"/>
      <c r="C267" s="162"/>
      <c r="D267" s="162"/>
      <c r="E267" s="162"/>
      <c r="F267" s="162"/>
      <c r="G267" s="162"/>
      <c r="H267" s="162"/>
    </row>
    <row r="268" spans="1:8" ht="15" customHeight="1" x14ac:dyDescent="0.3">
      <c r="A268" s="162" t="s">
        <v>98</v>
      </c>
      <c r="B268" s="162"/>
      <c r="C268" s="162"/>
      <c r="D268" s="162"/>
      <c r="E268" s="162"/>
      <c r="F268" s="162"/>
      <c r="G268" s="162"/>
      <c r="H268" s="162"/>
    </row>
    <row r="269" spans="1:8" ht="15" customHeight="1" x14ac:dyDescent="0.3">
      <c r="A269" s="94" t="s">
        <v>125</v>
      </c>
      <c r="B269" s="46"/>
      <c r="C269" s="46" t="s">
        <v>62</v>
      </c>
      <c r="D269" s="46" t="s">
        <v>63</v>
      </c>
      <c r="E269" s="46" t="s">
        <v>64</v>
      </c>
      <c r="F269" s="46" t="s">
        <v>65</v>
      </c>
      <c r="G269" s="46" t="s">
        <v>0</v>
      </c>
      <c r="H269" s="46" t="s">
        <v>1</v>
      </c>
    </row>
    <row r="270" spans="1:8" ht="15" customHeight="1" x14ac:dyDescent="0.3">
      <c r="A270" s="167" t="s">
        <v>5</v>
      </c>
      <c r="B270" s="16" t="s">
        <v>2</v>
      </c>
      <c r="C270" s="74">
        <v>9</v>
      </c>
      <c r="D270" s="74">
        <v>19</v>
      </c>
      <c r="E270" s="74">
        <v>19</v>
      </c>
      <c r="F270" s="74">
        <v>29</v>
      </c>
      <c r="G270" s="74">
        <v>2</v>
      </c>
      <c r="H270" s="75">
        <f>SUM(C270:G270)</f>
        <v>78</v>
      </c>
    </row>
    <row r="271" spans="1:8" ht="15" customHeight="1" x14ac:dyDescent="0.3">
      <c r="A271" s="167"/>
      <c r="B271" s="16" t="s">
        <v>3</v>
      </c>
      <c r="C271" s="74">
        <v>1690</v>
      </c>
      <c r="D271" s="74">
        <v>2124</v>
      </c>
      <c r="E271" s="74">
        <v>1252</v>
      </c>
      <c r="F271" s="74">
        <v>976</v>
      </c>
      <c r="G271" s="74">
        <v>36</v>
      </c>
      <c r="H271" s="75">
        <f t="shared" ref="H271:H293" si="47">SUM(C271:G271)</f>
        <v>6078</v>
      </c>
    </row>
    <row r="272" spans="1:8" ht="15" customHeight="1" x14ac:dyDescent="0.3">
      <c r="A272" s="167"/>
      <c r="B272" s="16" t="s">
        <v>4</v>
      </c>
      <c r="C272" s="74">
        <v>3223</v>
      </c>
      <c r="D272" s="74">
        <v>4423</v>
      </c>
      <c r="E272" s="74">
        <v>2551</v>
      </c>
      <c r="F272" s="74">
        <v>1841</v>
      </c>
      <c r="G272" s="74">
        <v>68</v>
      </c>
      <c r="H272" s="75">
        <f t="shared" si="47"/>
        <v>12106</v>
      </c>
    </row>
    <row r="273" spans="1:8" ht="15" customHeight="1" x14ac:dyDescent="0.3">
      <c r="A273" s="170" t="s">
        <v>10</v>
      </c>
      <c r="B273" s="11" t="s">
        <v>2</v>
      </c>
      <c r="C273" s="60">
        <v>4</v>
      </c>
      <c r="D273" s="60">
        <v>5</v>
      </c>
      <c r="E273" s="60">
        <v>4</v>
      </c>
      <c r="F273" s="60">
        <v>11</v>
      </c>
      <c r="G273" s="60">
        <v>3</v>
      </c>
      <c r="H273" s="76">
        <f t="shared" si="47"/>
        <v>27</v>
      </c>
    </row>
    <row r="274" spans="1:8" ht="15" customHeight="1" x14ac:dyDescent="0.3">
      <c r="A274" s="170"/>
      <c r="B274" s="11" t="s">
        <v>3</v>
      </c>
      <c r="C274" s="60">
        <v>253</v>
      </c>
      <c r="D274" s="60">
        <v>178</v>
      </c>
      <c r="E274" s="60">
        <v>131</v>
      </c>
      <c r="F274" s="60">
        <v>440</v>
      </c>
      <c r="G274" s="60">
        <v>63</v>
      </c>
      <c r="H274" s="76">
        <f t="shared" si="47"/>
        <v>1065</v>
      </c>
    </row>
    <row r="275" spans="1:8" ht="15" customHeight="1" x14ac:dyDescent="0.3">
      <c r="A275" s="170"/>
      <c r="B275" s="11" t="s">
        <v>4</v>
      </c>
      <c r="C275" s="60">
        <v>462</v>
      </c>
      <c r="D275" s="60">
        <v>338</v>
      </c>
      <c r="E275" s="60">
        <v>239</v>
      </c>
      <c r="F275" s="60">
        <v>838</v>
      </c>
      <c r="G275" s="60">
        <v>118</v>
      </c>
      <c r="H275" s="76">
        <f t="shared" si="47"/>
        <v>1995</v>
      </c>
    </row>
    <row r="276" spans="1:8" ht="15" customHeight="1" x14ac:dyDescent="0.3">
      <c r="A276" s="167" t="s">
        <v>6</v>
      </c>
      <c r="B276" s="16" t="s">
        <v>2</v>
      </c>
      <c r="C276" s="74">
        <v>0</v>
      </c>
      <c r="D276" s="74">
        <v>2</v>
      </c>
      <c r="E276" s="74">
        <v>1</v>
      </c>
      <c r="F276" s="74">
        <v>11</v>
      </c>
      <c r="G276" s="74">
        <v>0</v>
      </c>
      <c r="H276" s="75">
        <f t="shared" si="47"/>
        <v>14</v>
      </c>
    </row>
    <row r="277" spans="1:8" ht="15" customHeight="1" x14ac:dyDescent="0.3">
      <c r="A277" s="167"/>
      <c r="B277" s="16" t="s">
        <v>3</v>
      </c>
      <c r="C277" s="74">
        <v>0</v>
      </c>
      <c r="D277" s="74">
        <v>336</v>
      </c>
      <c r="E277" s="74">
        <v>8</v>
      </c>
      <c r="F277" s="74">
        <v>339</v>
      </c>
      <c r="G277" s="74">
        <v>0</v>
      </c>
      <c r="H277" s="75">
        <f t="shared" si="47"/>
        <v>683</v>
      </c>
    </row>
    <row r="278" spans="1:8" ht="15" customHeight="1" x14ac:dyDescent="0.3">
      <c r="A278" s="167"/>
      <c r="B278" s="16" t="s">
        <v>4</v>
      </c>
      <c r="C278" s="74">
        <v>0</v>
      </c>
      <c r="D278" s="74">
        <v>662</v>
      </c>
      <c r="E278" s="74">
        <v>21</v>
      </c>
      <c r="F278" s="74">
        <v>634</v>
      </c>
      <c r="G278" s="74">
        <v>0</v>
      </c>
      <c r="H278" s="75">
        <f t="shared" si="47"/>
        <v>1317</v>
      </c>
    </row>
    <row r="279" spans="1:8" ht="15" customHeight="1" x14ac:dyDescent="0.3">
      <c r="A279" s="170" t="s">
        <v>9</v>
      </c>
      <c r="B279" s="11" t="s">
        <v>2</v>
      </c>
      <c r="C279" s="60">
        <v>0</v>
      </c>
      <c r="D279" s="60">
        <v>0</v>
      </c>
      <c r="E279" s="60">
        <v>0</v>
      </c>
      <c r="F279" s="60">
        <v>9</v>
      </c>
      <c r="G279" s="60">
        <v>2</v>
      </c>
      <c r="H279" s="76">
        <f t="shared" si="47"/>
        <v>11</v>
      </c>
    </row>
    <row r="280" spans="1:8" ht="15" customHeight="1" x14ac:dyDescent="0.3">
      <c r="A280" s="170"/>
      <c r="B280" s="11" t="s">
        <v>3</v>
      </c>
      <c r="C280" s="60">
        <v>0</v>
      </c>
      <c r="D280" s="60">
        <v>0</v>
      </c>
      <c r="E280" s="60">
        <v>0</v>
      </c>
      <c r="F280" s="60">
        <v>315</v>
      </c>
      <c r="G280" s="60">
        <v>41</v>
      </c>
      <c r="H280" s="76">
        <f t="shared" si="47"/>
        <v>356</v>
      </c>
    </row>
    <row r="281" spans="1:8" ht="15" customHeight="1" x14ac:dyDescent="0.3">
      <c r="A281" s="170"/>
      <c r="B281" s="11" t="s">
        <v>4</v>
      </c>
      <c r="C281" s="60">
        <v>0</v>
      </c>
      <c r="D281" s="60">
        <v>0</v>
      </c>
      <c r="E281" s="60">
        <v>0</v>
      </c>
      <c r="F281" s="60">
        <v>586</v>
      </c>
      <c r="G281" s="60">
        <v>75</v>
      </c>
      <c r="H281" s="76">
        <f t="shared" si="47"/>
        <v>661</v>
      </c>
    </row>
    <row r="282" spans="1:8" ht="15" customHeight="1" x14ac:dyDescent="0.3">
      <c r="A282" s="167" t="s">
        <v>12</v>
      </c>
      <c r="B282" s="16" t="s">
        <v>2</v>
      </c>
      <c r="C282" s="74">
        <v>17</v>
      </c>
      <c r="D282" s="74">
        <v>44</v>
      </c>
      <c r="E282" s="74">
        <v>47</v>
      </c>
      <c r="F282" s="74">
        <v>74</v>
      </c>
      <c r="G282" s="74">
        <v>45</v>
      </c>
      <c r="H282" s="75">
        <f t="shared" si="47"/>
        <v>227</v>
      </c>
    </row>
    <row r="283" spans="1:8" ht="15" customHeight="1" x14ac:dyDescent="0.3">
      <c r="A283" s="167"/>
      <c r="B283" s="16" t="s">
        <v>3</v>
      </c>
      <c r="C283" s="74">
        <v>4279</v>
      </c>
      <c r="D283" s="74">
        <v>4392</v>
      </c>
      <c r="E283" s="74">
        <v>2870</v>
      </c>
      <c r="F283" s="74">
        <v>2485</v>
      </c>
      <c r="G283" s="74">
        <v>998</v>
      </c>
      <c r="H283" s="75">
        <f t="shared" si="47"/>
        <v>15024</v>
      </c>
    </row>
    <row r="284" spans="1:8" ht="15" customHeight="1" x14ac:dyDescent="0.3">
      <c r="A284" s="167"/>
      <c r="B284" s="16" t="s">
        <v>4</v>
      </c>
      <c r="C284" s="74">
        <v>8177</v>
      </c>
      <c r="D284" s="74">
        <v>8012</v>
      </c>
      <c r="E284" s="74">
        <v>5069</v>
      </c>
      <c r="F284" s="74">
        <v>4507</v>
      </c>
      <c r="G284" s="74">
        <v>1816</v>
      </c>
      <c r="H284" s="75">
        <f t="shared" si="47"/>
        <v>27581</v>
      </c>
    </row>
    <row r="285" spans="1:8" ht="15" customHeight="1" x14ac:dyDescent="0.3">
      <c r="A285" s="171" t="s">
        <v>8</v>
      </c>
      <c r="B285" s="11" t="s">
        <v>2</v>
      </c>
      <c r="C285" s="60">
        <v>3</v>
      </c>
      <c r="D285" s="60">
        <v>24</v>
      </c>
      <c r="E285" s="60">
        <v>50</v>
      </c>
      <c r="F285" s="60">
        <v>82</v>
      </c>
      <c r="G285" s="60">
        <v>43</v>
      </c>
      <c r="H285" s="76">
        <f t="shared" si="47"/>
        <v>202</v>
      </c>
    </row>
    <row r="286" spans="1:8" ht="15" customHeight="1" x14ac:dyDescent="0.3">
      <c r="A286" s="171"/>
      <c r="B286" s="11" t="s">
        <v>3</v>
      </c>
      <c r="C286" s="60">
        <v>85</v>
      </c>
      <c r="D286" s="60">
        <v>556</v>
      </c>
      <c r="E286" s="60">
        <v>1281</v>
      </c>
      <c r="F286" s="60">
        <v>1767</v>
      </c>
      <c r="G286" s="60">
        <v>649</v>
      </c>
      <c r="H286" s="76">
        <f t="shared" si="47"/>
        <v>4338</v>
      </c>
    </row>
    <row r="287" spans="1:8" ht="15" customHeight="1" x14ac:dyDescent="0.3">
      <c r="A287" s="171"/>
      <c r="B287" s="11" t="s">
        <v>4</v>
      </c>
      <c r="C287" s="60">
        <v>171</v>
      </c>
      <c r="D287" s="60">
        <v>1065</v>
      </c>
      <c r="E287" s="60">
        <v>2408</v>
      </c>
      <c r="F287" s="60">
        <v>3326</v>
      </c>
      <c r="G287" s="60">
        <v>1289</v>
      </c>
      <c r="H287" s="76">
        <f t="shared" si="47"/>
        <v>8259</v>
      </c>
    </row>
    <row r="288" spans="1:8" ht="15" customHeight="1" x14ac:dyDescent="0.3">
      <c r="A288" s="167" t="s">
        <v>11</v>
      </c>
      <c r="B288" s="16" t="s">
        <v>2</v>
      </c>
      <c r="C288" s="74">
        <v>1</v>
      </c>
      <c r="D288" s="74">
        <v>14</v>
      </c>
      <c r="E288" s="74">
        <v>12</v>
      </c>
      <c r="F288" s="74">
        <v>17</v>
      </c>
      <c r="G288" s="74">
        <v>3</v>
      </c>
      <c r="H288" s="75">
        <f t="shared" si="47"/>
        <v>47</v>
      </c>
    </row>
    <row r="289" spans="1:8" ht="15" customHeight="1" x14ac:dyDescent="0.3">
      <c r="A289" s="167"/>
      <c r="B289" s="16" t="s">
        <v>3</v>
      </c>
      <c r="C289" s="74">
        <v>374</v>
      </c>
      <c r="D289" s="74">
        <v>1018</v>
      </c>
      <c r="E289" s="74">
        <v>659</v>
      </c>
      <c r="F289" s="74">
        <v>575</v>
      </c>
      <c r="G289" s="74">
        <v>71</v>
      </c>
      <c r="H289" s="75">
        <f t="shared" si="47"/>
        <v>2697</v>
      </c>
    </row>
    <row r="290" spans="1:8" ht="15" customHeight="1" x14ac:dyDescent="0.3">
      <c r="A290" s="167"/>
      <c r="B290" s="16" t="s">
        <v>4</v>
      </c>
      <c r="C290" s="74">
        <v>698</v>
      </c>
      <c r="D290" s="74">
        <v>1936</v>
      </c>
      <c r="E290" s="74">
        <v>1204</v>
      </c>
      <c r="F290" s="74">
        <v>991</v>
      </c>
      <c r="G290" s="74">
        <v>128</v>
      </c>
      <c r="H290" s="75">
        <f t="shared" si="47"/>
        <v>4957</v>
      </c>
    </row>
    <row r="291" spans="1:8" ht="15" customHeight="1" x14ac:dyDescent="0.3">
      <c r="A291" s="168" t="s">
        <v>7</v>
      </c>
      <c r="B291" s="11" t="s">
        <v>2</v>
      </c>
      <c r="C291" s="77">
        <v>1</v>
      </c>
      <c r="D291" s="77">
        <v>1</v>
      </c>
      <c r="E291" s="77">
        <v>7</v>
      </c>
      <c r="F291" s="77">
        <v>24</v>
      </c>
      <c r="G291" s="77">
        <v>9</v>
      </c>
      <c r="H291" s="78">
        <f t="shared" si="47"/>
        <v>42</v>
      </c>
    </row>
    <row r="292" spans="1:8" ht="15" customHeight="1" x14ac:dyDescent="0.3">
      <c r="A292" s="168"/>
      <c r="B292" s="11" t="s">
        <v>3</v>
      </c>
      <c r="C292" s="77">
        <v>77</v>
      </c>
      <c r="D292" s="77">
        <v>23</v>
      </c>
      <c r="E292" s="77">
        <v>450</v>
      </c>
      <c r="F292" s="77">
        <v>919</v>
      </c>
      <c r="G292" s="77">
        <v>184</v>
      </c>
      <c r="H292" s="78">
        <f t="shared" si="47"/>
        <v>1653</v>
      </c>
    </row>
    <row r="293" spans="1:8" ht="15" customHeight="1" x14ac:dyDescent="0.3">
      <c r="A293" s="168"/>
      <c r="B293" s="11" t="s">
        <v>4</v>
      </c>
      <c r="C293" s="77">
        <v>125</v>
      </c>
      <c r="D293" s="77">
        <v>45</v>
      </c>
      <c r="E293" s="77">
        <v>815</v>
      </c>
      <c r="F293" s="77">
        <v>1652</v>
      </c>
      <c r="G293" s="77">
        <v>362</v>
      </c>
      <c r="H293" s="78">
        <f t="shared" si="47"/>
        <v>2999</v>
      </c>
    </row>
    <row r="294" spans="1:8" ht="15" customHeight="1" x14ac:dyDescent="0.3">
      <c r="A294" s="166" t="s">
        <v>1</v>
      </c>
      <c r="B294" s="95" t="s">
        <v>2</v>
      </c>
      <c r="C294" s="96">
        <f>SUMIF($B$72:$B$95,$B$72,C270:G293)</f>
        <v>35</v>
      </c>
      <c r="D294" s="96">
        <f t="shared" ref="D294:D296" si="48">SUMIF($B$72:$B$95,$B$72,D270:H293)</f>
        <v>109</v>
      </c>
      <c r="E294" s="96">
        <f t="shared" ref="E294:E296" si="49">SUMIF($B$72:$B$95,$B$72,E270:I293)</f>
        <v>140</v>
      </c>
      <c r="F294" s="96">
        <f t="shared" ref="F294:F296" si="50">SUMIF($B$72:$B$95,$B$72,F270:J293)</f>
        <v>257</v>
      </c>
      <c r="G294" s="96">
        <f t="shared" ref="G294:G296" si="51">SUMIF($B$72:$B$95,$B$72,G270:K293)</f>
        <v>107</v>
      </c>
      <c r="H294" s="96">
        <f>SUM(C294:G294)</f>
        <v>648</v>
      </c>
    </row>
    <row r="295" spans="1:8" ht="15" customHeight="1" x14ac:dyDescent="0.3">
      <c r="A295" s="166"/>
      <c r="B295" s="95" t="s">
        <v>3</v>
      </c>
      <c r="C295" s="96">
        <f>SUMIF($B$72:$B$95,$B$72,C271:G294)</f>
        <v>6758</v>
      </c>
      <c r="D295" s="96">
        <f t="shared" si="48"/>
        <v>8627</v>
      </c>
      <c r="E295" s="96">
        <f t="shared" si="49"/>
        <v>6651</v>
      </c>
      <c r="F295" s="96">
        <f t="shared" si="50"/>
        <v>7816</v>
      </c>
      <c r="G295" s="96">
        <f t="shared" si="51"/>
        <v>2042</v>
      </c>
      <c r="H295" s="96">
        <f t="shared" ref="H295:H296" si="52">SUM(C295:G295)</f>
        <v>31894</v>
      </c>
    </row>
    <row r="296" spans="1:8" ht="15" customHeight="1" x14ac:dyDescent="0.3">
      <c r="A296" s="166"/>
      <c r="B296" s="95" t="s">
        <v>4</v>
      </c>
      <c r="C296" s="96">
        <f>SUMIF($B$72:$B$95,$B$72,C272:G295)</f>
        <v>12856</v>
      </c>
      <c r="D296" s="96">
        <f t="shared" si="48"/>
        <v>16481</v>
      </c>
      <c r="E296" s="96">
        <f t="shared" si="49"/>
        <v>12307</v>
      </c>
      <c r="F296" s="96">
        <f t="shared" si="50"/>
        <v>14375</v>
      </c>
      <c r="G296" s="96">
        <f t="shared" si="51"/>
        <v>3856</v>
      </c>
      <c r="H296" s="96">
        <f t="shared" si="52"/>
        <v>59875</v>
      </c>
    </row>
    <row r="297" spans="1:8" ht="15" customHeight="1" x14ac:dyDescent="0.3">
      <c r="A297" s="6" t="s">
        <v>134</v>
      </c>
      <c r="B297" s="7"/>
      <c r="C297" s="7"/>
      <c r="D297" s="7"/>
      <c r="E297" s="7"/>
      <c r="F297" s="7"/>
      <c r="G297" s="7"/>
      <c r="H297" s="7"/>
    </row>
    <row r="298" spans="1:8" ht="15" customHeight="1" x14ac:dyDescent="0.3">
      <c r="A298" s="79"/>
      <c r="B298" s="79"/>
      <c r="C298" s="79"/>
      <c r="D298" s="79"/>
      <c r="E298" s="79"/>
      <c r="F298" s="79"/>
      <c r="G298" s="79"/>
      <c r="H298" s="79"/>
    </row>
    <row r="300" spans="1:8" ht="15" customHeight="1" x14ac:dyDescent="0.3">
      <c r="A300" s="162" t="s">
        <v>97</v>
      </c>
      <c r="B300" s="162"/>
      <c r="C300" s="162"/>
      <c r="D300" s="162"/>
      <c r="E300" s="162"/>
      <c r="F300" s="162"/>
      <c r="G300" s="162"/>
      <c r="H300" s="162"/>
    </row>
    <row r="301" spans="1:8" ht="15" customHeight="1" x14ac:dyDescent="0.3">
      <c r="A301" s="162" t="s">
        <v>103</v>
      </c>
      <c r="B301" s="162"/>
      <c r="C301" s="162"/>
      <c r="D301" s="162"/>
      <c r="E301" s="162"/>
      <c r="F301" s="162"/>
      <c r="G301" s="162"/>
      <c r="H301" s="162"/>
    </row>
    <row r="302" spans="1:8" ht="15" customHeight="1" x14ac:dyDescent="0.3">
      <c r="A302" s="94" t="s">
        <v>125</v>
      </c>
      <c r="B302" s="46"/>
      <c r="C302" s="46" t="s">
        <v>62</v>
      </c>
      <c r="D302" s="46" t="s">
        <v>63</v>
      </c>
      <c r="E302" s="46" t="s">
        <v>64</v>
      </c>
      <c r="F302" s="46" t="s">
        <v>65</v>
      </c>
      <c r="G302" s="46" t="s">
        <v>0</v>
      </c>
      <c r="H302" s="46" t="s">
        <v>1</v>
      </c>
    </row>
    <row r="303" spans="1:8" ht="15" customHeight="1" x14ac:dyDescent="0.3">
      <c r="A303" s="167" t="s">
        <v>5</v>
      </c>
      <c r="B303" s="16" t="s">
        <v>2</v>
      </c>
      <c r="C303" s="74">
        <v>9</v>
      </c>
      <c r="D303" s="74">
        <v>19</v>
      </c>
      <c r="E303" s="74">
        <v>17</v>
      </c>
      <c r="F303" s="74">
        <v>31</v>
      </c>
      <c r="G303" s="74">
        <v>2</v>
      </c>
      <c r="H303" s="75">
        <f>SUM(C303:G303)</f>
        <v>78</v>
      </c>
    </row>
    <row r="304" spans="1:8" ht="15" customHeight="1" x14ac:dyDescent="0.3">
      <c r="A304" s="167"/>
      <c r="B304" s="16" t="s">
        <v>3</v>
      </c>
      <c r="C304" s="74">
        <v>1690</v>
      </c>
      <c r="D304" s="74">
        <v>2141</v>
      </c>
      <c r="E304" s="74">
        <v>1043</v>
      </c>
      <c r="F304" s="74">
        <v>1034</v>
      </c>
      <c r="G304" s="74">
        <v>36</v>
      </c>
      <c r="H304" s="75">
        <f t="shared" ref="H304:H326" si="53">SUM(C304:G304)</f>
        <v>5944</v>
      </c>
    </row>
    <row r="305" spans="1:8" ht="15" customHeight="1" x14ac:dyDescent="0.3">
      <c r="A305" s="167"/>
      <c r="B305" s="16" t="s">
        <v>4</v>
      </c>
      <c r="C305" s="74">
        <v>3223</v>
      </c>
      <c r="D305" s="74">
        <v>4120</v>
      </c>
      <c r="E305" s="74">
        <v>2030</v>
      </c>
      <c r="F305" s="74">
        <v>1953</v>
      </c>
      <c r="G305" s="74">
        <v>68</v>
      </c>
      <c r="H305" s="75">
        <f t="shared" si="53"/>
        <v>11394</v>
      </c>
    </row>
    <row r="306" spans="1:8" ht="15" customHeight="1" x14ac:dyDescent="0.3">
      <c r="A306" s="170" t="s">
        <v>10</v>
      </c>
      <c r="B306" s="11" t="s">
        <v>2</v>
      </c>
      <c r="C306" s="60">
        <v>4</v>
      </c>
      <c r="D306" s="60">
        <v>5</v>
      </c>
      <c r="E306" s="60">
        <v>4</v>
      </c>
      <c r="F306" s="60">
        <v>12</v>
      </c>
      <c r="G306" s="60">
        <v>3</v>
      </c>
      <c r="H306" s="76">
        <f t="shared" si="53"/>
        <v>28</v>
      </c>
    </row>
    <row r="307" spans="1:8" ht="15" customHeight="1" x14ac:dyDescent="0.3">
      <c r="A307" s="170"/>
      <c r="B307" s="11" t="s">
        <v>3</v>
      </c>
      <c r="C307" s="60">
        <v>253</v>
      </c>
      <c r="D307" s="60">
        <v>178</v>
      </c>
      <c r="E307" s="60">
        <v>131</v>
      </c>
      <c r="F307" s="60">
        <v>459</v>
      </c>
      <c r="G307" s="60">
        <v>63</v>
      </c>
      <c r="H307" s="76">
        <f t="shared" si="53"/>
        <v>1084</v>
      </c>
    </row>
    <row r="308" spans="1:8" ht="15" customHeight="1" x14ac:dyDescent="0.3">
      <c r="A308" s="170"/>
      <c r="B308" s="11" t="s">
        <v>4</v>
      </c>
      <c r="C308" s="60">
        <v>462</v>
      </c>
      <c r="D308" s="60">
        <v>338</v>
      </c>
      <c r="E308" s="60">
        <v>239</v>
      </c>
      <c r="F308" s="60">
        <v>875</v>
      </c>
      <c r="G308" s="60">
        <v>118</v>
      </c>
      <c r="H308" s="76">
        <f t="shared" si="53"/>
        <v>2032</v>
      </c>
    </row>
    <row r="309" spans="1:8" ht="15" customHeight="1" x14ac:dyDescent="0.3">
      <c r="A309" s="167" t="s">
        <v>6</v>
      </c>
      <c r="B309" s="16" t="s">
        <v>2</v>
      </c>
      <c r="C309" s="74">
        <v>0</v>
      </c>
      <c r="D309" s="74">
        <v>2</v>
      </c>
      <c r="E309" s="74">
        <v>1</v>
      </c>
      <c r="F309" s="74">
        <v>11</v>
      </c>
      <c r="G309" s="74">
        <v>0</v>
      </c>
      <c r="H309" s="75">
        <f t="shared" si="53"/>
        <v>14</v>
      </c>
    </row>
    <row r="310" spans="1:8" ht="15" customHeight="1" x14ac:dyDescent="0.3">
      <c r="A310" s="167"/>
      <c r="B310" s="16" t="s">
        <v>3</v>
      </c>
      <c r="C310" s="74">
        <v>0</v>
      </c>
      <c r="D310" s="74">
        <v>336</v>
      </c>
      <c r="E310" s="74">
        <v>8</v>
      </c>
      <c r="F310" s="74">
        <v>339</v>
      </c>
      <c r="G310" s="74">
        <v>0</v>
      </c>
      <c r="H310" s="75">
        <f t="shared" si="53"/>
        <v>683</v>
      </c>
    </row>
    <row r="311" spans="1:8" ht="15" customHeight="1" x14ac:dyDescent="0.3">
      <c r="A311" s="167"/>
      <c r="B311" s="16" t="s">
        <v>4</v>
      </c>
      <c r="C311" s="74">
        <v>0</v>
      </c>
      <c r="D311" s="74">
        <v>662</v>
      </c>
      <c r="E311" s="74">
        <v>18</v>
      </c>
      <c r="F311" s="74">
        <v>634</v>
      </c>
      <c r="G311" s="74">
        <v>0</v>
      </c>
      <c r="H311" s="75">
        <f t="shared" si="53"/>
        <v>1314</v>
      </c>
    </row>
    <row r="312" spans="1:8" ht="15" customHeight="1" x14ac:dyDescent="0.3">
      <c r="A312" s="170" t="s">
        <v>9</v>
      </c>
      <c r="B312" s="11" t="s">
        <v>2</v>
      </c>
      <c r="C312" s="60">
        <v>0</v>
      </c>
      <c r="D312" s="60">
        <v>0</v>
      </c>
      <c r="E312" s="60">
        <v>0</v>
      </c>
      <c r="F312" s="60">
        <v>9</v>
      </c>
      <c r="G312" s="60">
        <v>2</v>
      </c>
      <c r="H312" s="76">
        <f t="shared" si="53"/>
        <v>11</v>
      </c>
    </row>
    <row r="313" spans="1:8" ht="15" customHeight="1" x14ac:dyDescent="0.3">
      <c r="A313" s="170"/>
      <c r="B313" s="11" t="s">
        <v>3</v>
      </c>
      <c r="C313" s="60">
        <v>0</v>
      </c>
      <c r="D313" s="60">
        <v>0</v>
      </c>
      <c r="E313" s="60">
        <v>0</v>
      </c>
      <c r="F313" s="60">
        <v>315</v>
      </c>
      <c r="G313" s="60">
        <v>41</v>
      </c>
      <c r="H313" s="76">
        <f t="shared" si="53"/>
        <v>356</v>
      </c>
    </row>
    <row r="314" spans="1:8" ht="15" customHeight="1" x14ac:dyDescent="0.3">
      <c r="A314" s="170"/>
      <c r="B314" s="11" t="s">
        <v>4</v>
      </c>
      <c r="C314" s="60">
        <v>0</v>
      </c>
      <c r="D314" s="60">
        <v>0</v>
      </c>
      <c r="E314" s="60">
        <v>0</v>
      </c>
      <c r="F314" s="60">
        <v>586</v>
      </c>
      <c r="G314" s="60">
        <v>78</v>
      </c>
      <c r="H314" s="76">
        <f t="shared" si="53"/>
        <v>664</v>
      </c>
    </row>
    <row r="315" spans="1:8" ht="15" customHeight="1" x14ac:dyDescent="0.3">
      <c r="A315" s="167" t="s">
        <v>12</v>
      </c>
      <c r="B315" s="16" t="s">
        <v>2</v>
      </c>
      <c r="C315" s="74">
        <v>16</v>
      </c>
      <c r="D315" s="74">
        <v>42</v>
      </c>
      <c r="E315" s="74">
        <v>46</v>
      </c>
      <c r="F315" s="74">
        <v>76</v>
      </c>
      <c r="G315" s="74">
        <v>46</v>
      </c>
      <c r="H315" s="75">
        <f t="shared" si="53"/>
        <v>226</v>
      </c>
    </row>
    <row r="316" spans="1:8" ht="15" customHeight="1" x14ac:dyDescent="0.3">
      <c r="A316" s="167"/>
      <c r="B316" s="16" t="s">
        <v>3</v>
      </c>
      <c r="C316" s="74">
        <v>4124</v>
      </c>
      <c r="D316" s="74">
        <v>4191</v>
      </c>
      <c r="E316" s="74">
        <v>3034</v>
      </c>
      <c r="F316" s="74">
        <v>2605</v>
      </c>
      <c r="G316" s="74">
        <v>1031</v>
      </c>
      <c r="H316" s="75">
        <f t="shared" si="53"/>
        <v>14985</v>
      </c>
    </row>
    <row r="317" spans="1:8" ht="15" customHeight="1" x14ac:dyDescent="0.3">
      <c r="A317" s="167"/>
      <c r="B317" s="16" t="s">
        <v>4</v>
      </c>
      <c r="C317" s="74">
        <v>7886</v>
      </c>
      <c r="D317" s="74">
        <v>7658</v>
      </c>
      <c r="E317" s="74">
        <v>5374</v>
      </c>
      <c r="F317" s="74">
        <v>4736</v>
      </c>
      <c r="G317" s="74">
        <v>1875</v>
      </c>
      <c r="H317" s="75">
        <f t="shared" si="53"/>
        <v>27529</v>
      </c>
    </row>
    <row r="318" spans="1:8" ht="15" customHeight="1" x14ac:dyDescent="0.3">
      <c r="A318" s="171" t="s">
        <v>8</v>
      </c>
      <c r="B318" s="11" t="s">
        <v>2</v>
      </c>
      <c r="C318" s="60">
        <v>3</v>
      </c>
      <c r="D318" s="60">
        <v>23</v>
      </c>
      <c r="E318" s="60">
        <v>48</v>
      </c>
      <c r="F318" s="60">
        <v>85</v>
      </c>
      <c r="G318" s="60">
        <v>44</v>
      </c>
      <c r="H318" s="76">
        <f t="shared" si="53"/>
        <v>203</v>
      </c>
    </row>
    <row r="319" spans="1:8" ht="15" customHeight="1" x14ac:dyDescent="0.3">
      <c r="A319" s="171"/>
      <c r="B319" s="11" t="s">
        <v>3</v>
      </c>
      <c r="C319" s="60">
        <v>85</v>
      </c>
      <c r="D319" s="60">
        <v>479</v>
      </c>
      <c r="E319" s="60">
        <v>1300</v>
      </c>
      <c r="F319" s="60">
        <v>1819</v>
      </c>
      <c r="G319" s="60">
        <v>658</v>
      </c>
      <c r="H319" s="76">
        <f t="shared" si="53"/>
        <v>4341</v>
      </c>
    </row>
    <row r="320" spans="1:8" ht="15" customHeight="1" x14ac:dyDescent="0.3">
      <c r="A320" s="171"/>
      <c r="B320" s="11" t="s">
        <v>4</v>
      </c>
      <c r="C320" s="60">
        <v>171</v>
      </c>
      <c r="D320" s="60">
        <v>913</v>
      </c>
      <c r="E320" s="60">
        <v>2438</v>
      </c>
      <c r="F320" s="60">
        <v>3424</v>
      </c>
      <c r="G320" s="60">
        <v>1306</v>
      </c>
      <c r="H320" s="76">
        <f t="shared" si="53"/>
        <v>8252</v>
      </c>
    </row>
    <row r="321" spans="1:8" ht="15" customHeight="1" x14ac:dyDescent="0.3">
      <c r="A321" s="167" t="s">
        <v>11</v>
      </c>
      <c r="B321" s="16" t="s">
        <v>2</v>
      </c>
      <c r="C321" s="74">
        <v>1</v>
      </c>
      <c r="D321" s="74">
        <v>11</v>
      </c>
      <c r="E321" s="74">
        <v>13</v>
      </c>
      <c r="F321" s="74">
        <v>19</v>
      </c>
      <c r="G321" s="74">
        <v>3</v>
      </c>
      <c r="H321" s="75">
        <f t="shared" si="53"/>
        <v>47</v>
      </c>
    </row>
    <row r="322" spans="1:8" ht="15" customHeight="1" x14ac:dyDescent="0.3">
      <c r="A322" s="167"/>
      <c r="B322" s="16" t="s">
        <v>3</v>
      </c>
      <c r="C322" s="74">
        <v>374</v>
      </c>
      <c r="D322" s="74">
        <v>785</v>
      </c>
      <c r="E322" s="74">
        <v>732</v>
      </c>
      <c r="F322" s="74">
        <v>696</v>
      </c>
      <c r="G322" s="74">
        <v>71</v>
      </c>
      <c r="H322" s="75">
        <f t="shared" si="53"/>
        <v>2658</v>
      </c>
    </row>
    <row r="323" spans="1:8" ht="15" customHeight="1" x14ac:dyDescent="0.3">
      <c r="A323" s="167"/>
      <c r="B323" s="16" t="s">
        <v>4</v>
      </c>
      <c r="C323" s="74">
        <v>698</v>
      </c>
      <c r="D323" s="74">
        <v>1467</v>
      </c>
      <c r="E323" s="74">
        <v>1343</v>
      </c>
      <c r="F323" s="74">
        <v>1217</v>
      </c>
      <c r="G323" s="74">
        <v>128</v>
      </c>
      <c r="H323" s="75">
        <f t="shared" si="53"/>
        <v>4853</v>
      </c>
    </row>
    <row r="324" spans="1:8" ht="15" customHeight="1" x14ac:dyDescent="0.3">
      <c r="A324" s="168" t="s">
        <v>7</v>
      </c>
      <c r="B324" s="11" t="s">
        <v>2</v>
      </c>
      <c r="C324" s="77">
        <v>1</v>
      </c>
      <c r="D324" s="77">
        <v>1</v>
      </c>
      <c r="E324" s="77">
        <v>7</v>
      </c>
      <c r="F324" s="77">
        <v>24</v>
      </c>
      <c r="G324" s="77">
        <v>9</v>
      </c>
      <c r="H324" s="78">
        <f t="shared" si="53"/>
        <v>42</v>
      </c>
    </row>
    <row r="325" spans="1:8" ht="15" customHeight="1" x14ac:dyDescent="0.3">
      <c r="A325" s="168"/>
      <c r="B325" s="11" t="s">
        <v>3</v>
      </c>
      <c r="C325" s="77">
        <v>77</v>
      </c>
      <c r="D325" s="77">
        <v>23</v>
      </c>
      <c r="E325" s="77">
        <v>450</v>
      </c>
      <c r="F325" s="77">
        <v>916</v>
      </c>
      <c r="G325" s="77">
        <v>184</v>
      </c>
      <c r="H325" s="78">
        <f t="shared" si="53"/>
        <v>1650</v>
      </c>
    </row>
    <row r="326" spans="1:8" ht="15" customHeight="1" x14ac:dyDescent="0.3">
      <c r="A326" s="168"/>
      <c r="B326" s="11" t="s">
        <v>4</v>
      </c>
      <c r="C326" s="77">
        <v>125</v>
      </c>
      <c r="D326" s="77">
        <v>45</v>
      </c>
      <c r="E326" s="77">
        <v>815</v>
      </c>
      <c r="F326" s="77">
        <v>1637</v>
      </c>
      <c r="G326" s="77">
        <v>362</v>
      </c>
      <c r="H326" s="78">
        <f t="shared" si="53"/>
        <v>2984</v>
      </c>
    </row>
    <row r="327" spans="1:8" ht="15" customHeight="1" x14ac:dyDescent="0.3">
      <c r="A327" s="166" t="s">
        <v>1</v>
      </c>
      <c r="B327" s="95" t="s">
        <v>2</v>
      </c>
      <c r="C327" s="96">
        <f>SUMIF($B$72:$B$95,$B$72,C303:G326)</f>
        <v>34</v>
      </c>
      <c r="D327" s="96">
        <f t="shared" ref="D327:D329" si="54">SUMIF($B$72:$B$95,$B$72,D303:H326)</f>
        <v>103</v>
      </c>
      <c r="E327" s="96">
        <f t="shared" ref="E327:E329" si="55">SUMIF($B$72:$B$95,$B$72,E303:I326)</f>
        <v>136</v>
      </c>
      <c r="F327" s="96">
        <f t="shared" ref="F327:F329" si="56">SUMIF($B$72:$B$95,$B$72,F303:J326)</f>
        <v>267</v>
      </c>
      <c r="G327" s="96">
        <f t="shared" ref="G327:G329" si="57">SUMIF($B$72:$B$95,$B$72,G303:K326)</f>
        <v>109</v>
      </c>
      <c r="H327" s="96">
        <f>SUM(C327:G327)</f>
        <v>649</v>
      </c>
    </row>
    <row r="328" spans="1:8" ht="15" customHeight="1" x14ac:dyDescent="0.3">
      <c r="A328" s="166"/>
      <c r="B328" s="95" t="s">
        <v>3</v>
      </c>
      <c r="C328" s="96">
        <f>SUMIF($B$72:$B$95,$B$72,C304:G327)</f>
        <v>6603</v>
      </c>
      <c r="D328" s="96">
        <f t="shared" si="54"/>
        <v>8133</v>
      </c>
      <c r="E328" s="96">
        <f t="shared" si="55"/>
        <v>6698</v>
      </c>
      <c r="F328" s="96">
        <f t="shared" si="56"/>
        <v>8183</v>
      </c>
      <c r="G328" s="96">
        <f t="shared" si="57"/>
        <v>2084</v>
      </c>
      <c r="H328" s="96">
        <f t="shared" ref="H328:H329" si="58">SUM(C328:G328)</f>
        <v>31701</v>
      </c>
    </row>
    <row r="329" spans="1:8" ht="15" customHeight="1" x14ac:dyDescent="0.3">
      <c r="A329" s="166"/>
      <c r="B329" s="95" t="s">
        <v>4</v>
      </c>
      <c r="C329" s="96">
        <f>SUMIF($B$72:$B$95,$B$72,C305:G328)</f>
        <v>12565</v>
      </c>
      <c r="D329" s="96">
        <f t="shared" si="54"/>
        <v>15203</v>
      </c>
      <c r="E329" s="96">
        <f t="shared" si="55"/>
        <v>12257</v>
      </c>
      <c r="F329" s="96">
        <f t="shared" si="56"/>
        <v>15062</v>
      </c>
      <c r="G329" s="96">
        <f t="shared" si="57"/>
        <v>3935</v>
      </c>
      <c r="H329" s="96">
        <f t="shared" si="58"/>
        <v>59022</v>
      </c>
    </row>
    <row r="330" spans="1:8" ht="15" customHeight="1" x14ac:dyDescent="0.3">
      <c r="A330" s="6" t="s">
        <v>134</v>
      </c>
      <c r="B330" s="7"/>
      <c r="C330" s="7"/>
      <c r="D330" s="7"/>
      <c r="E330" s="7"/>
      <c r="F330" s="7"/>
      <c r="G330" s="9"/>
      <c r="H330" s="9"/>
    </row>
    <row r="332" spans="1:8" ht="15" customHeight="1" x14ac:dyDescent="0.3">
      <c r="A332" s="9"/>
      <c r="B332" s="9"/>
      <c r="C332" s="9"/>
      <c r="D332" s="9"/>
    </row>
    <row r="333" spans="1:8" ht="15" customHeight="1" x14ac:dyDescent="0.3">
      <c r="A333" s="162" t="s">
        <v>97</v>
      </c>
      <c r="B333" s="162"/>
      <c r="C333" s="162"/>
      <c r="D333" s="162"/>
      <c r="E333" s="162"/>
      <c r="F333" s="162"/>
      <c r="G333" s="162"/>
      <c r="H333" s="162"/>
    </row>
    <row r="334" spans="1:8" ht="15" customHeight="1" x14ac:dyDescent="0.3">
      <c r="A334" s="162" t="s">
        <v>104</v>
      </c>
      <c r="B334" s="162"/>
      <c r="C334" s="162"/>
      <c r="D334" s="162"/>
      <c r="E334" s="162"/>
      <c r="F334" s="162"/>
      <c r="G334" s="162"/>
      <c r="H334" s="162"/>
    </row>
    <row r="335" spans="1:8" ht="15" customHeight="1" x14ac:dyDescent="0.3">
      <c r="A335" s="94" t="s">
        <v>125</v>
      </c>
      <c r="B335" s="46"/>
      <c r="C335" s="46" t="s">
        <v>62</v>
      </c>
      <c r="D335" s="46" t="s">
        <v>63</v>
      </c>
      <c r="E335" s="46" t="s">
        <v>64</v>
      </c>
      <c r="F335" s="46" t="s">
        <v>65</v>
      </c>
      <c r="G335" s="46" t="s">
        <v>0</v>
      </c>
      <c r="H335" s="46" t="s">
        <v>1</v>
      </c>
    </row>
    <row r="336" spans="1:8" ht="15" customHeight="1" x14ac:dyDescent="0.3">
      <c r="A336" s="167" t="s">
        <v>5</v>
      </c>
      <c r="B336" s="16" t="s">
        <v>2</v>
      </c>
      <c r="C336" s="74">
        <v>8</v>
      </c>
      <c r="D336" s="74">
        <v>19</v>
      </c>
      <c r="E336" s="74">
        <v>17</v>
      </c>
      <c r="F336" s="74">
        <v>31</v>
      </c>
      <c r="G336" s="74">
        <v>2</v>
      </c>
      <c r="H336" s="75">
        <f>SUM(C336:G336)</f>
        <v>77</v>
      </c>
    </row>
    <row r="337" spans="1:8" ht="15" customHeight="1" x14ac:dyDescent="0.3">
      <c r="A337" s="167"/>
      <c r="B337" s="16" t="s">
        <v>3</v>
      </c>
      <c r="C337" s="74">
        <v>1679</v>
      </c>
      <c r="D337" s="74">
        <v>2141</v>
      </c>
      <c r="E337" s="74">
        <v>1043</v>
      </c>
      <c r="F337" s="74">
        <v>1013</v>
      </c>
      <c r="G337" s="74">
        <v>36</v>
      </c>
      <c r="H337" s="75">
        <f t="shared" ref="H337:H359" si="59">SUM(C337:G337)</f>
        <v>5912</v>
      </c>
    </row>
    <row r="338" spans="1:8" ht="15" customHeight="1" x14ac:dyDescent="0.3">
      <c r="A338" s="167"/>
      <c r="B338" s="16" t="s">
        <v>4</v>
      </c>
      <c r="C338" s="74">
        <v>3204</v>
      </c>
      <c r="D338" s="74">
        <v>4120</v>
      </c>
      <c r="E338" s="74">
        <v>2030</v>
      </c>
      <c r="F338" s="74">
        <v>1913</v>
      </c>
      <c r="G338" s="74">
        <v>68</v>
      </c>
      <c r="H338" s="75">
        <f t="shared" si="59"/>
        <v>11335</v>
      </c>
    </row>
    <row r="339" spans="1:8" ht="15" customHeight="1" x14ac:dyDescent="0.3">
      <c r="A339" s="170" t="s">
        <v>10</v>
      </c>
      <c r="B339" s="11" t="s">
        <v>2</v>
      </c>
      <c r="C339" s="60">
        <v>4</v>
      </c>
      <c r="D339" s="60">
        <v>3</v>
      </c>
      <c r="E339" s="60">
        <v>6</v>
      </c>
      <c r="F339" s="60">
        <v>12</v>
      </c>
      <c r="G339" s="60">
        <v>3</v>
      </c>
      <c r="H339" s="76">
        <f t="shared" si="59"/>
        <v>28</v>
      </c>
    </row>
    <row r="340" spans="1:8" ht="15" customHeight="1" x14ac:dyDescent="0.3">
      <c r="A340" s="170"/>
      <c r="B340" s="11" t="s">
        <v>3</v>
      </c>
      <c r="C340" s="60">
        <v>253</v>
      </c>
      <c r="D340" s="60">
        <v>114</v>
      </c>
      <c r="E340" s="60">
        <v>195</v>
      </c>
      <c r="F340" s="60">
        <v>459</v>
      </c>
      <c r="G340" s="60">
        <v>63</v>
      </c>
      <c r="H340" s="76">
        <f t="shared" si="59"/>
        <v>1084</v>
      </c>
    </row>
    <row r="341" spans="1:8" ht="15" customHeight="1" x14ac:dyDescent="0.3">
      <c r="A341" s="170"/>
      <c r="B341" s="11" t="s">
        <v>4</v>
      </c>
      <c r="C341" s="60">
        <v>462</v>
      </c>
      <c r="D341" s="60">
        <v>213</v>
      </c>
      <c r="E341" s="60">
        <v>358</v>
      </c>
      <c r="F341" s="60">
        <v>875</v>
      </c>
      <c r="G341" s="60">
        <v>118</v>
      </c>
      <c r="H341" s="76">
        <f t="shared" si="59"/>
        <v>2026</v>
      </c>
    </row>
    <row r="342" spans="1:8" ht="15" customHeight="1" x14ac:dyDescent="0.3">
      <c r="A342" s="167" t="s">
        <v>6</v>
      </c>
      <c r="B342" s="16" t="s">
        <v>2</v>
      </c>
      <c r="C342" s="74">
        <v>0</v>
      </c>
      <c r="D342" s="74">
        <v>2</v>
      </c>
      <c r="E342" s="74">
        <v>0</v>
      </c>
      <c r="F342" s="74">
        <v>11</v>
      </c>
      <c r="G342" s="74">
        <v>0</v>
      </c>
      <c r="H342" s="75">
        <f t="shared" si="59"/>
        <v>13</v>
      </c>
    </row>
    <row r="343" spans="1:8" ht="15" customHeight="1" x14ac:dyDescent="0.3">
      <c r="A343" s="167"/>
      <c r="B343" s="16" t="s">
        <v>3</v>
      </c>
      <c r="C343" s="74">
        <v>0</v>
      </c>
      <c r="D343" s="74">
        <v>336</v>
      </c>
      <c r="E343" s="74">
        <v>0</v>
      </c>
      <c r="F343" s="74">
        <v>339</v>
      </c>
      <c r="G343" s="74">
        <v>0</v>
      </c>
      <c r="H343" s="75">
        <f t="shared" si="59"/>
        <v>675</v>
      </c>
    </row>
    <row r="344" spans="1:8" ht="15" customHeight="1" x14ac:dyDescent="0.3">
      <c r="A344" s="167"/>
      <c r="B344" s="16" t="s">
        <v>4</v>
      </c>
      <c r="C344" s="74">
        <v>0</v>
      </c>
      <c r="D344" s="74">
        <v>662</v>
      </c>
      <c r="E344" s="74">
        <v>0</v>
      </c>
      <c r="F344" s="74">
        <v>634</v>
      </c>
      <c r="G344" s="74">
        <v>0</v>
      </c>
      <c r="H344" s="75">
        <f t="shared" si="59"/>
        <v>1296</v>
      </c>
    </row>
    <row r="345" spans="1:8" ht="15" customHeight="1" x14ac:dyDescent="0.3">
      <c r="A345" s="170" t="s">
        <v>9</v>
      </c>
      <c r="B345" s="11" t="s">
        <v>2</v>
      </c>
      <c r="C345" s="60">
        <v>0</v>
      </c>
      <c r="D345" s="60">
        <v>0</v>
      </c>
      <c r="E345" s="60">
        <v>0</v>
      </c>
      <c r="F345" s="60">
        <v>11</v>
      </c>
      <c r="G345" s="60">
        <v>3</v>
      </c>
      <c r="H345" s="76">
        <f t="shared" si="59"/>
        <v>14</v>
      </c>
    </row>
    <row r="346" spans="1:8" ht="15" customHeight="1" x14ac:dyDescent="0.3">
      <c r="A346" s="170"/>
      <c r="B346" s="11" t="s">
        <v>3</v>
      </c>
      <c r="C346" s="60">
        <v>0</v>
      </c>
      <c r="D346" s="60">
        <v>0</v>
      </c>
      <c r="E346" s="60">
        <v>0</v>
      </c>
      <c r="F346" s="60">
        <v>381</v>
      </c>
      <c r="G346" s="60">
        <v>57</v>
      </c>
      <c r="H346" s="76">
        <f t="shared" si="59"/>
        <v>438</v>
      </c>
    </row>
    <row r="347" spans="1:8" ht="15" customHeight="1" x14ac:dyDescent="0.3">
      <c r="A347" s="170"/>
      <c r="B347" s="11" t="s">
        <v>4</v>
      </c>
      <c r="C347" s="60">
        <v>0</v>
      </c>
      <c r="D347" s="60">
        <v>0</v>
      </c>
      <c r="E347" s="60">
        <v>0</v>
      </c>
      <c r="F347" s="60">
        <v>710</v>
      </c>
      <c r="G347" s="60">
        <v>106</v>
      </c>
      <c r="H347" s="76">
        <f t="shared" si="59"/>
        <v>816</v>
      </c>
    </row>
    <row r="348" spans="1:8" ht="15" customHeight="1" x14ac:dyDescent="0.3">
      <c r="A348" s="167" t="s">
        <v>12</v>
      </c>
      <c r="B348" s="16" t="s">
        <v>2</v>
      </c>
      <c r="C348" s="74">
        <v>15</v>
      </c>
      <c r="D348" s="74">
        <v>41</v>
      </c>
      <c r="E348" s="74">
        <v>51</v>
      </c>
      <c r="F348" s="74">
        <v>80</v>
      </c>
      <c r="G348" s="74">
        <v>48</v>
      </c>
      <c r="H348" s="75">
        <f t="shared" si="59"/>
        <v>235</v>
      </c>
    </row>
    <row r="349" spans="1:8" ht="15" customHeight="1" x14ac:dyDescent="0.3">
      <c r="A349" s="167"/>
      <c r="B349" s="16" t="s">
        <v>3</v>
      </c>
      <c r="C349" s="74">
        <v>3888</v>
      </c>
      <c r="D349" s="74">
        <v>4152</v>
      </c>
      <c r="E349" s="74">
        <v>3253</v>
      </c>
      <c r="F349" s="74">
        <v>2636</v>
      </c>
      <c r="G349" s="74">
        <v>1058</v>
      </c>
      <c r="H349" s="75">
        <f t="shared" si="59"/>
        <v>14987</v>
      </c>
    </row>
    <row r="350" spans="1:8" ht="15" customHeight="1" x14ac:dyDescent="0.3">
      <c r="A350" s="167"/>
      <c r="B350" s="16" t="s">
        <v>4</v>
      </c>
      <c r="C350" s="74">
        <v>7350</v>
      </c>
      <c r="D350" s="74">
        <v>7578</v>
      </c>
      <c r="E350" s="74">
        <v>5730</v>
      </c>
      <c r="F350" s="74">
        <v>4812</v>
      </c>
      <c r="G350" s="74">
        <v>1920</v>
      </c>
      <c r="H350" s="75">
        <f t="shared" si="59"/>
        <v>27390</v>
      </c>
    </row>
    <row r="351" spans="1:8" ht="15" customHeight="1" x14ac:dyDescent="0.3">
      <c r="A351" s="171" t="s">
        <v>8</v>
      </c>
      <c r="B351" s="11" t="s">
        <v>2</v>
      </c>
      <c r="C351" s="60">
        <v>3</v>
      </c>
      <c r="D351" s="60">
        <v>23</v>
      </c>
      <c r="E351" s="60">
        <v>47</v>
      </c>
      <c r="F351" s="60">
        <v>85</v>
      </c>
      <c r="G351" s="60">
        <v>45</v>
      </c>
      <c r="H351" s="76">
        <f t="shared" si="59"/>
        <v>203</v>
      </c>
    </row>
    <row r="352" spans="1:8" ht="15" customHeight="1" x14ac:dyDescent="0.3">
      <c r="A352" s="171"/>
      <c r="B352" s="11" t="s">
        <v>3</v>
      </c>
      <c r="C352" s="60">
        <v>85</v>
      </c>
      <c r="D352" s="60">
        <v>480</v>
      </c>
      <c r="E352" s="60">
        <v>1294</v>
      </c>
      <c r="F352" s="60">
        <v>1817</v>
      </c>
      <c r="G352" s="60">
        <v>685</v>
      </c>
      <c r="H352" s="76">
        <f t="shared" si="59"/>
        <v>4361</v>
      </c>
    </row>
    <row r="353" spans="1:8" ht="15" customHeight="1" x14ac:dyDescent="0.3">
      <c r="A353" s="171"/>
      <c r="B353" s="11" t="s">
        <v>4</v>
      </c>
      <c r="C353" s="60">
        <v>171</v>
      </c>
      <c r="D353" s="60">
        <v>915</v>
      </c>
      <c r="E353" s="60">
        <v>2424</v>
      </c>
      <c r="F353" s="60">
        <v>3420</v>
      </c>
      <c r="G353" s="60">
        <v>1360</v>
      </c>
      <c r="H353" s="76">
        <f t="shared" si="59"/>
        <v>8290</v>
      </c>
    </row>
    <row r="354" spans="1:8" ht="15" customHeight="1" x14ac:dyDescent="0.3">
      <c r="A354" s="167" t="s">
        <v>11</v>
      </c>
      <c r="B354" s="16" t="s">
        <v>2</v>
      </c>
      <c r="C354" s="74">
        <v>1</v>
      </c>
      <c r="D354" s="74">
        <v>10</v>
      </c>
      <c r="E354" s="74">
        <v>16</v>
      </c>
      <c r="F354" s="74">
        <v>19</v>
      </c>
      <c r="G354" s="74">
        <v>3</v>
      </c>
      <c r="H354" s="75">
        <f t="shared" si="59"/>
        <v>49</v>
      </c>
    </row>
    <row r="355" spans="1:8" ht="15" customHeight="1" x14ac:dyDescent="0.3">
      <c r="A355" s="167"/>
      <c r="B355" s="16" t="s">
        <v>3</v>
      </c>
      <c r="C355" s="74">
        <v>374</v>
      </c>
      <c r="D355" s="74">
        <v>686</v>
      </c>
      <c r="E355" s="74">
        <v>876</v>
      </c>
      <c r="F355" s="74">
        <v>695</v>
      </c>
      <c r="G355" s="74">
        <v>71</v>
      </c>
      <c r="H355" s="75">
        <f t="shared" si="59"/>
        <v>2702</v>
      </c>
    </row>
    <row r="356" spans="1:8" ht="15" customHeight="1" x14ac:dyDescent="0.3">
      <c r="A356" s="167"/>
      <c r="B356" s="16" t="s">
        <v>4</v>
      </c>
      <c r="C356" s="74">
        <v>698</v>
      </c>
      <c r="D356" s="74">
        <v>1281</v>
      </c>
      <c r="E356" s="74">
        <v>1619</v>
      </c>
      <c r="F356" s="74">
        <v>1215</v>
      </c>
      <c r="G356" s="74">
        <v>128</v>
      </c>
      <c r="H356" s="75">
        <f t="shared" si="59"/>
        <v>4941</v>
      </c>
    </row>
    <row r="357" spans="1:8" ht="15" customHeight="1" x14ac:dyDescent="0.3">
      <c r="A357" s="168" t="s">
        <v>7</v>
      </c>
      <c r="B357" s="11" t="s">
        <v>2</v>
      </c>
      <c r="C357" s="77">
        <v>1</v>
      </c>
      <c r="D357" s="77">
        <v>1</v>
      </c>
      <c r="E357" s="77">
        <v>8</v>
      </c>
      <c r="F357" s="77">
        <v>26</v>
      </c>
      <c r="G357" s="77">
        <v>9</v>
      </c>
      <c r="H357" s="78">
        <f t="shared" si="59"/>
        <v>45</v>
      </c>
    </row>
    <row r="358" spans="1:8" ht="15" customHeight="1" x14ac:dyDescent="0.3">
      <c r="A358" s="168"/>
      <c r="B358" s="11" t="s">
        <v>3</v>
      </c>
      <c r="C358" s="77">
        <v>77</v>
      </c>
      <c r="D358" s="77">
        <v>23</v>
      </c>
      <c r="E358" s="77">
        <v>482</v>
      </c>
      <c r="F358" s="77">
        <v>1002</v>
      </c>
      <c r="G358" s="77">
        <v>184</v>
      </c>
      <c r="H358" s="78">
        <f t="shared" si="59"/>
        <v>1768</v>
      </c>
    </row>
    <row r="359" spans="1:8" ht="15" customHeight="1" x14ac:dyDescent="0.3">
      <c r="A359" s="168"/>
      <c r="B359" s="11" t="s">
        <v>4</v>
      </c>
      <c r="C359" s="77">
        <v>125</v>
      </c>
      <c r="D359" s="77">
        <v>45</v>
      </c>
      <c r="E359" s="77">
        <v>865</v>
      </c>
      <c r="F359" s="77">
        <v>1788</v>
      </c>
      <c r="G359" s="77">
        <v>362</v>
      </c>
      <c r="H359" s="78">
        <f t="shared" si="59"/>
        <v>3185</v>
      </c>
    </row>
    <row r="360" spans="1:8" ht="15" customHeight="1" x14ac:dyDescent="0.3">
      <c r="A360" s="166" t="s">
        <v>1</v>
      </c>
      <c r="B360" s="95" t="s">
        <v>2</v>
      </c>
      <c r="C360" s="96">
        <f>SUMIF($B$72:$B$95,$B$72,C336:G359)</f>
        <v>32</v>
      </c>
      <c r="D360" s="96">
        <f t="shared" ref="D360:D362" si="60">SUMIF($B$72:$B$95,$B$72,D336:H359)</f>
        <v>99</v>
      </c>
      <c r="E360" s="96">
        <f t="shared" ref="E360:E362" si="61">SUMIF($B$72:$B$95,$B$72,E336:I359)</f>
        <v>145</v>
      </c>
      <c r="F360" s="96">
        <f t="shared" ref="F360:F362" si="62">SUMIF($B$72:$B$95,$B$72,F336:J359)</f>
        <v>275</v>
      </c>
      <c r="G360" s="96">
        <f t="shared" ref="G360:G362" si="63">SUMIF($B$72:$B$95,$B$72,G336:K359)</f>
        <v>113</v>
      </c>
      <c r="H360" s="96">
        <f>SUM(C360:G360)</f>
        <v>664</v>
      </c>
    </row>
    <row r="361" spans="1:8" ht="15" customHeight="1" x14ac:dyDescent="0.3">
      <c r="A361" s="166"/>
      <c r="B361" s="95" t="s">
        <v>3</v>
      </c>
      <c r="C361" s="96">
        <f>SUMIF($B$72:$B$95,$B$72,C337:G360)</f>
        <v>6356</v>
      </c>
      <c r="D361" s="96">
        <f t="shared" si="60"/>
        <v>7932</v>
      </c>
      <c r="E361" s="96">
        <f t="shared" si="61"/>
        <v>7143</v>
      </c>
      <c r="F361" s="96">
        <f t="shared" si="62"/>
        <v>8342</v>
      </c>
      <c r="G361" s="96">
        <f t="shared" si="63"/>
        <v>2154</v>
      </c>
      <c r="H361" s="96">
        <f t="shared" ref="H361:H362" si="64">SUM(C361:G361)</f>
        <v>31927</v>
      </c>
    </row>
    <row r="362" spans="1:8" ht="15" customHeight="1" x14ac:dyDescent="0.3">
      <c r="A362" s="166"/>
      <c r="B362" s="95" t="s">
        <v>4</v>
      </c>
      <c r="C362" s="96">
        <f>SUMIF($B$72:$B$95,$B$72,C338:G361)</f>
        <v>12010</v>
      </c>
      <c r="D362" s="96">
        <f t="shared" si="60"/>
        <v>14814</v>
      </c>
      <c r="E362" s="96">
        <f t="shared" si="61"/>
        <v>13026</v>
      </c>
      <c r="F362" s="96">
        <f t="shared" si="62"/>
        <v>15367</v>
      </c>
      <c r="G362" s="96">
        <f t="shared" si="63"/>
        <v>4062</v>
      </c>
      <c r="H362" s="96">
        <f t="shared" si="64"/>
        <v>59279</v>
      </c>
    </row>
    <row r="363" spans="1:8" ht="15" customHeight="1" x14ac:dyDescent="0.3">
      <c r="A363" s="6" t="s">
        <v>134</v>
      </c>
      <c r="B363" s="7"/>
      <c r="C363" s="7"/>
      <c r="D363" s="7"/>
      <c r="E363" s="7"/>
      <c r="F363" s="7"/>
    </row>
    <row r="366" spans="1:8" ht="15" customHeight="1" x14ac:dyDescent="0.3">
      <c r="A366" s="162" t="s">
        <v>97</v>
      </c>
      <c r="B366" s="162"/>
      <c r="C366" s="162"/>
      <c r="D366" s="162"/>
      <c r="E366" s="162"/>
      <c r="F366" s="162"/>
      <c r="G366" s="162"/>
      <c r="H366" s="162"/>
    </row>
    <row r="367" spans="1:8" ht="15" customHeight="1" x14ac:dyDescent="0.3">
      <c r="A367" s="162" t="s">
        <v>105</v>
      </c>
      <c r="B367" s="162"/>
      <c r="C367" s="162"/>
      <c r="D367" s="162"/>
      <c r="E367" s="162"/>
      <c r="F367" s="162"/>
      <c r="G367" s="162"/>
      <c r="H367" s="162"/>
    </row>
    <row r="368" spans="1:8" ht="15" customHeight="1" x14ac:dyDescent="0.3">
      <c r="A368" s="94" t="s">
        <v>125</v>
      </c>
      <c r="B368" s="46"/>
      <c r="C368" s="46" t="s">
        <v>62</v>
      </c>
      <c r="D368" s="46" t="s">
        <v>63</v>
      </c>
      <c r="E368" s="46" t="s">
        <v>64</v>
      </c>
      <c r="F368" s="46" t="s">
        <v>65</v>
      </c>
      <c r="G368" s="46" t="s">
        <v>0</v>
      </c>
      <c r="H368" s="46" t="s">
        <v>1</v>
      </c>
    </row>
    <row r="369" spans="1:8" ht="15" customHeight="1" x14ac:dyDescent="0.3">
      <c r="A369" s="167" t="s">
        <v>5</v>
      </c>
      <c r="B369" s="16" t="s">
        <v>2</v>
      </c>
      <c r="C369" s="74">
        <v>8</v>
      </c>
      <c r="D369" s="74">
        <v>18</v>
      </c>
      <c r="E369" s="74">
        <v>17</v>
      </c>
      <c r="F369" s="74">
        <v>32</v>
      </c>
      <c r="G369" s="74">
        <v>2</v>
      </c>
      <c r="H369" s="75">
        <f>SUM(C369:G369)</f>
        <v>77</v>
      </c>
    </row>
    <row r="370" spans="1:8" ht="15" customHeight="1" x14ac:dyDescent="0.3">
      <c r="A370" s="167"/>
      <c r="B370" s="16" t="s">
        <v>3</v>
      </c>
      <c r="C370" s="74">
        <v>1679</v>
      </c>
      <c r="D370" s="74">
        <v>2071</v>
      </c>
      <c r="E370" s="74">
        <v>1043</v>
      </c>
      <c r="F370" s="74">
        <v>1051</v>
      </c>
      <c r="G370" s="74">
        <v>36</v>
      </c>
      <c r="H370" s="75">
        <f t="shared" ref="H370:H377" si="65">SUM(C370:G370)</f>
        <v>5880</v>
      </c>
    </row>
    <row r="371" spans="1:8" ht="15" customHeight="1" x14ac:dyDescent="0.3">
      <c r="A371" s="167"/>
      <c r="B371" s="16" t="s">
        <v>4</v>
      </c>
      <c r="C371" s="74">
        <v>3204</v>
      </c>
      <c r="D371" s="74">
        <v>3998</v>
      </c>
      <c r="E371" s="74">
        <v>2030</v>
      </c>
      <c r="F371" s="74">
        <v>1986</v>
      </c>
      <c r="G371" s="74">
        <v>68</v>
      </c>
      <c r="H371" s="75">
        <f t="shared" si="65"/>
        <v>11286</v>
      </c>
    </row>
    <row r="372" spans="1:8" ht="15" customHeight="1" x14ac:dyDescent="0.3">
      <c r="A372" s="170" t="s">
        <v>10</v>
      </c>
      <c r="B372" s="11" t="s">
        <v>2</v>
      </c>
      <c r="C372" s="60">
        <v>4</v>
      </c>
      <c r="D372" s="60">
        <v>3</v>
      </c>
      <c r="E372" s="60">
        <v>6</v>
      </c>
      <c r="F372" s="60">
        <v>12</v>
      </c>
      <c r="G372" s="60">
        <v>3</v>
      </c>
      <c r="H372" s="76">
        <f t="shared" si="65"/>
        <v>28</v>
      </c>
    </row>
    <row r="373" spans="1:8" ht="15" customHeight="1" x14ac:dyDescent="0.3">
      <c r="A373" s="170"/>
      <c r="B373" s="11" t="s">
        <v>3</v>
      </c>
      <c r="C373" s="60">
        <v>253</v>
      </c>
      <c r="D373" s="60">
        <v>114</v>
      </c>
      <c r="E373" s="60">
        <v>195</v>
      </c>
      <c r="F373" s="60">
        <v>459</v>
      </c>
      <c r="G373" s="60">
        <v>63</v>
      </c>
      <c r="H373" s="76">
        <f t="shared" si="65"/>
        <v>1084</v>
      </c>
    </row>
    <row r="374" spans="1:8" ht="15" customHeight="1" x14ac:dyDescent="0.3">
      <c r="A374" s="170"/>
      <c r="B374" s="11" t="s">
        <v>4</v>
      </c>
      <c r="C374" s="60">
        <v>462</v>
      </c>
      <c r="D374" s="60">
        <v>213</v>
      </c>
      <c r="E374" s="60">
        <v>358</v>
      </c>
      <c r="F374" s="60">
        <v>875</v>
      </c>
      <c r="G374" s="60">
        <v>118</v>
      </c>
      <c r="H374" s="76">
        <f t="shared" si="65"/>
        <v>2026</v>
      </c>
    </row>
    <row r="375" spans="1:8" ht="15" customHeight="1" x14ac:dyDescent="0.3">
      <c r="A375" s="167" t="s">
        <v>6</v>
      </c>
      <c r="B375" s="16" t="s">
        <v>2</v>
      </c>
      <c r="C375" s="74">
        <v>0</v>
      </c>
      <c r="D375" s="74">
        <v>2</v>
      </c>
      <c r="E375" s="74">
        <v>0</v>
      </c>
      <c r="F375" s="74">
        <v>11</v>
      </c>
      <c r="G375" s="74">
        <v>0</v>
      </c>
      <c r="H375" s="75">
        <f t="shared" si="65"/>
        <v>13</v>
      </c>
    </row>
    <row r="376" spans="1:8" ht="15" customHeight="1" x14ac:dyDescent="0.3">
      <c r="A376" s="167"/>
      <c r="B376" s="16" t="s">
        <v>3</v>
      </c>
      <c r="C376" s="74">
        <v>0</v>
      </c>
      <c r="D376" s="74">
        <v>336</v>
      </c>
      <c r="E376" s="74">
        <v>0</v>
      </c>
      <c r="F376" s="74">
        <v>339</v>
      </c>
      <c r="G376" s="74">
        <v>0</v>
      </c>
      <c r="H376" s="75">
        <f t="shared" si="65"/>
        <v>675</v>
      </c>
    </row>
    <row r="377" spans="1:8" ht="15" customHeight="1" x14ac:dyDescent="0.3">
      <c r="A377" s="167"/>
      <c r="B377" s="16" t="s">
        <v>4</v>
      </c>
      <c r="C377" s="74">
        <v>0</v>
      </c>
      <c r="D377" s="74">
        <v>662</v>
      </c>
      <c r="E377" s="74">
        <v>0</v>
      </c>
      <c r="F377" s="74">
        <v>634</v>
      </c>
      <c r="G377" s="74">
        <v>0</v>
      </c>
      <c r="H377" s="75">
        <f t="shared" si="65"/>
        <v>1296</v>
      </c>
    </row>
    <row r="378" spans="1:8" ht="15" customHeight="1" x14ac:dyDescent="0.3">
      <c r="A378" s="170" t="s">
        <v>9</v>
      </c>
      <c r="B378" s="11" t="s">
        <v>2</v>
      </c>
      <c r="C378" s="60">
        <v>0</v>
      </c>
      <c r="D378" s="60">
        <v>0</v>
      </c>
      <c r="E378" s="60">
        <v>0</v>
      </c>
      <c r="F378" s="60">
        <v>11</v>
      </c>
      <c r="G378" s="60">
        <v>3</v>
      </c>
      <c r="H378" s="76">
        <f>SUM(C378:G378)</f>
        <v>14</v>
      </c>
    </row>
    <row r="379" spans="1:8" ht="15" customHeight="1" x14ac:dyDescent="0.3">
      <c r="A379" s="170"/>
      <c r="B379" s="11" t="s">
        <v>3</v>
      </c>
      <c r="C379" s="60">
        <v>0</v>
      </c>
      <c r="D379" s="60">
        <v>0</v>
      </c>
      <c r="E379" s="60">
        <v>0</v>
      </c>
      <c r="F379" s="60">
        <v>381</v>
      </c>
      <c r="G379" s="60">
        <v>57</v>
      </c>
      <c r="H379" s="76">
        <f t="shared" ref="H379:H392" si="66">SUM(C379:G379)</f>
        <v>438</v>
      </c>
    </row>
    <row r="380" spans="1:8" ht="15" customHeight="1" x14ac:dyDescent="0.3">
      <c r="A380" s="170"/>
      <c r="B380" s="11" t="s">
        <v>4</v>
      </c>
      <c r="C380" s="60">
        <v>0</v>
      </c>
      <c r="D380" s="60">
        <v>0</v>
      </c>
      <c r="E380" s="60">
        <v>0</v>
      </c>
      <c r="F380" s="60">
        <v>710</v>
      </c>
      <c r="G380" s="60">
        <v>106</v>
      </c>
      <c r="H380" s="76">
        <f t="shared" si="66"/>
        <v>816</v>
      </c>
    </row>
    <row r="381" spans="1:8" ht="15" customHeight="1" x14ac:dyDescent="0.3">
      <c r="A381" s="167" t="s">
        <v>12</v>
      </c>
      <c r="B381" s="16" t="s">
        <v>2</v>
      </c>
      <c r="C381" s="74">
        <v>13</v>
      </c>
      <c r="D381" s="74">
        <v>40</v>
      </c>
      <c r="E381" s="74">
        <v>51</v>
      </c>
      <c r="F381" s="74">
        <v>82</v>
      </c>
      <c r="G381" s="74">
        <v>47</v>
      </c>
      <c r="H381" s="75">
        <f t="shared" si="66"/>
        <v>233</v>
      </c>
    </row>
    <row r="382" spans="1:8" ht="15" customHeight="1" x14ac:dyDescent="0.3">
      <c r="A382" s="167"/>
      <c r="B382" s="16" t="s">
        <v>3</v>
      </c>
      <c r="C382" s="74">
        <v>3746</v>
      </c>
      <c r="D382" s="74">
        <v>4176</v>
      </c>
      <c r="E382" s="74">
        <v>3374</v>
      </c>
      <c r="F382" s="74">
        <v>2698</v>
      </c>
      <c r="G382" s="74">
        <v>1043</v>
      </c>
      <c r="H382" s="75">
        <f t="shared" si="66"/>
        <v>15037</v>
      </c>
    </row>
    <row r="383" spans="1:8" ht="15" customHeight="1" x14ac:dyDescent="0.3">
      <c r="A383" s="167"/>
      <c r="B383" s="16" t="s">
        <v>4</v>
      </c>
      <c r="C383" s="74">
        <v>7045</v>
      </c>
      <c r="D383" s="74">
        <v>7605</v>
      </c>
      <c r="E383" s="74">
        <v>5952</v>
      </c>
      <c r="F383" s="74">
        <v>4929</v>
      </c>
      <c r="G383" s="74">
        <v>1882</v>
      </c>
      <c r="H383" s="75">
        <f t="shared" si="66"/>
        <v>27413</v>
      </c>
    </row>
    <row r="384" spans="1:8" ht="15" customHeight="1" x14ac:dyDescent="0.3">
      <c r="A384" s="171" t="s">
        <v>8</v>
      </c>
      <c r="B384" s="11" t="s">
        <v>2</v>
      </c>
      <c r="C384" s="60">
        <v>2</v>
      </c>
      <c r="D384" s="60">
        <v>24</v>
      </c>
      <c r="E384" s="60">
        <v>47</v>
      </c>
      <c r="F384" s="60">
        <v>85</v>
      </c>
      <c r="G384" s="60">
        <v>46</v>
      </c>
      <c r="H384" s="76">
        <f t="shared" si="66"/>
        <v>204</v>
      </c>
    </row>
    <row r="385" spans="1:8" ht="15" customHeight="1" x14ac:dyDescent="0.3">
      <c r="A385" s="171"/>
      <c r="B385" s="11" t="s">
        <v>3</v>
      </c>
      <c r="C385" s="60">
        <v>63</v>
      </c>
      <c r="D385" s="60">
        <v>501</v>
      </c>
      <c r="E385" s="60">
        <v>1294</v>
      </c>
      <c r="F385" s="60">
        <v>1817</v>
      </c>
      <c r="G385" s="60">
        <v>693</v>
      </c>
      <c r="H385" s="76">
        <f t="shared" si="66"/>
        <v>4368</v>
      </c>
    </row>
    <row r="386" spans="1:8" ht="15" customHeight="1" x14ac:dyDescent="0.3">
      <c r="A386" s="171"/>
      <c r="B386" s="11" t="s">
        <v>4</v>
      </c>
      <c r="C386" s="60">
        <v>129</v>
      </c>
      <c r="D386" s="60">
        <v>956</v>
      </c>
      <c r="E386" s="60">
        <v>2424</v>
      </c>
      <c r="F386" s="60">
        <v>3420</v>
      </c>
      <c r="G386" s="60">
        <v>1376</v>
      </c>
      <c r="H386" s="76">
        <f t="shared" si="66"/>
        <v>8305</v>
      </c>
    </row>
    <row r="387" spans="1:8" ht="15" customHeight="1" x14ac:dyDescent="0.3">
      <c r="A387" s="167" t="s">
        <v>11</v>
      </c>
      <c r="B387" s="16" t="s">
        <v>2</v>
      </c>
      <c r="C387" s="74">
        <v>1</v>
      </c>
      <c r="D387" s="74">
        <v>10</v>
      </c>
      <c r="E387" s="74">
        <v>16</v>
      </c>
      <c r="F387" s="74">
        <v>19</v>
      </c>
      <c r="G387" s="74">
        <v>3</v>
      </c>
      <c r="H387" s="75">
        <f t="shared" si="66"/>
        <v>49</v>
      </c>
    </row>
    <row r="388" spans="1:8" ht="15" customHeight="1" x14ac:dyDescent="0.3">
      <c r="A388" s="167"/>
      <c r="B388" s="16" t="s">
        <v>3</v>
      </c>
      <c r="C388" s="74">
        <v>374</v>
      </c>
      <c r="D388" s="74">
        <v>686</v>
      </c>
      <c r="E388" s="74">
        <v>876</v>
      </c>
      <c r="F388" s="74">
        <v>695</v>
      </c>
      <c r="G388" s="74">
        <v>71</v>
      </c>
      <c r="H388" s="75">
        <f t="shared" si="66"/>
        <v>2702</v>
      </c>
    </row>
    <row r="389" spans="1:8" ht="15" customHeight="1" x14ac:dyDescent="0.3">
      <c r="A389" s="167"/>
      <c r="B389" s="16" t="s">
        <v>4</v>
      </c>
      <c r="C389" s="74">
        <v>698</v>
      </c>
      <c r="D389" s="74">
        <v>1281</v>
      </c>
      <c r="E389" s="74">
        <v>1619</v>
      </c>
      <c r="F389" s="74">
        <v>1215</v>
      </c>
      <c r="G389" s="74">
        <v>128</v>
      </c>
      <c r="H389" s="75">
        <f t="shared" si="66"/>
        <v>4941</v>
      </c>
    </row>
    <row r="390" spans="1:8" ht="15" customHeight="1" x14ac:dyDescent="0.3">
      <c r="A390" s="168" t="s">
        <v>7</v>
      </c>
      <c r="B390" s="11" t="s">
        <v>2</v>
      </c>
      <c r="C390" s="77">
        <v>1</v>
      </c>
      <c r="D390" s="77">
        <v>1</v>
      </c>
      <c r="E390" s="77">
        <v>8</v>
      </c>
      <c r="F390" s="77">
        <v>26</v>
      </c>
      <c r="G390" s="77">
        <v>9</v>
      </c>
      <c r="H390" s="78">
        <f t="shared" si="66"/>
        <v>45</v>
      </c>
    </row>
    <row r="391" spans="1:8" ht="15" customHeight="1" x14ac:dyDescent="0.3">
      <c r="A391" s="168"/>
      <c r="B391" s="11" t="s">
        <v>3</v>
      </c>
      <c r="C391" s="77">
        <v>77</v>
      </c>
      <c r="D391" s="77">
        <v>23</v>
      </c>
      <c r="E391" s="77">
        <v>482</v>
      </c>
      <c r="F391" s="77">
        <v>987</v>
      </c>
      <c r="G391" s="77">
        <v>184</v>
      </c>
      <c r="H391" s="78">
        <f t="shared" si="66"/>
        <v>1753</v>
      </c>
    </row>
    <row r="392" spans="1:8" ht="15" customHeight="1" x14ac:dyDescent="0.3">
      <c r="A392" s="168"/>
      <c r="B392" s="11" t="s">
        <v>4</v>
      </c>
      <c r="C392" s="77">
        <v>125</v>
      </c>
      <c r="D392" s="77">
        <v>45</v>
      </c>
      <c r="E392" s="77">
        <v>865</v>
      </c>
      <c r="F392" s="77">
        <v>1766</v>
      </c>
      <c r="G392" s="77">
        <v>362</v>
      </c>
      <c r="H392" s="78">
        <f t="shared" si="66"/>
        <v>3163</v>
      </c>
    </row>
    <row r="393" spans="1:8" ht="15" customHeight="1" x14ac:dyDescent="0.3">
      <c r="A393" s="166" t="s">
        <v>1</v>
      </c>
      <c r="B393" s="95" t="s">
        <v>2</v>
      </c>
      <c r="C393" s="96">
        <f>SUMIF($B$72:$B$95,$B$72,C369:G392)</f>
        <v>29</v>
      </c>
      <c r="D393" s="96">
        <f t="shared" ref="D393:D395" si="67">SUMIF($B$72:$B$95,$B$72,D369:H392)</f>
        <v>98</v>
      </c>
      <c r="E393" s="96">
        <f t="shared" ref="E393:E395" si="68">SUMIF($B$72:$B$95,$B$72,E369:I392)</f>
        <v>145</v>
      </c>
      <c r="F393" s="96">
        <f t="shared" ref="F393:F395" si="69">SUMIF($B$72:$B$95,$B$72,F369:J392)</f>
        <v>278</v>
      </c>
      <c r="G393" s="96">
        <f t="shared" ref="G393:G395" si="70">SUMIF($B$72:$B$95,$B$72,G369:K392)</f>
        <v>113</v>
      </c>
      <c r="H393" s="96">
        <f>SUM(C393:G393)</f>
        <v>663</v>
      </c>
    </row>
    <row r="394" spans="1:8" ht="15" customHeight="1" x14ac:dyDescent="0.3">
      <c r="A394" s="166"/>
      <c r="B394" s="95" t="s">
        <v>3</v>
      </c>
      <c r="C394" s="96">
        <f>SUMIF($B$72:$B$95,$B$72,C370:G393)</f>
        <v>6192</v>
      </c>
      <c r="D394" s="96">
        <f t="shared" si="67"/>
        <v>7907</v>
      </c>
      <c r="E394" s="96">
        <f t="shared" si="68"/>
        <v>7264</v>
      </c>
      <c r="F394" s="96">
        <f t="shared" si="69"/>
        <v>8427</v>
      </c>
      <c r="G394" s="96">
        <f t="shared" si="70"/>
        <v>2147</v>
      </c>
      <c r="H394" s="96">
        <f t="shared" ref="H394:H395" si="71">SUM(C394:G394)</f>
        <v>31937</v>
      </c>
    </row>
    <row r="395" spans="1:8" ht="15" customHeight="1" x14ac:dyDescent="0.3">
      <c r="A395" s="166"/>
      <c r="B395" s="95" t="s">
        <v>4</v>
      </c>
      <c r="C395" s="96">
        <f>SUMIF($B$72:$B$95,$B$72,C371:G394)</f>
        <v>11663</v>
      </c>
      <c r="D395" s="96">
        <f t="shared" si="67"/>
        <v>14760</v>
      </c>
      <c r="E395" s="96">
        <f t="shared" si="68"/>
        <v>13248</v>
      </c>
      <c r="F395" s="96">
        <f t="shared" si="69"/>
        <v>15535</v>
      </c>
      <c r="G395" s="96">
        <f t="shared" si="70"/>
        <v>4040</v>
      </c>
      <c r="H395" s="96">
        <f t="shared" si="71"/>
        <v>59246</v>
      </c>
    </row>
    <row r="396" spans="1:8" ht="15" customHeight="1" x14ac:dyDescent="0.3">
      <c r="A396" s="6" t="s">
        <v>134</v>
      </c>
      <c r="B396" s="7"/>
      <c r="C396" s="7"/>
      <c r="D396" s="7"/>
      <c r="E396" s="7"/>
      <c r="F396" s="7"/>
    </row>
    <row r="399" spans="1:8" ht="15" customHeight="1" x14ac:dyDescent="0.3">
      <c r="A399" s="162" t="s">
        <v>97</v>
      </c>
      <c r="B399" s="162"/>
      <c r="C399" s="162"/>
      <c r="D399" s="162"/>
      <c r="E399" s="162"/>
      <c r="F399" s="162"/>
      <c r="G399" s="162"/>
      <c r="H399" s="162"/>
    </row>
    <row r="400" spans="1:8" ht="15" customHeight="1" x14ac:dyDescent="0.3">
      <c r="A400" s="162" t="s">
        <v>106</v>
      </c>
      <c r="B400" s="162"/>
      <c r="C400" s="162"/>
      <c r="D400" s="162"/>
      <c r="E400" s="162"/>
      <c r="F400" s="162"/>
      <c r="G400" s="162"/>
      <c r="H400" s="162"/>
    </row>
    <row r="401" spans="1:8" ht="15" customHeight="1" x14ac:dyDescent="0.3">
      <c r="A401" s="94" t="s">
        <v>125</v>
      </c>
      <c r="B401" s="46"/>
      <c r="C401" s="46" t="s">
        <v>62</v>
      </c>
      <c r="D401" s="46" t="s">
        <v>63</v>
      </c>
      <c r="E401" s="46" t="s">
        <v>64</v>
      </c>
      <c r="F401" s="46" t="s">
        <v>65</v>
      </c>
      <c r="G401" s="46" t="s">
        <v>0</v>
      </c>
      <c r="H401" s="46" t="s">
        <v>1</v>
      </c>
    </row>
    <row r="402" spans="1:8" ht="15" customHeight="1" x14ac:dyDescent="0.3">
      <c r="A402" s="169" t="s">
        <v>13</v>
      </c>
      <c r="B402" s="16" t="s">
        <v>2</v>
      </c>
      <c r="C402" s="74">
        <v>13</v>
      </c>
      <c r="D402" s="74">
        <v>40</v>
      </c>
      <c r="E402" s="74">
        <v>48</v>
      </c>
      <c r="F402" s="74">
        <v>77</v>
      </c>
      <c r="G402" s="74">
        <v>48</v>
      </c>
      <c r="H402" s="75">
        <f>SUM(C402:G402)</f>
        <v>226</v>
      </c>
    </row>
    <row r="403" spans="1:8" ht="15" customHeight="1" x14ac:dyDescent="0.3">
      <c r="A403" s="169"/>
      <c r="B403" s="16" t="s">
        <v>3</v>
      </c>
      <c r="C403" s="74">
        <v>3746</v>
      </c>
      <c r="D403" s="74">
        <v>4193</v>
      </c>
      <c r="E403" s="74">
        <v>3375</v>
      </c>
      <c r="F403" s="74">
        <v>2653</v>
      </c>
      <c r="G403" s="74">
        <v>1060</v>
      </c>
      <c r="H403" s="75">
        <f t="shared" ref="H403:H416" si="72">SUM(C403:G403)</f>
        <v>15027</v>
      </c>
    </row>
    <row r="404" spans="1:8" ht="15" customHeight="1" x14ac:dyDescent="0.3">
      <c r="A404" s="169"/>
      <c r="B404" s="16" t="s">
        <v>4</v>
      </c>
      <c r="C404" s="74">
        <v>7045</v>
      </c>
      <c r="D404" s="74">
        <v>7630</v>
      </c>
      <c r="E404" s="74">
        <v>6028</v>
      </c>
      <c r="F404" s="74">
        <v>4807</v>
      </c>
      <c r="G404" s="74">
        <v>1956</v>
      </c>
      <c r="H404" s="75">
        <f t="shared" si="72"/>
        <v>27466</v>
      </c>
    </row>
    <row r="405" spans="1:8" ht="15" customHeight="1" x14ac:dyDescent="0.3">
      <c r="A405" s="170" t="s">
        <v>14</v>
      </c>
      <c r="B405" s="11" t="s">
        <v>2</v>
      </c>
      <c r="C405" s="60">
        <v>2</v>
      </c>
      <c r="D405" s="60">
        <v>16</v>
      </c>
      <c r="E405" s="60">
        <v>27</v>
      </c>
      <c r="F405" s="60">
        <v>65</v>
      </c>
      <c r="G405" s="60">
        <v>43</v>
      </c>
      <c r="H405" s="76">
        <f t="shared" si="72"/>
        <v>153</v>
      </c>
    </row>
    <row r="406" spans="1:8" ht="15" customHeight="1" x14ac:dyDescent="0.3">
      <c r="A406" s="170"/>
      <c r="B406" s="11" t="s">
        <v>3</v>
      </c>
      <c r="C406" s="60">
        <v>63</v>
      </c>
      <c r="D406" s="60">
        <v>339</v>
      </c>
      <c r="E406" s="60">
        <v>975</v>
      </c>
      <c r="F406" s="60">
        <v>1494</v>
      </c>
      <c r="G406" s="60">
        <v>661</v>
      </c>
      <c r="H406" s="76">
        <f t="shared" si="72"/>
        <v>3532</v>
      </c>
    </row>
    <row r="407" spans="1:8" ht="15" customHeight="1" x14ac:dyDescent="0.3">
      <c r="A407" s="170"/>
      <c r="B407" s="11" t="s">
        <v>4</v>
      </c>
      <c r="C407" s="60">
        <v>129</v>
      </c>
      <c r="D407" s="60">
        <v>661</v>
      </c>
      <c r="E407" s="60">
        <v>1851</v>
      </c>
      <c r="F407" s="60">
        <v>2807</v>
      </c>
      <c r="G407" s="60">
        <v>1320</v>
      </c>
      <c r="H407" s="76">
        <f t="shared" si="72"/>
        <v>6768</v>
      </c>
    </row>
    <row r="408" spans="1:8" ht="15" customHeight="1" x14ac:dyDescent="0.3">
      <c r="A408" s="167" t="s">
        <v>15</v>
      </c>
      <c r="B408" s="16" t="s">
        <v>2</v>
      </c>
      <c r="C408" s="74">
        <v>0</v>
      </c>
      <c r="D408" s="74">
        <v>5</v>
      </c>
      <c r="E408" s="74">
        <v>19</v>
      </c>
      <c r="F408" s="74">
        <v>16</v>
      </c>
      <c r="G408" s="74">
        <v>2</v>
      </c>
      <c r="H408" s="75">
        <f t="shared" si="72"/>
        <v>42</v>
      </c>
    </row>
    <row r="409" spans="1:8" ht="15" customHeight="1" x14ac:dyDescent="0.3">
      <c r="A409" s="167"/>
      <c r="B409" s="16" t="s">
        <v>3</v>
      </c>
      <c r="C409" s="74">
        <v>0</v>
      </c>
      <c r="D409" s="74">
        <v>76</v>
      </c>
      <c r="E409" s="74">
        <v>268</v>
      </c>
      <c r="F409" s="74">
        <v>196</v>
      </c>
      <c r="G409" s="74">
        <v>22</v>
      </c>
      <c r="H409" s="75">
        <f t="shared" si="72"/>
        <v>562</v>
      </c>
    </row>
    <row r="410" spans="1:8" ht="15" customHeight="1" x14ac:dyDescent="0.3">
      <c r="A410" s="167"/>
      <c r="B410" s="16" t="s">
        <v>4</v>
      </c>
      <c r="C410" s="74">
        <v>0</v>
      </c>
      <c r="D410" s="74">
        <v>149</v>
      </c>
      <c r="E410" s="74">
        <v>479</v>
      </c>
      <c r="F410" s="74">
        <v>377</v>
      </c>
      <c r="G410" s="74">
        <v>36</v>
      </c>
      <c r="H410" s="75">
        <f t="shared" si="72"/>
        <v>1041</v>
      </c>
    </row>
    <row r="411" spans="1:8" ht="15" customHeight="1" x14ac:dyDescent="0.3">
      <c r="A411" s="170" t="s">
        <v>16</v>
      </c>
      <c r="B411" s="11" t="s">
        <v>2</v>
      </c>
      <c r="C411" s="77">
        <v>13</v>
      </c>
      <c r="D411" s="77">
        <v>35</v>
      </c>
      <c r="E411" s="77">
        <v>36</v>
      </c>
      <c r="F411" s="77">
        <v>92</v>
      </c>
      <c r="G411" s="77">
        <v>15</v>
      </c>
      <c r="H411" s="78">
        <f t="shared" si="72"/>
        <v>191</v>
      </c>
    </row>
    <row r="412" spans="1:8" ht="15" customHeight="1" x14ac:dyDescent="0.3">
      <c r="A412" s="170"/>
      <c r="B412" s="11" t="s">
        <v>3</v>
      </c>
      <c r="C412" s="77">
        <v>2306</v>
      </c>
      <c r="D412" s="77">
        <v>3284</v>
      </c>
      <c r="E412" s="77">
        <v>1963</v>
      </c>
      <c r="F412" s="77">
        <v>3230</v>
      </c>
      <c r="G412" s="77">
        <v>310</v>
      </c>
      <c r="H412" s="78">
        <f t="shared" si="72"/>
        <v>11093</v>
      </c>
    </row>
    <row r="413" spans="1:8" ht="15" customHeight="1" x14ac:dyDescent="0.3">
      <c r="A413" s="170"/>
      <c r="B413" s="11" t="s">
        <v>4</v>
      </c>
      <c r="C413" s="77">
        <v>4364</v>
      </c>
      <c r="D413" s="77">
        <v>6283</v>
      </c>
      <c r="E413" s="77">
        <v>3713</v>
      </c>
      <c r="F413" s="77">
        <v>5985</v>
      </c>
      <c r="G413" s="77">
        <v>578</v>
      </c>
      <c r="H413" s="78">
        <f t="shared" si="72"/>
        <v>20923</v>
      </c>
    </row>
    <row r="414" spans="1:8" ht="15" customHeight="1" x14ac:dyDescent="0.3">
      <c r="A414" s="169" t="s">
        <v>7</v>
      </c>
      <c r="B414" s="16" t="s">
        <v>2</v>
      </c>
      <c r="C414" s="74">
        <v>1</v>
      </c>
      <c r="D414" s="74">
        <v>1</v>
      </c>
      <c r="E414" s="74">
        <v>8</v>
      </c>
      <c r="F414" s="74">
        <v>21</v>
      </c>
      <c r="G414" s="74">
        <v>6</v>
      </c>
      <c r="H414" s="75">
        <f t="shared" si="72"/>
        <v>37</v>
      </c>
    </row>
    <row r="415" spans="1:8" ht="15" customHeight="1" x14ac:dyDescent="0.3">
      <c r="A415" s="169"/>
      <c r="B415" s="16" t="s">
        <v>3</v>
      </c>
      <c r="C415" s="74">
        <v>77</v>
      </c>
      <c r="D415" s="74">
        <v>23</v>
      </c>
      <c r="E415" s="74">
        <v>482</v>
      </c>
      <c r="F415" s="74">
        <v>762</v>
      </c>
      <c r="G415" s="74">
        <v>115</v>
      </c>
      <c r="H415" s="75">
        <f t="shared" si="72"/>
        <v>1459</v>
      </c>
    </row>
    <row r="416" spans="1:8" ht="15" customHeight="1" x14ac:dyDescent="0.3">
      <c r="A416" s="169"/>
      <c r="B416" s="16" t="s">
        <v>4</v>
      </c>
      <c r="C416" s="74">
        <v>125</v>
      </c>
      <c r="D416" s="74">
        <v>45</v>
      </c>
      <c r="E416" s="74">
        <v>865</v>
      </c>
      <c r="F416" s="74">
        <v>1353</v>
      </c>
      <c r="G416" s="74">
        <v>241</v>
      </c>
      <c r="H416" s="75">
        <f t="shared" si="72"/>
        <v>2629</v>
      </c>
    </row>
    <row r="417" spans="1:8" ht="15" customHeight="1" x14ac:dyDescent="0.3">
      <c r="A417" s="166" t="s">
        <v>1</v>
      </c>
      <c r="B417" s="95" t="s">
        <v>2</v>
      </c>
      <c r="C417" s="96">
        <f>SUMIF($B$402:$B$416,$B$402,C402:G416)</f>
        <v>29</v>
      </c>
      <c r="D417" s="96">
        <f t="shared" ref="D417:G419" si="73">SUMIF($B$402:$B$416,$B$402,D402:H416)</f>
        <v>97</v>
      </c>
      <c r="E417" s="96">
        <f t="shared" si="73"/>
        <v>138</v>
      </c>
      <c r="F417" s="96">
        <f t="shared" si="73"/>
        <v>271</v>
      </c>
      <c r="G417" s="96">
        <f t="shared" si="73"/>
        <v>114</v>
      </c>
      <c r="H417" s="96">
        <f>SUM(C417:G417)</f>
        <v>649</v>
      </c>
    </row>
    <row r="418" spans="1:8" ht="15" customHeight="1" x14ac:dyDescent="0.3">
      <c r="A418" s="166"/>
      <c r="B418" s="95" t="s">
        <v>3</v>
      </c>
      <c r="C418" s="96">
        <f t="shared" ref="C418:C419" si="74">SUMIF($B$402:$B$416,$B$402,C403:G417)</f>
        <v>6192</v>
      </c>
      <c r="D418" s="96">
        <f t="shared" si="73"/>
        <v>7915</v>
      </c>
      <c r="E418" s="96">
        <f t="shared" si="73"/>
        <v>7063</v>
      </c>
      <c r="F418" s="96">
        <f t="shared" si="73"/>
        <v>8335</v>
      </c>
      <c r="G418" s="96">
        <f t="shared" si="73"/>
        <v>2168</v>
      </c>
      <c r="H418" s="96">
        <f t="shared" ref="H418:H419" si="75">SUM(C418:G418)</f>
        <v>31673</v>
      </c>
    </row>
    <row r="419" spans="1:8" ht="15" customHeight="1" x14ac:dyDescent="0.3">
      <c r="A419" s="166"/>
      <c r="B419" s="95" t="s">
        <v>4</v>
      </c>
      <c r="C419" s="96">
        <f t="shared" si="74"/>
        <v>11663</v>
      </c>
      <c r="D419" s="96">
        <f t="shared" si="73"/>
        <v>14768</v>
      </c>
      <c r="E419" s="96">
        <f t="shared" si="73"/>
        <v>12936</v>
      </c>
      <c r="F419" s="96">
        <f t="shared" si="73"/>
        <v>15329</v>
      </c>
      <c r="G419" s="96">
        <f t="shared" si="73"/>
        <v>4131</v>
      </c>
      <c r="H419" s="96">
        <f t="shared" si="75"/>
        <v>58827</v>
      </c>
    </row>
    <row r="420" spans="1:8" ht="15" customHeight="1" x14ac:dyDescent="0.3">
      <c r="A420" s="6" t="s">
        <v>134</v>
      </c>
      <c r="B420" s="7"/>
      <c r="C420" s="7"/>
      <c r="D420" s="7"/>
      <c r="E420" s="7"/>
      <c r="F420" s="7"/>
    </row>
    <row r="423" spans="1:8" ht="15" customHeight="1" x14ac:dyDescent="0.3">
      <c r="A423" s="162" t="s">
        <v>97</v>
      </c>
      <c r="B423" s="162"/>
      <c r="C423" s="162"/>
      <c r="D423" s="162"/>
      <c r="E423" s="162"/>
      <c r="F423" s="162"/>
      <c r="G423" s="162"/>
      <c r="H423" s="162"/>
    </row>
    <row r="424" spans="1:8" ht="15" customHeight="1" x14ac:dyDescent="0.3">
      <c r="A424" s="162" t="s">
        <v>107</v>
      </c>
      <c r="B424" s="162"/>
      <c r="C424" s="162"/>
      <c r="D424" s="162"/>
      <c r="E424" s="162"/>
      <c r="F424" s="162"/>
      <c r="G424" s="162"/>
      <c r="H424" s="162"/>
    </row>
    <row r="425" spans="1:8" ht="15" customHeight="1" x14ac:dyDescent="0.3">
      <c r="A425" s="94" t="s">
        <v>125</v>
      </c>
      <c r="B425" s="46"/>
      <c r="C425" s="46" t="s">
        <v>62</v>
      </c>
      <c r="D425" s="46" t="s">
        <v>63</v>
      </c>
      <c r="E425" s="46" t="s">
        <v>64</v>
      </c>
      <c r="F425" s="46" t="s">
        <v>65</v>
      </c>
      <c r="G425" s="46" t="s">
        <v>0</v>
      </c>
      <c r="H425" s="46" t="s">
        <v>1</v>
      </c>
    </row>
    <row r="426" spans="1:8" ht="15" customHeight="1" x14ac:dyDescent="0.3">
      <c r="A426" s="169" t="s">
        <v>13</v>
      </c>
      <c r="B426" s="16" t="s">
        <v>2</v>
      </c>
      <c r="C426" s="74">
        <v>14</v>
      </c>
      <c r="D426" s="74">
        <v>39</v>
      </c>
      <c r="E426" s="74">
        <v>48</v>
      </c>
      <c r="F426" s="74">
        <v>81</v>
      </c>
      <c r="G426" s="74">
        <v>50</v>
      </c>
      <c r="H426" s="75">
        <f>SUM(C426:G426)</f>
        <v>232</v>
      </c>
    </row>
    <row r="427" spans="1:8" ht="15" customHeight="1" x14ac:dyDescent="0.3">
      <c r="A427" s="169"/>
      <c r="B427" s="16" t="s">
        <v>3</v>
      </c>
      <c r="C427" s="74">
        <v>4120</v>
      </c>
      <c r="D427" s="74">
        <v>4122</v>
      </c>
      <c r="E427" s="74">
        <v>3396</v>
      </c>
      <c r="F427" s="74">
        <v>2856</v>
      </c>
      <c r="G427" s="74">
        <v>1102</v>
      </c>
      <c r="H427" s="75">
        <f t="shared" ref="H427:H440" si="76">SUM(C427:G427)</f>
        <v>15596</v>
      </c>
    </row>
    <row r="428" spans="1:8" ht="15" customHeight="1" x14ac:dyDescent="0.3">
      <c r="A428" s="169"/>
      <c r="B428" s="16" t="s">
        <v>4</v>
      </c>
      <c r="C428" s="74">
        <v>7743</v>
      </c>
      <c r="D428" s="74">
        <v>7549</v>
      </c>
      <c r="E428" s="74">
        <v>6083</v>
      </c>
      <c r="F428" s="74">
        <v>5191</v>
      </c>
      <c r="G428" s="74">
        <v>2022</v>
      </c>
      <c r="H428" s="75">
        <f t="shared" si="76"/>
        <v>28588</v>
      </c>
    </row>
    <row r="429" spans="1:8" ht="15" customHeight="1" x14ac:dyDescent="0.3">
      <c r="A429" s="170" t="s">
        <v>14</v>
      </c>
      <c r="B429" s="11" t="s">
        <v>2</v>
      </c>
      <c r="C429" s="60">
        <v>1</v>
      </c>
      <c r="D429" s="60">
        <v>16</v>
      </c>
      <c r="E429" s="60">
        <v>27</v>
      </c>
      <c r="F429" s="60">
        <v>68</v>
      </c>
      <c r="G429" s="60">
        <v>45</v>
      </c>
      <c r="H429" s="76">
        <f t="shared" si="76"/>
        <v>157</v>
      </c>
    </row>
    <row r="430" spans="1:8" ht="15" customHeight="1" x14ac:dyDescent="0.3">
      <c r="A430" s="170"/>
      <c r="B430" s="11" t="s">
        <v>3</v>
      </c>
      <c r="C430" s="60">
        <v>55</v>
      </c>
      <c r="D430" s="60">
        <v>339</v>
      </c>
      <c r="E430" s="60">
        <v>976</v>
      </c>
      <c r="F430" s="60">
        <v>1540</v>
      </c>
      <c r="G430" s="60">
        <v>679</v>
      </c>
      <c r="H430" s="76">
        <f t="shared" si="76"/>
        <v>3589</v>
      </c>
    </row>
    <row r="431" spans="1:8" ht="15" customHeight="1" x14ac:dyDescent="0.3">
      <c r="A431" s="170"/>
      <c r="B431" s="11" t="s">
        <v>4</v>
      </c>
      <c r="C431" s="60">
        <v>113</v>
      </c>
      <c r="D431" s="60">
        <v>661</v>
      </c>
      <c r="E431" s="60">
        <v>1852</v>
      </c>
      <c r="F431" s="60">
        <v>2898</v>
      </c>
      <c r="G431" s="60">
        <v>1357</v>
      </c>
      <c r="H431" s="76">
        <f t="shared" si="76"/>
        <v>6881</v>
      </c>
    </row>
    <row r="432" spans="1:8" ht="15" customHeight="1" x14ac:dyDescent="0.3">
      <c r="A432" s="167" t="s">
        <v>15</v>
      </c>
      <c r="B432" s="16" t="s">
        <v>2</v>
      </c>
      <c r="C432" s="74">
        <v>0</v>
      </c>
      <c r="D432" s="74">
        <v>6</v>
      </c>
      <c r="E432" s="74">
        <v>18</v>
      </c>
      <c r="F432" s="74">
        <v>16</v>
      </c>
      <c r="G432" s="74">
        <v>2</v>
      </c>
      <c r="H432" s="75">
        <f t="shared" si="76"/>
        <v>42</v>
      </c>
    </row>
    <row r="433" spans="1:8" ht="15" customHeight="1" x14ac:dyDescent="0.3">
      <c r="A433" s="167"/>
      <c r="B433" s="16" t="s">
        <v>3</v>
      </c>
      <c r="C433" s="74">
        <v>0</v>
      </c>
      <c r="D433" s="74">
        <v>79</v>
      </c>
      <c r="E433" s="74">
        <v>225</v>
      </c>
      <c r="F433" s="74">
        <v>196</v>
      </c>
      <c r="G433" s="74">
        <v>22</v>
      </c>
      <c r="H433" s="75">
        <f t="shared" si="76"/>
        <v>522</v>
      </c>
    </row>
    <row r="434" spans="1:8" ht="15" customHeight="1" x14ac:dyDescent="0.3">
      <c r="A434" s="167"/>
      <c r="B434" s="16" t="s">
        <v>4</v>
      </c>
      <c r="C434" s="74">
        <v>0</v>
      </c>
      <c r="D434" s="74">
        <v>162</v>
      </c>
      <c r="E434" s="74">
        <v>437</v>
      </c>
      <c r="F434" s="74">
        <v>377</v>
      </c>
      <c r="G434" s="74">
        <v>36</v>
      </c>
      <c r="H434" s="75">
        <f t="shared" si="76"/>
        <v>1012</v>
      </c>
    </row>
    <row r="435" spans="1:8" ht="15" customHeight="1" x14ac:dyDescent="0.3">
      <c r="A435" s="170" t="s">
        <v>16</v>
      </c>
      <c r="B435" s="11" t="s">
        <v>2</v>
      </c>
      <c r="C435" s="60">
        <v>12</v>
      </c>
      <c r="D435" s="60">
        <v>33</v>
      </c>
      <c r="E435" s="60">
        <v>39</v>
      </c>
      <c r="F435" s="60">
        <v>92</v>
      </c>
      <c r="G435" s="60">
        <v>17</v>
      </c>
      <c r="H435" s="76">
        <f t="shared" si="76"/>
        <v>193</v>
      </c>
    </row>
    <row r="436" spans="1:8" ht="15" customHeight="1" x14ac:dyDescent="0.3">
      <c r="A436" s="170"/>
      <c r="B436" s="11" t="s">
        <v>3</v>
      </c>
      <c r="C436" s="60">
        <v>1931</v>
      </c>
      <c r="D436" s="60">
        <v>3169</v>
      </c>
      <c r="E436" s="60">
        <v>2142</v>
      </c>
      <c r="F436" s="60">
        <v>3243</v>
      </c>
      <c r="G436" s="60">
        <v>340</v>
      </c>
      <c r="H436" s="76">
        <f t="shared" si="76"/>
        <v>10825</v>
      </c>
    </row>
    <row r="437" spans="1:8" ht="15" customHeight="1" x14ac:dyDescent="0.3">
      <c r="A437" s="170"/>
      <c r="B437" s="11" t="s">
        <v>4</v>
      </c>
      <c r="C437" s="60">
        <v>3696</v>
      </c>
      <c r="D437" s="60">
        <v>6080</v>
      </c>
      <c r="E437" s="60">
        <v>4051</v>
      </c>
      <c r="F437" s="60">
        <v>6006</v>
      </c>
      <c r="G437" s="60">
        <v>637</v>
      </c>
      <c r="H437" s="76">
        <f t="shared" si="76"/>
        <v>20470</v>
      </c>
    </row>
    <row r="438" spans="1:8" ht="15" customHeight="1" x14ac:dyDescent="0.3">
      <c r="A438" s="169" t="s">
        <v>7</v>
      </c>
      <c r="B438" s="16" t="s">
        <v>2</v>
      </c>
      <c r="C438" s="74">
        <v>1</v>
      </c>
      <c r="D438" s="74">
        <v>1</v>
      </c>
      <c r="E438" s="74">
        <v>8</v>
      </c>
      <c r="F438" s="74">
        <v>21</v>
      </c>
      <c r="G438" s="74">
        <v>6</v>
      </c>
      <c r="H438" s="75">
        <f t="shared" si="76"/>
        <v>37</v>
      </c>
    </row>
    <row r="439" spans="1:8" ht="15" customHeight="1" x14ac:dyDescent="0.3">
      <c r="A439" s="169"/>
      <c r="B439" s="16" t="s">
        <v>3</v>
      </c>
      <c r="C439" s="74">
        <v>77</v>
      </c>
      <c r="D439" s="74">
        <v>23</v>
      </c>
      <c r="E439" s="74">
        <v>482</v>
      </c>
      <c r="F439" s="74">
        <v>759</v>
      </c>
      <c r="G439" s="74">
        <v>115</v>
      </c>
      <c r="H439" s="75">
        <f t="shared" si="76"/>
        <v>1456</v>
      </c>
    </row>
    <row r="440" spans="1:8" ht="15" customHeight="1" x14ac:dyDescent="0.3">
      <c r="A440" s="169"/>
      <c r="B440" s="16" t="s">
        <v>4</v>
      </c>
      <c r="C440" s="74">
        <v>125</v>
      </c>
      <c r="D440" s="74">
        <v>45</v>
      </c>
      <c r="E440" s="74">
        <v>865</v>
      </c>
      <c r="F440" s="74">
        <v>1345</v>
      </c>
      <c r="G440" s="74">
        <v>241</v>
      </c>
      <c r="H440" s="75">
        <f t="shared" si="76"/>
        <v>2621</v>
      </c>
    </row>
    <row r="441" spans="1:8" ht="15" customHeight="1" x14ac:dyDescent="0.3">
      <c r="A441" s="166" t="s">
        <v>1</v>
      </c>
      <c r="B441" s="95" t="s">
        <v>2</v>
      </c>
      <c r="C441" s="96">
        <f>SUMIF($B$402:$B$416,$B$402,C426:G440)</f>
        <v>28</v>
      </c>
      <c r="D441" s="96">
        <f t="shared" ref="D441:D443" si="77">SUMIF($B$402:$B$416,$B$402,D426:H440)</f>
        <v>95</v>
      </c>
      <c r="E441" s="96">
        <f t="shared" ref="E441:E443" si="78">SUMIF($B$402:$B$416,$B$402,E426:I440)</f>
        <v>140</v>
      </c>
      <c r="F441" s="96">
        <f t="shared" ref="F441:F443" si="79">SUMIF($B$402:$B$416,$B$402,F426:J440)</f>
        <v>278</v>
      </c>
      <c r="G441" s="96">
        <f t="shared" ref="G441:G443" si="80">SUMIF($B$402:$B$416,$B$402,G426:K440)</f>
        <v>120</v>
      </c>
      <c r="H441" s="96">
        <f>SUM(C441:G441)</f>
        <v>661</v>
      </c>
    </row>
    <row r="442" spans="1:8" ht="15" customHeight="1" x14ac:dyDescent="0.3">
      <c r="A442" s="166"/>
      <c r="B442" s="95" t="s">
        <v>3</v>
      </c>
      <c r="C442" s="96">
        <f t="shared" ref="C442:C443" si="81">SUMIF($B$402:$B$416,$B$402,C427:G441)</f>
        <v>6183</v>
      </c>
      <c r="D442" s="96">
        <f t="shared" si="77"/>
        <v>7732</v>
      </c>
      <c r="E442" s="96">
        <f t="shared" si="78"/>
        <v>7221</v>
      </c>
      <c r="F442" s="96">
        <f t="shared" si="79"/>
        <v>8594</v>
      </c>
      <c r="G442" s="96">
        <f t="shared" si="80"/>
        <v>2258</v>
      </c>
      <c r="H442" s="96">
        <f t="shared" ref="H442:H443" si="82">SUM(C442:G442)</f>
        <v>31988</v>
      </c>
    </row>
    <row r="443" spans="1:8" ht="15" customHeight="1" x14ac:dyDescent="0.3">
      <c r="A443" s="166"/>
      <c r="B443" s="95" t="s">
        <v>4</v>
      </c>
      <c r="C443" s="96">
        <f t="shared" si="81"/>
        <v>11677</v>
      </c>
      <c r="D443" s="96">
        <f t="shared" si="77"/>
        <v>14497</v>
      </c>
      <c r="E443" s="96">
        <f t="shared" si="78"/>
        <v>13288</v>
      </c>
      <c r="F443" s="96">
        <f t="shared" si="79"/>
        <v>15817</v>
      </c>
      <c r="G443" s="96">
        <f t="shared" si="80"/>
        <v>4293</v>
      </c>
      <c r="H443" s="96">
        <f t="shared" si="82"/>
        <v>59572</v>
      </c>
    </row>
    <row r="444" spans="1:8" ht="15" customHeight="1" x14ac:dyDescent="0.3">
      <c r="A444" s="6" t="s">
        <v>134</v>
      </c>
      <c r="B444" s="7"/>
      <c r="C444" s="7"/>
      <c r="D444" s="7"/>
      <c r="E444" s="7"/>
      <c r="F444" s="7"/>
    </row>
    <row r="447" spans="1:8" ht="15" customHeight="1" x14ac:dyDescent="0.3">
      <c r="A447" s="162" t="s">
        <v>97</v>
      </c>
      <c r="B447" s="162"/>
      <c r="C447" s="162"/>
      <c r="D447" s="162"/>
      <c r="E447" s="162"/>
      <c r="F447" s="162"/>
      <c r="G447" s="162"/>
      <c r="H447" s="162"/>
    </row>
    <row r="448" spans="1:8" ht="15" customHeight="1" x14ac:dyDescent="0.3">
      <c r="A448" s="162" t="s">
        <v>108</v>
      </c>
      <c r="B448" s="162"/>
      <c r="C448" s="162"/>
      <c r="D448" s="162"/>
      <c r="E448" s="162"/>
      <c r="F448" s="162"/>
      <c r="G448" s="162"/>
      <c r="H448" s="162"/>
    </row>
    <row r="449" spans="1:8" ht="15" customHeight="1" x14ac:dyDescent="0.3">
      <c r="A449" s="94" t="s">
        <v>125</v>
      </c>
      <c r="B449" s="46"/>
      <c r="C449" s="46" t="s">
        <v>62</v>
      </c>
      <c r="D449" s="46" t="s">
        <v>63</v>
      </c>
      <c r="E449" s="46" t="s">
        <v>64</v>
      </c>
      <c r="F449" s="46" t="s">
        <v>65</v>
      </c>
      <c r="G449" s="46" t="s">
        <v>0</v>
      </c>
      <c r="H449" s="46" t="s">
        <v>1</v>
      </c>
    </row>
    <row r="450" spans="1:8" ht="15" customHeight="1" x14ac:dyDescent="0.3">
      <c r="A450" s="169" t="s">
        <v>13</v>
      </c>
      <c r="B450" s="16" t="s">
        <v>2</v>
      </c>
      <c r="C450" s="74">
        <v>14</v>
      </c>
      <c r="D450" s="74">
        <v>40</v>
      </c>
      <c r="E450" s="74">
        <v>48</v>
      </c>
      <c r="F450" s="74">
        <v>81</v>
      </c>
      <c r="G450" s="74">
        <v>50</v>
      </c>
      <c r="H450" s="75">
        <f>SUM(C450:G450)</f>
        <v>233</v>
      </c>
    </row>
    <row r="451" spans="1:8" ht="15" customHeight="1" x14ac:dyDescent="0.3">
      <c r="A451" s="169"/>
      <c r="B451" s="16" t="s">
        <v>3</v>
      </c>
      <c r="C451" s="74">
        <v>4119</v>
      </c>
      <c r="D451" s="74">
        <v>4237</v>
      </c>
      <c r="E451" s="74">
        <v>3396</v>
      </c>
      <c r="F451" s="74">
        <v>2827</v>
      </c>
      <c r="G451" s="74">
        <v>1102</v>
      </c>
      <c r="H451" s="75">
        <f t="shared" ref="H451:H464" si="83">SUM(C451:G451)</f>
        <v>15681</v>
      </c>
    </row>
    <row r="452" spans="1:8" ht="15" customHeight="1" x14ac:dyDescent="0.3">
      <c r="A452" s="169"/>
      <c r="B452" s="16" t="s">
        <v>4</v>
      </c>
      <c r="C452" s="74">
        <v>7743</v>
      </c>
      <c r="D452" s="74">
        <v>7762</v>
      </c>
      <c r="E452" s="74">
        <v>6083</v>
      </c>
      <c r="F452" s="74">
        <v>5122</v>
      </c>
      <c r="G452" s="74">
        <v>2022</v>
      </c>
      <c r="H452" s="75">
        <f t="shared" si="83"/>
        <v>28732</v>
      </c>
    </row>
    <row r="453" spans="1:8" ht="15" customHeight="1" x14ac:dyDescent="0.3">
      <c r="A453" s="170" t="s">
        <v>14</v>
      </c>
      <c r="B453" s="11" t="s">
        <v>2</v>
      </c>
      <c r="C453" s="60">
        <v>1</v>
      </c>
      <c r="D453" s="60">
        <v>15</v>
      </c>
      <c r="E453" s="60">
        <v>28</v>
      </c>
      <c r="F453" s="60">
        <v>67</v>
      </c>
      <c r="G453" s="60">
        <v>45</v>
      </c>
      <c r="H453" s="76">
        <f t="shared" si="83"/>
        <v>156</v>
      </c>
    </row>
    <row r="454" spans="1:8" ht="15" customHeight="1" x14ac:dyDescent="0.3">
      <c r="A454" s="170"/>
      <c r="B454" s="11" t="s">
        <v>3</v>
      </c>
      <c r="C454" s="60">
        <v>55</v>
      </c>
      <c r="D454" s="60">
        <v>265</v>
      </c>
      <c r="E454" s="60">
        <v>1050</v>
      </c>
      <c r="F454" s="60">
        <v>1507</v>
      </c>
      <c r="G454" s="60">
        <v>679</v>
      </c>
      <c r="H454" s="76">
        <f t="shared" si="83"/>
        <v>3556</v>
      </c>
    </row>
    <row r="455" spans="1:8" ht="15" customHeight="1" x14ac:dyDescent="0.3">
      <c r="A455" s="170"/>
      <c r="B455" s="11" t="s">
        <v>4</v>
      </c>
      <c r="C455" s="60">
        <v>113</v>
      </c>
      <c r="D455" s="60">
        <v>525</v>
      </c>
      <c r="E455" s="60">
        <v>1988</v>
      </c>
      <c r="F455" s="60">
        <v>2841</v>
      </c>
      <c r="G455" s="60">
        <v>1357</v>
      </c>
      <c r="H455" s="76">
        <f t="shared" si="83"/>
        <v>6824</v>
      </c>
    </row>
    <row r="456" spans="1:8" ht="15" customHeight="1" x14ac:dyDescent="0.3">
      <c r="A456" s="167" t="s">
        <v>15</v>
      </c>
      <c r="B456" s="16" t="s">
        <v>2</v>
      </c>
      <c r="C456" s="74">
        <v>0</v>
      </c>
      <c r="D456" s="74">
        <v>6</v>
      </c>
      <c r="E456" s="74">
        <v>18</v>
      </c>
      <c r="F456" s="74">
        <v>16</v>
      </c>
      <c r="G456" s="74">
        <v>2</v>
      </c>
      <c r="H456" s="75">
        <f t="shared" si="83"/>
        <v>42</v>
      </c>
    </row>
    <row r="457" spans="1:8" ht="15" customHeight="1" x14ac:dyDescent="0.3">
      <c r="A457" s="167"/>
      <c r="B457" s="16" t="s">
        <v>3</v>
      </c>
      <c r="C457" s="74">
        <v>0</v>
      </c>
      <c r="D457" s="74">
        <v>79</v>
      </c>
      <c r="E457" s="74">
        <v>225</v>
      </c>
      <c r="F457" s="74">
        <v>196</v>
      </c>
      <c r="G457" s="74">
        <v>22</v>
      </c>
      <c r="H457" s="75">
        <f t="shared" si="83"/>
        <v>522</v>
      </c>
    </row>
    <row r="458" spans="1:8" ht="15" customHeight="1" x14ac:dyDescent="0.3">
      <c r="A458" s="167"/>
      <c r="B458" s="16" t="s">
        <v>4</v>
      </c>
      <c r="C458" s="74">
        <v>0</v>
      </c>
      <c r="D458" s="74">
        <v>162</v>
      </c>
      <c r="E458" s="74">
        <v>437</v>
      </c>
      <c r="F458" s="74">
        <v>377</v>
      </c>
      <c r="G458" s="74">
        <v>36</v>
      </c>
      <c r="H458" s="75">
        <f t="shared" si="83"/>
        <v>1012</v>
      </c>
    </row>
    <row r="459" spans="1:8" ht="15" customHeight="1" x14ac:dyDescent="0.3">
      <c r="A459" s="170" t="s">
        <v>16</v>
      </c>
      <c r="B459" s="11" t="s">
        <v>2</v>
      </c>
      <c r="C459" s="60">
        <v>12</v>
      </c>
      <c r="D459" s="60">
        <v>33</v>
      </c>
      <c r="E459" s="60">
        <v>38</v>
      </c>
      <c r="F459" s="60">
        <v>94</v>
      </c>
      <c r="G459" s="60">
        <v>18</v>
      </c>
      <c r="H459" s="76">
        <f t="shared" si="83"/>
        <v>195</v>
      </c>
    </row>
    <row r="460" spans="1:8" ht="15" customHeight="1" x14ac:dyDescent="0.3">
      <c r="A460" s="170"/>
      <c r="B460" s="11" t="s">
        <v>3</v>
      </c>
      <c r="C460" s="60">
        <v>1931</v>
      </c>
      <c r="D460" s="60">
        <v>3169</v>
      </c>
      <c r="E460" s="60">
        <v>2098</v>
      </c>
      <c r="F460" s="60">
        <v>3328</v>
      </c>
      <c r="G460" s="60">
        <v>357</v>
      </c>
      <c r="H460" s="76">
        <f t="shared" si="83"/>
        <v>10883</v>
      </c>
    </row>
    <row r="461" spans="1:8" ht="15" customHeight="1" x14ac:dyDescent="0.3">
      <c r="A461" s="170"/>
      <c r="B461" s="11" t="s">
        <v>4</v>
      </c>
      <c r="C461" s="60">
        <v>3696</v>
      </c>
      <c r="D461" s="60">
        <v>6080</v>
      </c>
      <c r="E461" s="60">
        <v>3991</v>
      </c>
      <c r="F461" s="60">
        <v>6162</v>
      </c>
      <c r="G461" s="60">
        <v>661</v>
      </c>
      <c r="H461" s="76">
        <f t="shared" si="83"/>
        <v>20590</v>
      </c>
    </row>
    <row r="462" spans="1:8" ht="15" customHeight="1" x14ac:dyDescent="0.3">
      <c r="A462" s="169" t="s">
        <v>7</v>
      </c>
      <c r="B462" s="16" t="s">
        <v>2</v>
      </c>
      <c r="C462" s="74">
        <v>1</v>
      </c>
      <c r="D462" s="74">
        <v>1</v>
      </c>
      <c r="E462" s="74">
        <v>8</v>
      </c>
      <c r="F462" s="74">
        <v>21</v>
      </c>
      <c r="G462" s="74">
        <v>6</v>
      </c>
      <c r="H462" s="75">
        <f t="shared" si="83"/>
        <v>37</v>
      </c>
    </row>
    <row r="463" spans="1:8" ht="15" customHeight="1" x14ac:dyDescent="0.3">
      <c r="A463" s="169"/>
      <c r="B463" s="16" t="s">
        <v>3</v>
      </c>
      <c r="C463" s="74">
        <v>77</v>
      </c>
      <c r="D463" s="74">
        <v>23</v>
      </c>
      <c r="E463" s="74">
        <v>480</v>
      </c>
      <c r="F463" s="74">
        <v>759</v>
      </c>
      <c r="G463" s="74">
        <v>115</v>
      </c>
      <c r="H463" s="75">
        <f t="shared" si="83"/>
        <v>1454</v>
      </c>
    </row>
    <row r="464" spans="1:8" ht="15" customHeight="1" x14ac:dyDescent="0.3">
      <c r="A464" s="169"/>
      <c r="B464" s="16" t="s">
        <v>4</v>
      </c>
      <c r="C464" s="74">
        <v>125</v>
      </c>
      <c r="D464" s="74">
        <v>45</v>
      </c>
      <c r="E464" s="74">
        <v>860</v>
      </c>
      <c r="F464" s="74">
        <v>1345</v>
      </c>
      <c r="G464" s="74">
        <v>241</v>
      </c>
      <c r="H464" s="75">
        <f t="shared" si="83"/>
        <v>2616</v>
      </c>
    </row>
    <row r="465" spans="1:8" ht="15" customHeight="1" x14ac:dyDescent="0.3">
      <c r="A465" s="166" t="s">
        <v>1</v>
      </c>
      <c r="B465" s="95" t="s">
        <v>2</v>
      </c>
      <c r="C465" s="96">
        <f>SUMIF($B$402:$B$416,$B$402,C450:G464)</f>
        <v>28</v>
      </c>
      <c r="D465" s="96">
        <f t="shared" ref="D465:D467" si="84">SUMIF($B$402:$B$416,$B$402,D450:H464)</f>
        <v>95</v>
      </c>
      <c r="E465" s="96">
        <f t="shared" ref="E465:E467" si="85">SUMIF($B$402:$B$416,$B$402,E450:I464)</f>
        <v>140</v>
      </c>
      <c r="F465" s="96">
        <f t="shared" ref="F465:F467" si="86">SUMIF($B$402:$B$416,$B$402,F450:J464)</f>
        <v>279</v>
      </c>
      <c r="G465" s="96">
        <f t="shared" ref="G465:G467" si="87">SUMIF($B$402:$B$416,$B$402,G450:K464)</f>
        <v>121</v>
      </c>
      <c r="H465" s="96">
        <f>SUM(C465:G465)</f>
        <v>663</v>
      </c>
    </row>
    <row r="466" spans="1:8" ht="15" customHeight="1" x14ac:dyDescent="0.3">
      <c r="A466" s="166"/>
      <c r="B466" s="95" t="s">
        <v>3</v>
      </c>
      <c r="C466" s="96">
        <f t="shared" ref="C466:C467" si="88">SUMIF($B$402:$B$416,$B$402,C451:G465)</f>
        <v>6182</v>
      </c>
      <c r="D466" s="96">
        <f t="shared" si="84"/>
        <v>7773</v>
      </c>
      <c r="E466" s="96">
        <f t="shared" si="85"/>
        <v>7249</v>
      </c>
      <c r="F466" s="96">
        <f t="shared" si="86"/>
        <v>8617</v>
      </c>
      <c r="G466" s="96">
        <f t="shared" si="87"/>
        <v>2275</v>
      </c>
      <c r="H466" s="96">
        <f t="shared" ref="H466:H467" si="89">SUM(C466:G466)</f>
        <v>32096</v>
      </c>
    </row>
    <row r="467" spans="1:8" ht="15" customHeight="1" x14ac:dyDescent="0.3">
      <c r="A467" s="166"/>
      <c r="B467" s="95" t="s">
        <v>4</v>
      </c>
      <c r="C467" s="96">
        <f t="shared" si="88"/>
        <v>11677</v>
      </c>
      <c r="D467" s="96">
        <f t="shared" si="84"/>
        <v>14574</v>
      </c>
      <c r="E467" s="96">
        <f t="shared" si="85"/>
        <v>13359</v>
      </c>
      <c r="F467" s="96">
        <f t="shared" si="86"/>
        <v>15847</v>
      </c>
      <c r="G467" s="96">
        <f t="shared" si="87"/>
        <v>4317</v>
      </c>
      <c r="H467" s="96">
        <f t="shared" si="89"/>
        <v>59774</v>
      </c>
    </row>
    <row r="468" spans="1:8" ht="15" customHeight="1" x14ac:dyDescent="0.3">
      <c r="A468" s="6" t="s">
        <v>134</v>
      </c>
      <c r="B468" s="7"/>
      <c r="C468" s="7"/>
      <c r="D468" s="7"/>
      <c r="E468" s="7"/>
      <c r="F468" s="7"/>
    </row>
    <row r="471" spans="1:8" ht="15" customHeight="1" x14ac:dyDescent="0.3">
      <c r="A471" s="162" t="s">
        <v>97</v>
      </c>
      <c r="B471" s="162"/>
      <c r="C471" s="162"/>
      <c r="D471" s="162"/>
      <c r="E471" s="162"/>
      <c r="F471" s="162"/>
      <c r="G471" s="162"/>
      <c r="H471" s="162"/>
    </row>
    <row r="472" spans="1:8" ht="15" customHeight="1" x14ac:dyDescent="0.3">
      <c r="A472" s="162" t="s">
        <v>109</v>
      </c>
      <c r="B472" s="162"/>
      <c r="C472" s="162"/>
      <c r="D472" s="162"/>
      <c r="E472" s="162"/>
      <c r="F472" s="162"/>
      <c r="G472" s="162"/>
      <c r="H472" s="162"/>
    </row>
    <row r="473" spans="1:8" ht="15" customHeight="1" x14ac:dyDescent="0.3">
      <c r="A473" s="94" t="s">
        <v>125</v>
      </c>
      <c r="B473" s="46"/>
      <c r="C473" s="46" t="s">
        <v>62</v>
      </c>
      <c r="D473" s="46" t="s">
        <v>63</v>
      </c>
      <c r="E473" s="46" t="s">
        <v>64</v>
      </c>
      <c r="F473" s="46" t="s">
        <v>65</v>
      </c>
      <c r="G473" s="46" t="s">
        <v>0</v>
      </c>
      <c r="H473" s="46" t="s">
        <v>1</v>
      </c>
    </row>
    <row r="474" spans="1:8" ht="15" customHeight="1" x14ac:dyDescent="0.3">
      <c r="A474" s="169" t="s">
        <v>13</v>
      </c>
      <c r="B474" s="16" t="s">
        <v>2</v>
      </c>
      <c r="C474" s="74">
        <v>14</v>
      </c>
      <c r="D474" s="74">
        <v>41</v>
      </c>
      <c r="E474" s="74">
        <v>45</v>
      </c>
      <c r="F474" s="74">
        <v>90</v>
      </c>
      <c r="G474" s="74">
        <v>56</v>
      </c>
      <c r="H474" s="75">
        <f>SUM(C474:G474)</f>
        <v>246</v>
      </c>
    </row>
    <row r="475" spans="1:8" ht="15" customHeight="1" x14ac:dyDescent="0.3">
      <c r="A475" s="169"/>
      <c r="B475" s="16" t="s">
        <v>3</v>
      </c>
      <c r="C475" s="74">
        <v>4117</v>
      </c>
      <c r="D475" s="74">
        <v>4424</v>
      </c>
      <c r="E475" s="74">
        <v>3159</v>
      </c>
      <c r="F475" s="74">
        <v>3258</v>
      </c>
      <c r="G475" s="74">
        <v>1217</v>
      </c>
      <c r="H475" s="75">
        <f t="shared" ref="H475:H488" si="90">SUM(C475:G475)</f>
        <v>16175</v>
      </c>
    </row>
    <row r="476" spans="1:8" ht="15" customHeight="1" x14ac:dyDescent="0.3">
      <c r="A476" s="169"/>
      <c r="B476" s="16" t="s">
        <v>4</v>
      </c>
      <c r="C476" s="74">
        <v>7741</v>
      </c>
      <c r="D476" s="74">
        <v>8091</v>
      </c>
      <c r="E476" s="74">
        <v>5687</v>
      </c>
      <c r="F476" s="74">
        <v>5925</v>
      </c>
      <c r="G476" s="74">
        <v>2251</v>
      </c>
      <c r="H476" s="75">
        <f t="shared" si="90"/>
        <v>29695</v>
      </c>
    </row>
    <row r="477" spans="1:8" ht="15" customHeight="1" x14ac:dyDescent="0.3">
      <c r="A477" s="170" t="s">
        <v>14</v>
      </c>
      <c r="B477" s="11" t="s">
        <v>2</v>
      </c>
      <c r="C477" s="60">
        <v>1</v>
      </c>
      <c r="D477" s="60">
        <v>14</v>
      </c>
      <c r="E477" s="60">
        <v>29</v>
      </c>
      <c r="F477" s="60">
        <v>70</v>
      </c>
      <c r="G477" s="60">
        <v>45</v>
      </c>
      <c r="H477" s="76">
        <f t="shared" si="90"/>
        <v>159</v>
      </c>
    </row>
    <row r="478" spans="1:8" ht="15" customHeight="1" x14ac:dyDescent="0.3">
      <c r="A478" s="170"/>
      <c r="B478" s="11" t="s">
        <v>3</v>
      </c>
      <c r="C478" s="60">
        <v>55</v>
      </c>
      <c r="D478" s="60">
        <v>258</v>
      </c>
      <c r="E478" s="60">
        <v>1062</v>
      </c>
      <c r="F478" s="60">
        <v>1617</v>
      </c>
      <c r="G478" s="60">
        <v>679</v>
      </c>
      <c r="H478" s="76">
        <f t="shared" si="90"/>
        <v>3671</v>
      </c>
    </row>
    <row r="479" spans="1:8" ht="15" customHeight="1" x14ac:dyDescent="0.3">
      <c r="A479" s="170"/>
      <c r="B479" s="11" t="s">
        <v>4</v>
      </c>
      <c r="C479" s="60">
        <v>113</v>
      </c>
      <c r="D479" s="60">
        <v>502</v>
      </c>
      <c r="E479" s="60">
        <v>2012</v>
      </c>
      <c r="F479" s="60">
        <v>3042</v>
      </c>
      <c r="G479" s="60">
        <v>1357</v>
      </c>
      <c r="H479" s="76">
        <f t="shared" si="90"/>
        <v>7026</v>
      </c>
    </row>
    <row r="480" spans="1:8" ht="15" customHeight="1" x14ac:dyDescent="0.3">
      <c r="A480" s="167" t="s">
        <v>15</v>
      </c>
      <c r="B480" s="16" t="s">
        <v>2</v>
      </c>
      <c r="C480" s="74">
        <v>0</v>
      </c>
      <c r="D480" s="74">
        <v>6</v>
      </c>
      <c r="E480" s="74">
        <v>19</v>
      </c>
      <c r="F480" s="74">
        <v>15</v>
      </c>
      <c r="G480" s="74">
        <v>2</v>
      </c>
      <c r="H480" s="75">
        <f t="shared" si="90"/>
        <v>42</v>
      </c>
    </row>
    <row r="481" spans="1:8" ht="15" customHeight="1" x14ac:dyDescent="0.3">
      <c r="A481" s="167"/>
      <c r="B481" s="16" t="s">
        <v>3</v>
      </c>
      <c r="C481" s="74">
        <v>0</v>
      </c>
      <c r="D481" s="74">
        <v>79</v>
      </c>
      <c r="E481" s="74">
        <v>233</v>
      </c>
      <c r="F481" s="74">
        <v>182</v>
      </c>
      <c r="G481" s="74">
        <v>22</v>
      </c>
      <c r="H481" s="75">
        <f t="shared" si="90"/>
        <v>516</v>
      </c>
    </row>
    <row r="482" spans="1:8" ht="15" customHeight="1" x14ac:dyDescent="0.3">
      <c r="A482" s="167"/>
      <c r="B482" s="16" t="s">
        <v>4</v>
      </c>
      <c r="C482" s="74">
        <v>0</v>
      </c>
      <c r="D482" s="74">
        <v>162</v>
      </c>
      <c r="E482" s="74">
        <v>454</v>
      </c>
      <c r="F482" s="74">
        <v>352</v>
      </c>
      <c r="G482" s="74">
        <v>36</v>
      </c>
      <c r="H482" s="75">
        <f t="shared" si="90"/>
        <v>1004</v>
      </c>
    </row>
    <row r="483" spans="1:8" ht="15" customHeight="1" x14ac:dyDescent="0.3">
      <c r="A483" s="170" t="s">
        <v>16</v>
      </c>
      <c r="B483" s="11" t="s">
        <v>2</v>
      </c>
      <c r="C483" s="60">
        <v>13</v>
      </c>
      <c r="D483" s="60">
        <v>35</v>
      </c>
      <c r="E483" s="60">
        <v>40</v>
      </c>
      <c r="F483" s="60">
        <v>98</v>
      </c>
      <c r="G483" s="60">
        <v>20</v>
      </c>
      <c r="H483" s="76">
        <f t="shared" si="90"/>
        <v>206</v>
      </c>
    </row>
    <row r="484" spans="1:8" ht="15" customHeight="1" x14ac:dyDescent="0.3">
      <c r="A484" s="170"/>
      <c r="B484" s="11" t="s">
        <v>3</v>
      </c>
      <c r="C484" s="60">
        <v>2096</v>
      </c>
      <c r="D484" s="60">
        <v>3216</v>
      </c>
      <c r="E484" s="60">
        <v>2188</v>
      </c>
      <c r="F484" s="60">
        <v>3402</v>
      </c>
      <c r="G484" s="60">
        <v>388</v>
      </c>
      <c r="H484" s="76">
        <f t="shared" si="90"/>
        <v>11290</v>
      </c>
    </row>
    <row r="485" spans="1:8" ht="15" customHeight="1" x14ac:dyDescent="0.3">
      <c r="A485" s="170"/>
      <c r="B485" s="11" t="s">
        <v>4</v>
      </c>
      <c r="C485" s="60">
        <v>4004</v>
      </c>
      <c r="D485" s="60">
        <v>6193</v>
      </c>
      <c r="E485" s="60">
        <v>4160</v>
      </c>
      <c r="F485" s="60">
        <v>6304</v>
      </c>
      <c r="G485" s="60">
        <v>705</v>
      </c>
      <c r="H485" s="76">
        <f t="shared" si="90"/>
        <v>21366</v>
      </c>
    </row>
    <row r="486" spans="1:8" ht="15" customHeight="1" x14ac:dyDescent="0.3">
      <c r="A486" s="169" t="s">
        <v>7</v>
      </c>
      <c r="B486" s="16" t="s">
        <v>2</v>
      </c>
      <c r="C486" s="74">
        <v>1</v>
      </c>
      <c r="D486" s="74">
        <v>1</v>
      </c>
      <c r="E486" s="74">
        <v>8</v>
      </c>
      <c r="F486" s="74">
        <v>22</v>
      </c>
      <c r="G486" s="74">
        <v>7</v>
      </c>
      <c r="H486" s="75">
        <f t="shared" si="90"/>
        <v>39</v>
      </c>
    </row>
    <row r="487" spans="1:8" ht="15" customHeight="1" x14ac:dyDescent="0.3">
      <c r="A487" s="169"/>
      <c r="B487" s="16" t="s">
        <v>3</v>
      </c>
      <c r="C487" s="74">
        <v>77</v>
      </c>
      <c r="D487" s="74">
        <v>23</v>
      </c>
      <c r="E487" s="74">
        <v>480</v>
      </c>
      <c r="F487" s="74">
        <v>794</v>
      </c>
      <c r="G487" s="74">
        <v>156</v>
      </c>
      <c r="H487" s="75">
        <f t="shared" si="90"/>
        <v>1530</v>
      </c>
    </row>
    <row r="488" spans="1:8" ht="15" customHeight="1" x14ac:dyDescent="0.3">
      <c r="A488" s="169"/>
      <c r="B488" s="16" t="s">
        <v>4</v>
      </c>
      <c r="C488" s="74">
        <v>125</v>
      </c>
      <c r="D488" s="74">
        <v>45</v>
      </c>
      <c r="E488" s="74">
        <v>860</v>
      </c>
      <c r="F488" s="74">
        <v>1412</v>
      </c>
      <c r="G488" s="74">
        <v>317</v>
      </c>
      <c r="H488" s="75">
        <f t="shared" si="90"/>
        <v>2759</v>
      </c>
    </row>
    <row r="489" spans="1:8" ht="15" customHeight="1" x14ac:dyDescent="0.3">
      <c r="A489" s="166" t="s">
        <v>1</v>
      </c>
      <c r="B489" s="95" t="s">
        <v>2</v>
      </c>
      <c r="C489" s="96">
        <f>SUMIF($B$402:$B$416,$B$402,C474:G488)</f>
        <v>29</v>
      </c>
      <c r="D489" s="96">
        <f t="shared" ref="D489:D491" si="91">SUMIF($B$402:$B$416,$B$402,D474:H488)</f>
        <v>97</v>
      </c>
      <c r="E489" s="96">
        <f t="shared" ref="E489:E491" si="92">SUMIF($B$402:$B$416,$B$402,E474:I488)</f>
        <v>141</v>
      </c>
      <c r="F489" s="96">
        <f t="shared" ref="F489:F491" si="93">SUMIF($B$402:$B$416,$B$402,F474:J488)</f>
        <v>295</v>
      </c>
      <c r="G489" s="96">
        <f t="shared" ref="G489:G491" si="94">SUMIF($B$402:$B$416,$B$402,G474:K488)</f>
        <v>130</v>
      </c>
      <c r="H489" s="96">
        <f>SUM(C489:G489)</f>
        <v>692</v>
      </c>
    </row>
    <row r="490" spans="1:8" ht="15" customHeight="1" x14ac:dyDescent="0.3">
      <c r="A490" s="166"/>
      <c r="B490" s="95" t="s">
        <v>3</v>
      </c>
      <c r="C490" s="96">
        <f t="shared" ref="C490:C491" si="95">SUMIF($B$402:$B$416,$B$402,C475:G489)</f>
        <v>6345</v>
      </c>
      <c r="D490" s="96">
        <f t="shared" si="91"/>
        <v>8000</v>
      </c>
      <c r="E490" s="96">
        <f t="shared" si="92"/>
        <v>7122</v>
      </c>
      <c r="F490" s="96">
        <f t="shared" si="93"/>
        <v>9253</v>
      </c>
      <c r="G490" s="96">
        <f t="shared" si="94"/>
        <v>2462</v>
      </c>
      <c r="H490" s="96">
        <f t="shared" ref="H490:H491" si="96">SUM(C490:G490)</f>
        <v>33182</v>
      </c>
    </row>
    <row r="491" spans="1:8" ht="15" customHeight="1" x14ac:dyDescent="0.3">
      <c r="A491" s="166"/>
      <c r="B491" s="95" t="s">
        <v>4</v>
      </c>
      <c r="C491" s="96">
        <f t="shared" si="95"/>
        <v>11983</v>
      </c>
      <c r="D491" s="96">
        <f t="shared" si="91"/>
        <v>14993</v>
      </c>
      <c r="E491" s="96">
        <f t="shared" si="92"/>
        <v>13173</v>
      </c>
      <c r="F491" s="96">
        <f t="shared" si="93"/>
        <v>17035</v>
      </c>
      <c r="G491" s="96">
        <f t="shared" si="94"/>
        <v>4666</v>
      </c>
      <c r="H491" s="96">
        <f t="shared" si="96"/>
        <v>61850</v>
      </c>
    </row>
    <row r="492" spans="1:8" ht="15" customHeight="1" x14ac:dyDescent="0.3">
      <c r="A492" s="6" t="s">
        <v>134</v>
      </c>
      <c r="B492" s="7"/>
      <c r="C492" s="7"/>
      <c r="D492" s="7"/>
      <c r="E492" s="7"/>
      <c r="F492" s="7"/>
    </row>
  </sheetData>
  <mergeCells count="172">
    <mergeCell ref="A27:A29"/>
    <mergeCell ref="A30:A32"/>
    <mergeCell ref="A33:E33"/>
    <mergeCell ref="A3:H3"/>
    <mergeCell ref="A4:H4"/>
    <mergeCell ref="A6:A8"/>
    <mergeCell ref="A9:A11"/>
    <mergeCell ref="A12:A14"/>
    <mergeCell ref="A15:A17"/>
    <mergeCell ref="A18:A20"/>
    <mergeCell ref="A21:A23"/>
    <mergeCell ref="A24:A26"/>
    <mergeCell ref="A60:A62"/>
    <mergeCell ref="A63:A65"/>
    <mergeCell ref="A66:E66"/>
    <mergeCell ref="A36:H36"/>
    <mergeCell ref="A37:H37"/>
    <mergeCell ref="A39:A41"/>
    <mergeCell ref="A42:A44"/>
    <mergeCell ref="A45:A47"/>
    <mergeCell ref="A48:A50"/>
    <mergeCell ref="A51:A53"/>
    <mergeCell ref="A54:A56"/>
    <mergeCell ref="A57:A59"/>
    <mergeCell ref="A126:A128"/>
    <mergeCell ref="A129:A131"/>
    <mergeCell ref="A132:E132"/>
    <mergeCell ref="A102:H102"/>
    <mergeCell ref="A103:H103"/>
    <mergeCell ref="A105:A107"/>
    <mergeCell ref="A108:A110"/>
    <mergeCell ref="A111:A113"/>
    <mergeCell ref="A114:A116"/>
    <mergeCell ref="A117:A119"/>
    <mergeCell ref="A120:A122"/>
    <mergeCell ref="A123:A125"/>
    <mergeCell ref="A270:A272"/>
    <mergeCell ref="A273:A275"/>
    <mergeCell ref="A276:A278"/>
    <mergeCell ref="A267:H267"/>
    <mergeCell ref="A268:H268"/>
    <mergeCell ref="A294:A296"/>
    <mergeCell ref="A279:A281"/>
    <mergeCell ref="A282:A284"/>
    <mergeCell ref="A285:A287"/>
    <mergeCell ref="A288:A290"/>
    <mergeCell ref="A291:A293"/>
    <mergeCell ref="A372:A374"/>
    <mergeCell ref="A336:A338"/>
    <mergeCell ref="A342:A344"/>
    <mergeCell ref="A345:A347"/>
    <mergeCell ref="A348:A350"/>
    <mergeCell ref="A351:A353"/>
    <mergeCell ref="A300:H300"/>
    <mergeCell ref="A301:H301"/>
    <mergeCell ref="A303:A305"/>
    <mergeCell ref="A306:A308"/>
    <mergeCell ref="A309:A311"/>
    <mergeCell ref="A312:A314"/>
    <mergeCell ref="A315:A317"/>
    <mergeCell ref="A333:H333"/>
    <mergeCell ref="A334:H334"/>
    <mergeCell ref="A318:A320"/>
    <mergeCell ref="A321:A323"/>
    <mergeCell ref="A324:A326"/>
    <mergeCell ref="A327:A329"/>
    <mergeCell ref="A339:A341"/>
    <mergeCell ref="A429:A431"/>
    <mergeCell ref="A489:A491"/>
    <mergeCell ref="A450:A452"/>
    <mergeCell ref="A453:A455"/>
    <mergeCell ref="A471:H471"/>
    <mergeCell ref="A472:H472"/>
    <mergeCell ref="A456:A458"/>
    <mergeCell ref="A459:A461"/>
    <mergeCell ref="A462:A464"/>
    <mergeCell ref="A486:A488"/>
    <mergeCell ref="A474:A476"/>
    <mergeCell ref="A432:A434"/>
    <mergeCell ref="A447:H447"/>
    <mergeCell ref="A448:H448"/>
    <mergeCell ref="A477:A479"/>
    <mergeCell ref="A480:A482"/>
    <mergeCell ref="A483:A485"/>
    <mergeCell ref="A465:A467"/>
    <mergeCell ref="A441:A443"/>
    <mergeCell ref="A435:A437"/>
    <mergeCell ref="A438:A440"/>
    <mergeCell ref="A393:A395"/>
    <mergeCell ref="A354:A356"/>
    <mergeCell ref="A357:A359"/>
    <mergeCell ref="A360:A362"/>
    <mergeCell ref="A366:H366"/>
    <mergeCell ref="A367:H367"/>
    <mergeCell ref="A369:A371"/>
    <mergeCell ref="A426:A428"/>
    <mergeCell ref="A408:A410"/>
    <mergeCell ref="A411:A413"/>
    <mergeCell ref="A405:A407"/>
    <mergeCell ref="A378:A380"/>
    <mergeCell ref="A381:A383"/>
    <mergeCell ref="A384:A386"/>
    <mergeCell ref="A414:A416"/>
    <mergeCell ref="A387:A389"/>
    <mergeCell ref="A390:A392"/>
    <mergeCell ref="A423:H423"/>
    <mergeCell ref="A424:H424"/>
    <mergeCell ref="A417:A419"/>
    <mergeCell ref="A402:A404"/>
    <mergeCell ref="A399:H399"/>
    <mergeCell ref="A400:H400"/>
    <mergeCell ref="A375:A377"/>
    <mergeCell ref="A261:A263"/>
    <mergeCell ref="A264:E264"/>
    <mergeCell ref="A246:A248"/>
    <mergeCell ref="A249:A251"/>
    <mergeCell ref="A252:A254"/>
    <mergeCell ref="A255:A257"/>
    <mergeCell ref="A258:A260"/>
    <mergeCell ref="A234:H234"/>
    <mergeCell ref="A235:H235"/>
    <mergeCell ref="A237:A239"/>
    <mergeCell ref="A240:A242"/>
    <mergeCell ref="A243:A245"/>
    <mergeCell ref="A228:A230"/>
    <mergeCell ref="A231:E231"/>
    <mergeCell ref="A213:A215"/>
    <mergeCell ref="A216:A218"/>
    <mergeCell ref="A219:A221"/>
    <mergeCell ref="A222:A224"/>
    <mergeCell ref="A225:A227"/>
    <mergeCell ref="A201:H201"/>
    <mergeCell ref="A202:H202"/>
    <mergeCell ref="A204:A206"/>
    <mergeCell ref="A207:A209"/>
    <mergeCell ref="A210:A212"/>
    <mergeCell ref="A195:A197"/>
    <mergeCell ref="A198:E198"/>
    <mergeCell ref="A180:A182"/>
    <mergeCell ref="A183:A185"/>
    <mergeCell ref="A186:A188"/>
    <mergeCell ref="A189:A191"/>
    <mergeCell ref="A192:A194"/>
    <mergeCell ref="A168:H168"/>
    <mergeCell ref="A169:H169"/>
    <mergeCell ref="A171:A173"/>
    <mergeCell ref="A174:A176"/>
    <mergeCell ref="A177:A179"/>
    <mergeCell ref="A159:A161"/>
    <mergeCell ref="A162:A164"/>
    <mergeCell ref="A165:E165"/>
    <mergeCell ref="A135:H135"/>
    <mergeCell ref="A136:H136"/>
    <mergeCell ref="A138:A140"/>
    <mergeCell ref="A141:A143"/>
    <mergeCell ref="A144:A146"/>
    <mergeCell ref="A147:A149"/>
    <mergeCell ref="A150:A152"/>
    <mergeCell ref="A153:A155"/>
    <mergeCell ref="A156:A158"/>
    <mergeCell ref="A93:A95"/>
    <mergeCell ref="A96:A98"/>
    <mergeCell ref="A99:E99"/>
    <mergeCell ref="A69:H69"/>
    <mergeCell ref="A70:H70"/>
    <mergeCell ref="A72:A74"/>
    <mergeCell ref="A75:A77"/>
    <mergeCell ref="A78:A80"/>
    <mergeCell ref="A81:A83"/>
    <mergeCell ref="A84:A86"/>
    <mergeCell ref="A87:A89"/>
    <mergeCell ref="A90:A92"/>
  </mergeCells>
  <pageMargins left="0.70866141732283472" right="0.70866141732283472" top="0.74803149606299213" bottom="0.74803149606299213" header="0.31496062992125984" footer="0.31496062992125984"/>
  <pageSetup paperSize="9" scale="92" orientation="landscape" r:id="rId1"/>
  <headerFooter>
    <oddHeader>&amp;R&amp;G</oddHeader>
    <oddFooter>&amp;L&amp;F&amp;C&amp;P / &amp;N&amp;R&amp;A</oddFooter>
  </headerFooter>
  <rowBreaks count="9" manualBreakCount="9">
    <brk id="231" max="16383" man="1"/>
    <brk id="264" max="16383" man="1"/>
    <brk id="297" max="16383" man="1"/>
    <brk id="330" max="16383" man="1"/>
    <brk id="363" max="16383" man="1"/>
    <brk id="396" max="16383" man="1"/>
    <brk id="420" max="16383" man="1"/>
    <brk id="444" max="16383" man="1"/>
    <brk id="468" max="16383" man="1"/>
  </rowBreaks>
  <colBreaks count="1" manualBreakCount="1">
    <brk id="8"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C0408-FEAF-4DBF-A970-00919BB489E1}">
  <sheetPr>
    <tabColor theme="5" tint="0.39997558519241921"/>
  </sheetPr>
  <dimension ref="A2:AD101"/>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x14ac:dyDescent="0.3">
      <c r="A2" s="172" t="s">
        <v>172</v>
      </c>
      <c r="B2" s="172"/>
      <c r="C2" s="172"/>
      <c r="D2" s="172"/>
      <c r="E2" s="172"/>
      <c r="F2" s="172"/>
      <c r="G2" s="172"/>
      <c r="H2" s="172"/>
      <c r="I2" s="141"/>
      <c r="J2" s="141"/>
      <c r="K2" s="141"/>
      <c r="L2" s="172" t="s">
        <v>173</v>
      </c>
      <c r="M2" s="172"/>
      <c r="N2" s="172"/>
      <c r="O2" s="172"/>
      <c r="P2" s="172"/>
      <c r="Q2" s="172"/>
      <c r="R2" s="172"/>
      <c r="S2" s="172"/>
      <c r="T2" s="141"/>
      <c r="U2" s="141"/>
      <c r="V2" s="141"/>
      <c r="W2" s="172" t="s">
        <v>174</v>
      </c>
      <c r="X2" s="172"/>
      <c r="Y2" s="172"/>
      <c r="Z2" s="172"/>
      <c r="AA2" s="172"/>
      <c r="AB2" s="172"/>
      <c r="AC2" s="172"/>
      <c r="AD2" s="172"/>
    </row>
    <row r="3" spans="1:30" x14ac:dyDescent="0.3">
      <c r="A3" s="142" t="s">
        <v>165</v>
      </c>
      <c r="B3" s="142" t="s">
        <v>166</v>
      </c>
      <c r="C3" s="142">
        <v>2019</v>
      </c>
      <c r="D3" s="142">
        <v>2020</v>
      </c>
      <c r="E3" s="142">
        <v>2021</v>
      </c>
      <c r="F3" s="142">
        <v>2022</v>
      </c>
      <c r="G3" s="142">
        <v>2023</v>
      </c>
      <c r="H3" s="142">
        <v>2024</v>
      </c>
      <c r="I3" s="141"/>
      <c r="J3" s="141"/>
      <c r="K3" s="141"/>
      <c r="L3" s="142" t="s">
        <v>165</v>
      </c>
      <c r="M3" s="142" t="s">
        <v>166</v>
      </c>
      <c r="N3" s="142">
        <v>2019</v>
      </c>
      <c r="O3" s="142">
        <v>2020</v>
      </c>
      <c r="P3" s="142">
        <v>2021</v>
      </c>
      <c r="Q3" s="142">
        <v>2022</v>
      </c>
      <c r="R3" s="142">
        <v>2023</v>
      </c>
      <c r="S3" s="142">
        <v>2024</v>
      </c>
      <c r="T3" s="141"/>
      <c r="U3" s="141"/>
      <c r="V3" s="141"/>
      <c r="W3" s="142" t="s">
        <v>165</v>
      </c>
      <c r="X3" s="142" t="s">
        <v>166</v>
      </c>
      <c r="Y3" s="142">
        <v>2019</v>
      </c>
      <c r="Z3" s="142">
        <v>2020</v>
      </c>
      <c r="AA3" s="142">
        <v>2021</v>
      </c>
      <c r="AB3" s="142">
        <v>2022</v>
      </c>
      <c r="AC3" s="142">
        <v>2023</v>
      </c>
      <c r="AD3" s="142">
        <v>2024</v>
      </c>
    </row>
    <row r="4" spans="1:30" x14ac:dyDescent="0.3">
      <c r="A4" s="173" t="s">
        <v>12</v>
      </c>
      <c r="B4" s="141" t="s">
        <v>152</v>
      </c>
      <c r="C4" s="143">
        <v>12081</v>
      </c>
      <c r="D4" s="143">
        <v>12920</v>
      </c>
      <c r="E4" s="143">
        <v>11913</v>
      </c>
      <c r="F4" s="143">
        <v>10808</v>
      </c>
      <c r="G4" s="143">
        <v>12526</v>
      </c>
      <c r="H4" s="143">
        <v>15089</v>
      </c>
      <c r="I4" s="141"/>
      <c r="J4" s="141"/>
      <c r="K4" s="141"/>
      <c r="L4" s="173" t="s">
        <v>12</v>
      </c>
      <c r="M4" s="141" t="s">
        <v>152</v>
      </c>
      <c r="N4" s="143">
        <v>16941</v>
      </c>
      <c r="O4" s="143">
        <v>18126</v>
      </c>
      <c r="P4" s="143">
        <v>16575</v>
      </c>
      <c r="Q4" s="143">
        <v>14985</v>
      </c>
      <c r="R4" s="143">
        <v>17706</v>
      </c>
      <c r="S4" s="143">
        <v>21391</v>
      </c>
      <c r="T4" s="141"/>
      <c r="U4" s="141"/>
      <c r="V4" s="141"/>
      <c r="W4" s="173" t="s">
        <v>12</v>
      </c>
      <c r="X4" s="141" t="s">
        <v>152</v>
      </c>
      <c r="Y4" s="143">
        <v>48766</v>
      </c>
      <c r="Z4" s="143">
        <v>52094</v>
      </c>
      <c r="AA4" s="143">
        <v>47275</v>
      </c>
      <c r="AB4" s="143">
        <v>42153</v>
      </c>
      <c r="AC4" s="143">
        <v>47764</v>
      </c>
      <c r="AD4" s="143">
        <v>56353</v>
      </c>
    </row>
    <row r="5" spans="1:30" x14ac:dyDescent="0.3">
      <c r="A5" s="173"/>
      <c r="B5" s="141" t="s">
        <v>153</v>
      </c>
      <c r="C5" s="143">
        <v>10956</v>
      </c>
      <c r="D5" s="143">
        <v>13133</v>
      </c>
      <c r="E5" s="143">
        <v>11264</v>
      </c>
      <c r="F5" s="143">
        <v>10759</v>
      </c>
      <c r="G5" s="143">
        <v>12633</v>
      </c>
      <c r="H5" s="143">
        <v>15222</v>
      </c>
      <c r="I5" s="141"/>
      <c r="J5" s="141"/>
      <c r="K5" s="141"/>
      <c r="L5" s="173"/>
      <c r="M5" s="141" t="s">
        <v>153</v>
      </c>
      <c r="N5" s="143">
        <v>15278</v>
      </c>
      <c r="O5" s="143">
        <v>18348</v>
      </c>
      <c r="P5" s="143">
        <v>15626</v>
      </c>
      <c r="Q5" s="143">
        <v>14823</v>
      </c>
      <c r="R5" s="143">
        <v>17876</v>
      </c>
      <c r="S5" s="143">
        <v>21799</v>
      </c>
      <c r="T5" s="141"/>
      <c r="U5" s="141"/>
      <c r="V5" s="141"/>
      <c r="W5" s="173"/>
      <c r="X5" s="141" t="s">
        <v>153</v>
      </c>
      <c r="Y5" s="143">
        <v>43840</v>
      </c>
      <c r="Z5" s="143">
        <v>53010</v>
      </c>
      <c r="AA5" s="143">
        <v>44479</v>
      </c>
      <c r="AB5" s="143">
        <v>41733</v>
      </c>
      <c r="AC5" s="143">
        <v>48189</v>
      </c>
      <c r="AD5" s="143">
        <v>57376</v>
      </c>
    </row>
    <row r="6" spans="1:30" x14ac:dyDescent="0.3">
      <c r="A6" s="173"/>
      <c r="B6" s="141" t="s">
        <v>154</v>
      </c>
      <c r="C6" s="143">
        <v>11202</v>
      </c>
      <c r="D6" s="143">
        <v>13414</v>
      </c>
      <c r="E6" s="143">
        <v>11338</v>
      </c>
      <c r="F6" s="143">
        <v>10979</v>
      </c>
      <c r="G6" s="143">
        <v>12845</v>
      </c>
      <c r="H6" s="143">
        <v>15592</v>
      </c>
      <c r="I6" s="141"/>
      <c r="J6" s="141"/>
      <c r="K6" s="141"/>
      <c r="L6" s="173"/>
      <c r="M6" s="141" t="s">
        <v>154</v>
      </c>
      <c r="N6" s="143">
        <v>15617</v>
      </c>
      <c r="O6" s="143">
        <v>18786</v>
      </c>
      <c r="P6" s="143">
        <v>15604</v>
      </c>
      <c r="Q6" s="143">
        <v>15038</v>
      </c>
      <c r="R6" s="143">
        <v>18271</v>
      </c>
      <c r="S6" s="143">
        <v>22239</v>
      </c>
      <c r="T6" s="141"/>
      <c r="U6" s="141"/>
      <c r="V6" s="141"/>
      <c r="W6" s="173"/>
      <c r="X6" s="141" t="s">
        <v>154</v>
      </c>
      <c r="Y6" s="143">
        <v>44655</v>
      </c>
      <c r="Z6" s="143">
        <v>54373</v>
      </c>
      <c r="AA6" s="143">
        <v>44678</v>
      </c>
      <c r="AB6" s="143">
        <v>42295</v>
      </c>
      <c r="AC6" s="143">
        <v>49161</v>
      </c>
      <c r="AD6" s="143">
        <v>58631</v>
      </c>
    </row>
    <row r="7" spans="1:30" x14ac:dyDescent="0.3">
      <c r="A7" s="173"/>
      <c r="B7" s="141" t="s">
        <v>155</v>
      </c>
      <c r="C7" s="143">
        <v>11582</v>
      </c>
      <c r="D7" s="143">
        <v>13240</v>
      </c>
      <c r="E7" s="143">
        <v>11319</v>
      </c>
      <c r="F7" s="143">
        <v>11252</v>
      </c>
      <c r="G7" s="143">
        <v>13084</v>
      </c>
      <c r="H7" s="143">
        <v>15971</v>
      </c>
      <c r="I7" s="141"/>
      <c r="J7" s="141"/>
      <c r="K7" s="141"/>
      <c r="L7" s="173"/>
      <c r="M7" s="141" t="s">
        <v>155</v>
      </c>
      <c r="N7" s="143">
        <v>16116</v>
      </c>
      <c r="O7" s="143">
        <v>18586</v>
      </c>
      <c r="P7" s="143">
        <v>15558</v>
      </c>
      <c r="Q7" s="143">
        <v>15345</v>
      </c>
      <c r="R7" s="143">
        <v>18561</v>
      </c>
      <c r="S7" s="143">
        <v>22698</v>
      </c>
      <c r="T7" s="141"/>
      <c r="U7" s="141"/>
      <c r="V7" s="141"/>
      <c r="W7" s="173"/>
      <c r="X7" s="141" t="s">
        <v>155</v>
      </c>
      <c r="Y7" s="143">
        <v>46093</v>
      </c>
      <c r="Z7" s="143">
        <v>53496</v>
      </c>
      <c r="AA7" s="143">
        <v>44349</v>
      </c>
      <c r="AB7" s="143">
        <v>42867</v>
      </c>
      <c r="AC7" s="143">
        <v>49689</v>
      </c>
      <c r="AD7" s="143">
        <v>59509</v>
      </c>
    </row>
    <row r="8" spans="1:30" x14ac:dyDescent="0.3">
      <c r="A8" s="173"/>
      <c r="B8" s="141" t="s">
        <v>156</v>
      </c>
      <c r="C8" s="143">
        <v>11936</v>
      </c>
      <c r="D8" s="143">
        <v>13331</v>
      </c>
      <c r="E8" s="143">
        <v>11254</v>
      </c>
      <c r="F8" s="143">
        <v>11441</v>
      </c>
      <c r="G8" s="143">
        <v>13605</v>
      </c>
      <c r="H8" s="143">
        <v>16243</v>
      </c>
      <c r="I8" s="141"/>
      <c r="J8" s="141"/>
      <c r="K8" s="141"/>
      <c r="L8" s="173"/>
      <c r="M8" s="141" t="s">
        <v>156</v>
      </c>
      <c r="N8" s="143">
        <v>16712</v>
      </c>
      <c r="O8" s="143">
        <v>18734</v>
      </c>
      <c r="P8" s="143">
        <v>15546</v>
      </c>
      <c r="Q8" s="143">
        <v>15806</v>
      </c>
      <c r="R8" s="143">
        <v>19259</v>
      </c>
      <c r="S8" s="143">
        <v>23126</v>
      </c>
      <c r="T8" s="141"/>
      <c r="U8" s="141"/>
      <c r="V8" s="141"/>
      <c r="W8" s="173"/>
      <c r="X8" s="141" t="s">
        <v>156</v>
      </c>
      <c r="Y8" s="143">
        <v>47974</v>
      </c>
      <c r="Z8" s="143">
        <v>53909</v>
      </c>
      <c r="AA8" s="143">
        <v>44077</v>
      </c>
      <c r="AB8" s="143">
        <v>43939</v>
      </c>
      <c r="AC8" s="143">
        <v>51543</v>
      </c>
      <c r="AD8" s="143">
        <v>60616</v>
      </c>
    </row>
    <row r="9" spans="1:30" x14ac:dyDescent="0.3">
      <c r="A9" s="173"/>
      <c r="B9" s="141" t="s">
        <v>157</v>
      </c>
      <c r="C9" s="143">
        <v>11970</v>
      </c>
      <c r="D9" s="143">
        <v>13479</v>
      </c>
      <c r="E9" s="143">
        <v>11244</v>
      </c>
      <c r="F9" s="143">
        <v>12381</v>
      </c>
      <c r="G9" s="143">
        <v>14107</v>
      </c>
      <c r="H9" s="143">
        <v>16730</v>
      </c>
      <c r="I9" s="141"/>
      <c r="J9" s="141"/>
      <c r="K9" s="141"/>
      <c r="L9" s="173"/>
      <c r="M9" s="141" t="s">
        <v>157</v>
      </c>
      <c r="N9" s="143">
        <v>16831</v>
      </c>
      <c r="O9" s="143">
        <v>18671</v>
      </c>
      <c r="P9" s="143">
        <v>15625</v>
      </c>
      <c r="Q9" s="143">
        <v>16727</v>
      </c>
      <c r="R9" s="143">
        <v>20169</v>
      </c>
      <c r="S9" s="143">
        <v>23830</v>
      </c>
      <c r="T9" s="141"/>
      <c r="U9" s="141"/>
      <c r="V9" s="141"/>
      <c r="W9" s="173"/>
      <c r="X9" s="141" t="s">
        <v>157</v>
      </c>
      <c r="Y9" s="143">
        <v>48530</v>
      </c>
      <c r="Z9" s="143">
        <v>53845</v>
      </c>
      <c r="AA9" s="143">
        <v>44041</v>
      </c>
      <c r="AB9" s="143">
        <v>46200</v>
      </c>
      <c r="AC9" s="143">
        <v>53257</v>
      </c>
      <c r="AD9" s="143">
        <v>62380</v>
      </c>
    </row>
    <row r="10" spans="1:30" x14ac:dyDescent="0.3">
      <c r="A10" s="173"/>
      <c r="B10" s="141" t="s">
        <v>158</v>
      </c>
      <c r="C10" s="143">
        <v>12658</v>
      </c>
      <c r="D10" s="143">
        <v>13422</v>
      </c>
      <c r="E10" s="143">
        <v>11176</v>
      </c>
      <c r="F10" s="143">
        <v>12896</v>
      </c>
      <c r="G10" s="143">
        <v>14651</v>
      </c>
      <c r="H10" s="143">
        <v>17349</v>
      </c>
      <c r="I10" s="141"/>
      <c r="J10" s="141"/>
      <c r="K10" s="141"/>
      <c r="L10" s="173"/>
      <c r="M10" s="141" t="s">
        <v>158</v>
      </c>
      <c r="N10" s="143">
        <v>17802</v>
      </c>
      <c r="O10" s="143">
        <v>18495</v>
      </c>
      <c r="P10" s="143">
        <v>15514</v>
      </c>
      <c r="Q10" s="143">
        <v>18383</v>
      </c>
      <c r="R10" s="143">
        <v>20893</v>
      </c>
      <c r="S10" s="143">
        <v>24724</v>
      </c>
      <c r="T10" s="141"/>
      <c r="U10" s="141"/>
      <c r="V10" s="141"/>
      <c r="W10" s="173"/>
      <c r="X10" s="141" t="s">
        <v>158</v>
      </c>
      <c r="Y10" s="143">
        <v>51283</v>
      </c>
      <c r="Z10" s="143">
        <v>53245</v>
      </c>
      <c r="AA10" s="143">
        <v>43666</v>
      </c>
      <c r="AB10" s="143">
        <v>49645</v>
      </c>
      <c r="AC10" s="143">
        <v>55056</v>
      </c>
      <c r="AD10" s="143">
        <v>64479</v>
      </c>
    </row>
    <row r="11" spans="1:30" x14ac:dyDescent="0.3">
      <c r="A11" s="173"/>
      <c r="B11" s="141" t="s">
        <v>159</v>
      </c>
      <c r="C11" s="143">
        <v>12852</v>
      </c>
      <c r="D11" s="143">
        <v>13135</v>
      </c>
      <c r="E11" s="143">
        <v>11146</v>
      </c>
      <c r="F11" s="143">
        <v>12611</v>
      </c>
      <c r="G11" s="143">
        <v>14595</v>
      </c>
      <c r="H11" s="143">
        <v>17416</v>
      </c>
      <c r="I11" s="141"/>
      <c r="J11" s="141"/>
      <c r="K11" s="141"/>
      <c r="L11" s="173"/>
      <c r="M11" s="141" t="s">
        <v>159</v>
      </c>
      <c r="N11" s="143">
        <v>17968</v>
      </c>
      <c r="O11" s="143">
        <v>18183</v>
      </c>
      <c r="P11" s="143">
        <v>15446</v>
      </c>
      <c r="Q11" s="143">
        <v>17906</v>
      </c>
      <c r="R11" s="143">
        <v>20797</v>
      </c>
      <c r="S11" s="143">
        <v>24814</v>
      </c>
      <c r="T11" s="141"/>
      <c r="U11" s="141"/>
      <c r="V11" s="141"/>
      <c r="W11" s="173"/>
      <c r="X11" s="141" t="s">
        <v>159</v>
      </c>
      <c r="Y11" s="143">
        <v>51881</v>
      </c>
      <c r="Z11" s="143">
        <v>52011</v>
      </c>
      <c r="AA11" s="143">
        <v>43497</v>
      </c>
      <c r="AB11" s="143">
        <v>48350</v>
      </c>
      <c r="AC11" s="143">
        <v>54889</v>
      </c>
      <c r="AD11" s="143">
        <v>64820</v>
      </c>
    </row>
    <row r="12" spans="1:30" x14ac:dyDescent="0.3">
      <c r="A12" s="173"/>
      <c r="B12" s="141" t="s">
        <v>160</v>
      </c>
      <c r="C12" s="143">
        <v>13081</v>
      </c>
      <c r="D12" s="143">
        <v>13118</v>
      </c>
      <c r="E12" s="143">
        <v>11054</v>
      </c>
      <c r="F12" s="143">
        <v>12036</v>
      </c>
      <c r="G12" s="143">
        <v>14616</v>
      </c>
      <c r="H12" s="143">
        <v>17706</v>
      </c>
      <c r="I12" s="141"/>
      <c r="J12" s="141"/>
      <c r="K12" s="141"/>
      <c r="L12" s="173"/>
      <c r="M12" s="141" t="s">
        <v>160</v>
      </c>
      <c r="N12" s="143">
        <v>18253</v>
      </c>
      <c r="O12" s="143">
        <v>18362</v>
      </c>
      <c r="P12" s="143">
        <v>15307</v>
      </c>
      <c r="Q12" s="143">
        <v>16923</v>
      </c>
      <c r="R12" s="143">
        <v>20803</v>
      </c>
      <c r="S12" s="143">
        <v>25187</v>
      </c>
      <c r="T12" s="141"/>
      <c r="U12" s="141"/>
      <c r="V12" s="141"/>
      <c r="W12" s="173"/>
      <c r="X12" s="141" t="s">
        <v>160</v>
      </c>
      <c r="Y12" s="143">
        <v>52814</v>
      </c>
      <c r="Z12" s="143">
        <v>52260</v>
      </c>
      <c r="AA12" s="143">
        <v>43162</v>
      </c>
      <c r="AB12" s="143">
        <v>45804</v>
      </c>
      <c r="AC12" s="143">
        <v>54869</v>
      </c>
      <c r="AD12" s="143">
        <v>65861</v>
      </c>
    </row>
    <row r="13" spans="1:30" x14ac:dyDescent="0.3">
      <c r="A13" s="173"/>
      <c r="B13" s="141" t="s">
        <v>161</v>
      </c>
      <c r="C13" s="143">
        <v>13023</v>
      </c>
      <c r="D13" s="143">
        <v>12763</v>
      </c>
      <c r="E13" s="143">
        <v>10963</v>
      </c>
      <c r="F13" s="143">
        <v>12207</v>
      </c>
      <c r="G13" s="143">
        <v>14650</v>
      </c>
      <c r="H13" s="143">
        <v>17685</v>
      </c>
      <c r="I13" s="141"/>
      <c r="J13" s="141"/>
      <c r="K13" s="141"/>
      <c r="L13" s="173"/>
      <c r="M13" s="141" t="s">
        <v>161</v>
      </c>
      <c r="N13" s="143">
        <v>18282</v>
      </c>
      <c r="O13" s="143">
        <v>17852</v>
      </c>
      <c r="P13" s="143">
        <v>15190</v>
      </c>
      <c r="Q13" s="143">
        <v>17196</v>
      </c>
      <c r="R13" s="143">
        <v>20838</v>
      </c>
      <c r="S13" s="143">
        <v>25166</v>
      </c>
      <c r="T13" s="141"/>
      <c r="U13" s="141"/>
      <c r="V13" s="141"/>
      <c r="W13" s="173"/>
      <c r="X13" s="141" t="s">
        <v>161</v>
      </c>
      <c r="Y13" s="143">
        <v>52706</v>
      </c>
      <c r="Z13" s="143">
        <v>50762</v>
      </c>
      <c r="AA13" s="143">
        <v>42852</v>
      </c>
      <c r="AB13" s="143">
        <v>46521</v>
      </c>
      <c r="AC13" s="143">
        <v>54918</v>
      </c>
      <c r="AD13" s="143">
        <v>65755</v>
      </c>
    </row>
    <row r="14" spans="1:30" x14ac:dyDescent="0.3">
      <c r="A14" s="173"/>
      <c r="B14" s="141" t="s">
        <v>162</v>
      </c>
      <c r="C14" s="143">
        <v>12767</v>
      </c>
      <c r="D14" s="143">
        <v>12062</v>
      </c>
      <c r="E14" s="143">
        <v>10749</v>
      </c>
      <c r="F14" s="143">
        <v>12279</v>
      </c>
      <c r="G14" s="143">
        <v>14730</v>
      </c>
      <c r="H14" s="143">
        <v>17808</v>
      </c>
      <c r="I14" s="141"/>
      <c r="J14" s="141"/>
      <c r="K14" s="141"/>
      <c r="L14" s="173"/>
      <c r="M14" s="141" t="s">
        <v>162</v>
      </c>
      <c r="N14" s="143">
        <v>17818</v>
      </c>
      <c r="O14" s="143">
        <v>16830</v>
      </c>
      <c r="P14" s="143">
        <v>14854</v>
      </c>
      <c r="Q14" s="143">
        <v>17167</v>
      </c>
      <c r="R14" s="143">
        <v>20942</v>
      </c>
      <c r="S14" s="143">
        <v>25375</v>
      </c>
      <c r="T14" s="141"/>
      <c r="U14" s="141"/>
      <c r="V14" s="141"/>
      <c r="W14" s="173"/>
      <c r="X14" s="141" t="s">
        <v>162</v>
      </c>
      <c r="Y14" s="143">
        <v>51483</v>
      </c>
      <c r="Z14" s="143">
        <v>47906</v>
      </c>
      <c r="AA14" s="143">
        <v>42049</v>
      </c>
      <c r="AB14" s="143">
        <v>46587</v>
      </c>
      <c r="AC14" s="143">
        <v>55207</v>
      </c>
      <c r="AD14" s="143">
        <v>66198</v>
      </c>
    </row>
    <row r="15" spans="1:30" x14ac:dyDescent="0.3">
      <c r="A15" s="173"/>
      <c r="B15" s="141" t="s">
        <v>163</v>
      </c>
      <c r="C15" s="143">
        <v>12931</v>
      </c>
      <c r="D15" s="143">
        <v>11916</v>
      </c>
      <c r="E15" s="143">
        <v>10658</v>
      </c>
      <c r="F15" s="143">
        <v>12607</v>
      </c>
      <c r="G15" s="143">
        <v>14922</v>
      </c>
      <c r="H15" s="143">
        <v>18278</v>
      </c>
      <c r="I15" s="141"/>
      <c r="J15" s="141"/>
      <c r="K15" s="141"/>
      <c r="L15" s="173"/>
      <c r="M15" s="141" t="s">
        <v>163</v>
      </c>
      <c r="N15" s="143">
        <v>18205</v>
      </c>
      <c r="O15" s="143">
        <v>16616</v>
      </c>
      <c r="P15" s="143">
        <v>14734</v>
      </c>
      <c r="Q15" s="143">
        <v>17763</v>
      </c>
      <c r="R15" s="143">
        <v>21239</v>
      </c>
      <c r="S15" s="143">
        <v>25953</v>
      </c>
      <c r="T15" s="141"/>
      <c r="U15" s="141"/>
      <c r="V15" s="141"/>
      <c r="W15" s="173"/>
      <c r="X15" s="141" t="s">
        <v>163</v>
      </c>
      <c r="Y15" s="143">
        <v>52216</v>
      </c>
      <c r="Z15" s="143">
        <v>47252</v>
      </c>
      <c r="AA15" s="143">
        <v>41649</v>
      </c>
      <c r="AB15" s="143">
        <v>47961</v>
      </c>
      <c r="AC15" s="143">
        <v>55862</v>
      </c>
      <c r="AD15" s="143">
        <v>67670</v>
      </c>
    </row>
    <row r="16" spans="1:30" x14ac:dyDescent="0.3">
      <c r="A16" s="174" t="s">
        <v>5</v>
      </c>
      <c r="B16" s="144" t="s">
        <v>152</v>
      </c>
      <c r="C16" s="145">
        <v>4392</v>
      </c>
      <c r="D16" s="145">
        <v>4463</v>
      </c>
      <c r="E16" s="145">
        <v>4230</v>
      </c>
      <c r="F16" s="145">
        <v>3724</v>
      </c>
      <c r="G16" s="145">
        <v>4147</v>
      </c>
      <c r="H16" s="145">
        <v>4563</v>
      </c>
      <c r="I16" s="141"/>
      <c r="J16" s="141"/>
      <c r="K16" s="141"/>
      <c r="L16" s="174" t="s">
        <v>5</v>
      </c>
      <c r="M16" s="144" t="s">
        <v>152</v>
      </c>
      <c r="N16" s="145">
        <v>9445</v>
      </c>
      <c r="O16" s="145">
        <v>9488</v>
      </c>
      <c r="P16" s="145">
        <v>9196</v>
      </c>
      <c r="Q16" s="145">
        <v>7980</v>
      </c>
      <c r="R16" s="145">
        <v>9052</v>
      </c>
      <c r="S16" s="145">
        <v>9883</v>
      </c>
      <c r="T16" s="141"/>
      <c r="U16" s="141"/>
      <c r="V16" s="141"/>
      <c r="W16" s="174" t="s">
        <v>5</v>
      </c>
      <c r="X16" s="144" t="s">
        <v>152</v>
      </c>
      <c r="Y16" s="145">
        <v>23750</v>
      </c>
      <c r="Z16" s="145">
        <v>23835</v>
      </c>
      <c r="AA16" s="145">
        <v>22649</v>
      </c>
      <c r="AB16" s="145">
        <v>19646</v>
      </c>
      <c r="AC16" s="145">
        <v>21432</v>
      </c>
      <c r="AD16" s="145">
        <v>23261</v>
      </c>
    </row>
    <row r="17" spans="1:30" x14ac:dyDescent="0.3">
      <c r="A17" s="174"/>
      <c r="B17" s="144" t="s">
        <v>153</v>
      </c>
      <c r="C17" s="145">
        <v>4029</v>
      </c>
      <c r="D17" s="145">
        <v>4618</v>
      </c>
      <c r="E17" s="145">
        <v>4127</v>
      </c>
      <c r="F17" s="145">
        <v>3706</v>
      </c>
      <c r="G17" s="145">
        <v>4120</v>
      </c>
      <c r="H17" s="145">
        <v>4623</v>
      </c>
      <c r="I17" s="141"/>
      <c r="J17" s="141"/>
      <c r="K17" s="141"/>
      <c r="L17" s="174"/>
      <c r="M17" s="144" t="s">
        <v>153</v>
      </c>
      <c r="N17" s="145">
        <v>8580</v>
      </c>
      <c r="O17" s="145">
        <v>9876</v>
      </c>
      <c r="P17" s="145">
        <v>8983</v>
      </c>
      <c r="Q17" s="145">
        <v>7974</v>
      </c>
      <c r="R17" s="145">
        <v>9027</v>
      </c>
      <c r="S17" s="145">
        <v>10072</v>
      </c>
      <c r="T17" s="141"/>
      <c r="U17" s="141"/>
      <c r="V17" s="141"/>
      <c r="W17" s="174"/>
      <c r="X17" s="144" t="s">
        <v>153</v>
      </c>
      <c r="Y17" s="145">
        <v>21719</v>
      </c>
      <c r="Z17" s="145">
        <v>24810</v>
      </c>
      <c r="AA17" s="145">
        <v>22156</v>
      </c>
      <c r="AB17" s="145">
        <v>19552</v>
      </c>
      <c r="AC17" s="145">
        <v>21386</v>
      </c>
      <c r="AD17" s="145">
        <v>23738</v>
      </c>
    </row>
    <row r="18" spans="1:30" x14ac:dyDescent="0.3">
      <c r="A18" s="174"/>
      <c r="B18" s="144" t="s">
        <v>154</v>
      </c>
      <c r="C18" s="145">
        <v>4088</v>
      </c>
      <c r="D18" s="145">
        <v>4603</v>
      </c>
      <c r="E18" s="145">
        <v>4149</v>
      </c>
      <c r="F18" s="145">
        <v>3753</v>
      </c>
      <c r="G18" s="145">
        <v>4266</v>
      </c>
      <c r="H18" s="145">
        <v>4701</v>
      </c>
      <c r="I18" s="141"/>
      <c r="J18" s="141"/>
      <c r="K18" s="141"/>
      <c r="L18" s="174"/>
      <c r="M18" s="144" t="s">
        <v>154</v>
      </c>
      <c r="N18" s="145">
        <v>8661</v>
      </c>
      <c r="O18" s="145">
        <v>9890</v>
      </c>
      <c r="P18" s="145">
        <v>8997</v>
      </c>
      <c r="Q18" s="145">
        <v>8031</v>
      </c>
      <c r="R18" s="145">
        <v>9345</v>
      </c>
      <c r="S18" s="145">
        <v>10218</v>
      </c>
      <c r="T18" s="141"/>
      <c r="U18" s="141"/>
      <c r="V18" s="141"/>
      <c r="W18" s="174"/>
      <c r="X18" s="144" t="s">
        <v>154</v>
      </c>
      <c r="Y18" s="145">
        <v>22007</v>
      </c>
      <c r="Z18" s="145">
        <v>24788</v>
      </c>
      <c r="AA18" s="145">
        <v>22325</v>
      </c>
      <c r="AB18" s="145">
        <v>19646</v>
      </c>
      <c r="AC18" s="145">
        <v>22107</v>
      </c>
      <c r="AD18" s="145">
        <v>24085</v>
      </c>
    </row>
    <row r="19" spans="1:30" x14ac:dyDescent="0.3">
      <c r="A19" s="174"/>
      <c r="B19" s="144" t="s">
        <v>155</v>
      </c>
      <c r="C19" s="145">
        <v>4224</v>
      </c>
      <c r="D19" s="145">
        <v>4507</v>
      </c>
      <c r="E19" s="145">
        <v>4185</v>
      </c>
      <c r="F19" s="145">
        <v>3856</v>
      </c>
      <c r="G19" s="145">
        <v>4404</v>
      </c>
      <c r="H19" s="145">
        <v>4827</v>
      </c>
      <c r="I19" s="141"/>
      <c r="J19" s="141"/>
      <c r="K19" s="141"/>
      <c r="L19" s="174"/>
      <c r="M19" s="144" t="s">
        <v>155</v>
      </c>
      <c r="N19" s="145">
        <v>9028</v>
      </c>
      <c r="O19" s="145">
        <v>9704</v>
      </c>
      <c r="P19" s="145">
        <v>8975</v>
      </c>
      <c r="Q19" s="145">
        <v>8134</v>
      </c>
      <c r="R19" s="145">
        <v>9599</v>
      </c>
      <c r="S19" s="145">
        <v>10495</v>
      </c>
      <c r="T19" s="141"/>
      <c r="U19" s="141"/>
      <c r="V19" s="141"/>
      <c r="W19" s="174"/>
      <c r="X19" s="144" t="s">
        <v>155</v>
      </c>
      <c r="Y19" s="145">
        <v>22802</v>
      </c>
      <c r="Z19" s="145">
        <v>24259</v>
      </c>
      <c r="AA19" s="145">
        <v>22283</v>
      </c>
      <c r="AB19" s="145">
        <v>19989</v>
      </c>
      <c r="AC19" s="145">
        <v>22697</v>
      </c>
      <c r="AD19" s="145">
        <v>24701</v>
      </c>
    </row>
    <row r="20" spans="1:30" x14ac:dyDescent="0.3">
      <c r="A20" s="174"/>
      <c r="B20" s="144" t="s">
        <v>156</v>
      </c>
      <c r="C20" s="145">
        <v>4413</v>
      </c>
      <c r="D20" s="145">
        <v>4583</v>
      </c>
      <c r="E20" s="145">
        <v>4152</v>
      </c>
      <c r="F20" s="145">
        <v>3955</v>
      </c>
      <c r="G20" s="145">
        <v>4603</v>
      </c>
      <c r="H20" s="145">
        <v>4936</v>
      </c>
      <c r="I20" s="141"/>
      <c r="J20" s="141"/>
      <c r="K20" s="141"/>
      <c r="L20" s="174"/>
      <c r="M20" s="144" t="s">
        <v>156</v>
      </c>
      <c r="N20" s="145">
        <v>9409</v>
      </c>
      <c r="O20" s="145">
        <v>9868</v>
      </c>
      <c r="P20" s="145">
        <v>8872</v>
      </c>
      <c r="Q20" s="145">
        <v>8451</v>
      </c>
      <c r="R20" s="145">
        <v>10005</v>
      </c>
      <c r="S20" s="145">
        <v>10730</v>
      </c>
      <c r="T20" s="141"/>
      <c r="U20" s="141"/>
      <c r="V20" s="141"/>
      <c r="W20" s="174"/>
      <c r="X20" s="144" t="s">
        <v>156</v>
      </c>
      <c r="Y20" s="145">
        <v>23804</v>
      </c>
      <c r="Z20" s="145">
        <v>24615</v>
      </c>
      <c r="AA20" s="145">
        <v>21956</v>
      </c>
      <c r="AB20" s="145">
        <v>20680</v>
      </c>
      <c r="AC20" s="145">
        <v>23800</v>
      </c>
      <c r="AD20" s="145">
        <v>25305</v>
      </c>
    </row>
    <row r="21" spans="1:30" x14ac:dyDescent="0.3">
      <c r="A21" s="174"/>
      <c r="B21" s="144" t="s">
        <v>157</v>
      </c>
      <c r="C21" s="145">
        <v>4514</v>
      </c>
      <c r="D21" s="145">
        <v>4622</v>
      </c>
      <c r="E21" s="145">
        <v>4074</v>
      </c>
      <c r="F21" s="145">
        <v>4418</v>
      </c>
      <c r="G21" s="145">
        <v>4816</v>
      </c>
      <c r="H21" s="145">
        <v>5141</v>
      </c>
      <c r="I21" s="141"/>
      <c r="J21" s="141"/>
      <c r="K21" s="141"/>
      <c r="L21" s="174"/>
      <c r="M21" s="144" t="s">
        <v>157</v>
      </c>
      <c r="N21" s="145">
        <v>9553</v>
      </c>
      <c r="O21" s="145">
        <v>9868</v>
      </c>
      <c r="P21" s="145">
        <v>8621</v>
      </c>
      <c r="Q21" s="145">
        <v>9157</v>
      </c>
      <c r="R21" s="145">
        <v>10479</v>
      </c>
      <c r="S21" s="145">
        <v>11126</v>
      </c>
      <c r="T21" s="141"/>
      <c r="U21" s="141"/>
      <c r="V21" s="141"/>
      <c r="W21" s="174"/>
      <c r="X21" s="144" t="s">
        <v>157</v>
      </c>
      <c r="Y21" s="145">
        <v>24227</v>
      </c>
      <c r="Z21" s="145">
        <v>24655</v>
      </c>
      <c r="AA21" s="145">
        <v>21380</v>
      </c>
      <c r="AB21" s="145">
        <v>22260</v>
      </c>
      <c r="AC21" s="145">
        <v>24808</v>
      </c>
      <c r="AD21" s="145">
        <v>26192</v>
      </c>
    </row>
    <row r="22" spans="1:30" x14ac:dyDescent="0.3">
      <c r="A22" s="174"/>
      <c r="B22" s="144" t="s">
        <v>158</v>
      </c>
      <c r="C22" s="145">
        <v>4763</v>
      </c>
      <c r="D22" s="145">
        <v>4640</v>
      </c>
      <c r="E22" s="145">
        <v>4044</v>
      </c>
      <c r="F22" s="145">
        <v>4488</v>
      </c>
      <c r="G22" s="145">
        <v>4961</v>
      </c>
      <c r="H22" s="145">
        <v>5311</v>
      </c>
      <c r="I22" s="141"/>
      <c r="J22" s="141"/>
      <c r="K22" s="141"/>
      <c r="L22" s="174"/>
      <c r="M22" s="144" t="s">
        <v>158</v>
      </c>
      <c r="N22" s="145">
        <v>10033</v>
      </c>
      <c r="O22" s="145">
        <v>9846</v>
      </c>
      <c r="P22" s="145">
        <v>8528</v>
      </c>
      <c r="Q22" s="145">
        <v>9798</v>
      </c>
      <c r="R22" s="145">
        <v>10743</v>
      </c>
      <c r="S22" s="145">
        <v>11481</v>
      </c>
      <c r="T22" s="141"/>
      <c r="U22" s="141"/>
      <c r="V22" s="141"/>
      <c r="W22" s="174"/>
      <c r="X22" s="144" t="s">
        <v>158</v>
      </c>
      <c r="Y22" s="145">
        <v>25492</v>
      </c>
      <c r="Z22" s="145">
        <v>24702</v>
      </c>
      <c r="AA22" s="145">
        <v>21159</v>
      </c>
      <c r="AB22" s="145">
        <v>23373</v>
      </c>
      <c r="AC22" s="145">
        <v>25333</v>
      </c>
      <c r="AD22" s="145">
        <v>26969</v>
      </c>
    </row>
    <row r="23" spans="1:30" x14ac:dyDescent="0.3">
      <c r="A23" s="174"/>
      <c r="B23" s="144" t="s">
        <v>159</v>
      </c>
      <c r="C23" s="145">
        <v>4738</v>
      </c>
      <c r="D23" s="145">
        <v>4631</v>
      </c>
      <c r="E23" s="145">
        <v>3950</v>
      </c>
      <c r="F23" s="145">
        <v>4326</v>
      </c>
      <c r="G23" s="145">
        <v>4811</v>
      </c>
      <c r="H23" s="145">
        <v>5305</v>
      </c>
      <c r="I23" s="141"/>
      <c r="J23" s="141"/>
      <c r="K23" s="141"/>
      <c r="L23" s="174"/>
      <c r="M23" s="144" t="s">
        <v>159</v>
      </c>
      <c r="N23" s="145">
        <v>9941</v>
      </c>
      <c r="O23" s="145">
        <v>9803</v>
      </c>
      <c r="P23" s="145">
        <v>8354</v>
      </c>
      <c r="Q23" s="145">
        <v>9473</v>
      </c>
      <c r="R23" s="145">
        <v>10429</v>
      </c>
      <c r="S23" s="145">
        <v>11415</v>
      </c>
      <c r="T23" s="141"/>
      <c r="U23" s="141"/>
      <c r="V23" s="141"/>
      <c r="W23" s="174"/>
      <c r="X23" s="144" t="s">
        <v>159</v>
      </c>
      <c r="Y23" s="145">
        <v>25322</v>
      </c>
      <c r="Z23" s="145">
        <v>24552</v>
      </c>
      <c r="AA23" s="145">
        <v>20701</v>
      </c>
      <c r="AB23" s="145">
        <v>22407</v>
      </c>
      <c r="AC23" s="145">
        <v>24596</v>
      </c>
      <c r="AD23" s="145">
        <v>26857</v>
      </c>
    </row>
    <row r="24" spans="1:30" x14ac:dyDescent="0.3">
      <c r="A24" s="174"/>
      <c r="B24" s="144" t="s">
        <v>160</v>
      </c>
      <c r="C24" s="145">
        <v>4757</v>
      </c>
      <c r="D24" s="145">
        <v>4717</v>
      </c>
      <c r="E24" s="145">
        <v>3886</v>
      </c>
      <c r="F24" s="145">
        <v>4138</v>
      </c>
      <c r="G24" s="145">
        <v>4761</v>
      </c>
      <c r="H24" s="145">
        <v>5301</v>
      </c>
      <c r="I24" s="141"/>
      <c r="J24" s="141"/>
      <c r="K24" s="141"/>
      <c r="L24" s="174"/>
      <c r="M24" s="144" t="s">
        <v>160</v>
      </c>
      <c r="N24" s="145">
        <v>9942</v>
      </c>
      <c r="O24" s="145">
        <v>10234</v>
      </c>
      <c r="P24" s="145">
        <v>8260</v>
      </c>
      <c r="Q24" s="145">
        <v>9045</v>
      </c>
      <c r="R24" s="145">
        <v>10317</v>
      </c>
      <c r="S24" s="145">
        <v>11381</v>
      </c>
      <c r="T24" s="141"/>
      <c r="U24" s="141"/>
      <c r="V24" s="141"/>
      <c r="W24" s="174"/>
      <c r="X24" s="144" t="s">
        <v>160</v>
      </c>
      <c r="Y24" s="145">
        <v>25292</v>
      </c>
      <c r="Z24" s="145">
        <v>25454</v>
      </c>
      <c r="AA24" s="145">
        <v>20462</v>
      </c>
      <c r="AB24" s="145">
        <v>21345</v>
      </c>
      <c r="AC24" s="145">
        <v>24261</v>
      </c>
      <c r="AD24" s="145">
        <v>26803</v>
      </c>
    </row>
    <row r="25" spans="1:30" x14ac:dyDescent="0.3">
      <c r="A25" s="174"/>
      <c r="B25" s="144" t="s">
        <v>161</v>
      </c>
      <c r="C25" s="145">
        <v>4699</v>
      </c>
      <c r="D25" s="145">
        <v>4507</v>
      </c>
      <c r="E25" s="145">
        <v>3832</v>
      </c>
      <c r="F25" s="145">
        <v>4171</v>
      </c>
      <c r="G25" s="145">
        <v>4723</v>
      </c>
      <c r="H25" s="145">
        <v>5231</v>
      </c>
      <c r="I25" s="141"/>
      <c r="J25" s="141"/>
      <c r="K25" s="141"/>
      <c r="L25" s="174"/>
      <c r="M25" s="144" t="s">
        <v>161</v>
      </c>
      <c r="N25" s="145">
        <v>9894</v>
      </c>
      <c r="O25" s="145">
        <v>9743</v>
      </c>
      <c r="P25" s="145">
        <v>8191</v>
      </c>
      <c r="Q25" s="145">
        <v>9085</v>
      </c>
      <c r="R25" s="145">
        <v>10222</v>
      </c>
      <c r="S25" s="145">
        <v>11240</v>
      </c>
      <c r="T25" s="141"/>
      <c r="U25" s="141"/>
      <c r="V25" s="141"/>
      <c r="W25" s="174"/>
      <c r="X25" s="144" t="s">
        <v>161</v>
      </c>
      <c r="Y25" s="145">
        <v>25064</v>
      </c>
      <c r="Z25" s="145">
        <v>24186</v>
      </c>
      <c r="AA25" s="145">
        <v>20205</v>
      </c>
      <c r="AB25" s="145">
        <v>21508</v>
      </c>
      <c r="AC25" s="145">
        <v>24138</v>
      </c>
      <c r="AD25" s="145">
        <v>26450</v>
      </c>
    </row>
    <row r="26" spans="1:30" x14ac:dyDescent="0.3">
      <c r="A26" s="174"/>
      <c r="B26" s="144" t="s">
        <v>162</v>
      </c>
      <c r="C26" s="145">
        <v>4588</v>
      </c>
      <c r="D26" s="145">
        <v>4242</v>
      </c>
      <c r="E26" s="145">
        <v>3740</v>
      </c>
      <c r="F26" s="145">
        <v>4108</v>
      </c>
      <c r="G26" s="145">
        <v>4608</v>
      </c>
      <c r="H26" s="145">
        <v>5116</v>
      </c>
      <c r="I26" s="141"/>
      <c r="J26" s="141"/>
      <c r="K26" s="141"/>
      <c r="L26" s="174"/>
      <c r="M26" s="144" t="s">
        <v>162</v>
      </c>
      <c r="N26" s="145">
        <v>9693</v>
      </c>
      <c r="O26" s="145">
        <v>9159</v>
      </c>
      <c r="P26" s="145">
        <v>8007</v>
      </c>
      <c r="Q26" s="145">
        <v>8885</v>
      </c>
      <c r="R26" s="145">
        <v>9980</v>
      </c>
      <c r="S26" s="145">
        <v>11010</v>
      </c>
      <c r="T26" s="141"/>
      <c r="U26" s="141"/>
      <c r="V26" s="141"/>
      <c r="W26" s="174"/>
      <c r="X26" s="144" t="s">
        <v>162</v>
      </c>
      <c r="Y26" s="145">
        <v>24514</v>
      </c>
      <c r="Z26" s="145">
        <v>22716</v>
      </c>
      <c r="AA26" s="145">
        <v>19724</v>
      </c>
      <c r="AB26" s="145">
        <v>21194</v>
      </c>
      <c r="AC26" s="145">
        <v>23524</v>
      </c>
      <c r="AD26" s="145">
        <v>26044</v>
      </c>
    </row>
    <row r="27" spans="1:30" x14ac:dyDescent="0.3">
      <c r="A27" s="174"/>
      <c r="B27" s="144" t="s">
        <v>163</v>
      </c>
      <c r="C27" s="145">
        <v>4524</v>
      </c>
      <c r="D27" s="145">
        <v>4183</v>
      </c>
      <c r="E27" s="145">
        <v>3699</v>
      </c>
      <c r="F27" s="145">
        <v>4151</v>
      </c>
      <c r="G27" s="145">
        <v>4561</v>
      </c>
      <c r="H27" s="145">
        <v>5050</v>
      </c>
      <c r="I27" s="141"/>
      <c r="J27" s="141"/>
      <c r="K27" s="141"/>
      <c r="L27" s="174"/>
      <c r="M27" s="144" t="s">
        <v>163</v>
      </c>
      <c r="N27" s="145">
        <v>9639</v>
      </c>
      <c r="O27" s="145">
        <v>9053</v>
      </c>
      <c r="P27" s="145">
        <v>7928</v>
      </c>
      <c r="Q27" s="145">
        <v>9014</v>
      </c>
      <c r="R27" s="145">
        <v>9851</v>
      </c>
      <c r="S27" s="145">
        <v>10811</v>
      </c>
      <c r="T27" s="141"/>
      <c r="U27" s="141"/>
      <c r="V27" s="141"/>
      <c r="W27" s="174"/>
      <c r="X27" s="144" t="s">
        <v>163</v>
      </c>
      <c r="Y27" s="145">
        <v>24189</v>
      </c>
      <c r="Z27" s="145">
        <v>22406</v>
      </c>
      <c r="AA27" s="145">
        <v>19547</v>
      </c>
      <c r="AB27" s="145">
        <v>21504</v>
      </c>
      <c r="AC27" s="145">
        <v>23271</v>
      </c>
      <c r="AD27" s="145">
        <v>25525</v>
      </c>
    </row>
    <row r="28" spans="1:30" x14ac:dyDescent="0.3">
      <c r="A28" s="173" t="s">
        <v>145</v>
      </c>
      <c r="B28" s="141" t="s">
        <v>152</v>
      </c>
      <c r="C28" s="143">
        <v>2831</v>
      </c>
      <c r="D28" s="143">
        <v>2630</v>
      </c>
      <c r="E28" s="143">
        <v>2614</v>
      </c>
      <c r="F28" s="143">
        <v>2578</v>
      </c>
      <c r="G28" s="143">
        <v>2953</v>
      </c>
      <c r="H28" s="143">
        <v>3092</v>
      </c>
      <c r="I28" s="141"/>
      <c r="J28" s="141"/>
      <c r="K28" s="141"/>
      <c r="L28" s="173" t="s">
        <v>145</v>
      </c>
      <c r="M28" s="141" t="s">
        <v>152</v>
      </c>
      <c r="N28" s="143">
        <v>5029</v>
      </c>
      <c r="O28" s="143">
        <v>4909</v>
      </c>
      <c r="P28" s="143">
        <v>4874</v>
      </c>
      <c r="Q28" s="143">
        <v>4732</v>
      </c>
      <c r="R28" s="143">
        <v>5476</v>
      </c>
      <c r="S28" s="143">
        <v>5823</v>
      </c>
      <c r="T28" s="141"/>
      <c r="U28" s="141"/>
      <c r="V28" s="141"/>
      <c r="W28" s="173" t="s">
        <v>145</v>
      </c>
      <c r="X28" s="141" t="s">
        <v>152</v>
      </c>
      <c r="Y28" s="143">
        <v>12821</v>
      </c>
      <c r="Z28" s="143">
        <v>12337</v>
      </c>
      <c r="AA28" s="143">
        <v>12171</v>
      </c>
      <c r="AB28" s="143">
        <v>11756</v>
      </c>
      <c r="AC28" s="143">
        <v>13030</v>
      </c>
      <c r="AD28" s="143">
        <v>13742</v>
      </c>
    </row>
    <row r="29" spans="1:30" x14ac:dyDescent="0.3">
      <c r="A29" s="173"/>
      <c r="B29" s="141" t="s">
        <v>153</v>
      </c>
      <c r="C29" s="143">
        <v>2762</v>
      </c>
      <c r="D29" s="143">
        <v>2745</v>
      </c>
      <c r="E29" s="143">
        <v>2611</v>
      </c>
      <c r="F29" s="143">
        <v>2660</v>
      </c>
      <c r="G29" s="143">
        <v>3073</v>
      </c>
      <c r="H29" s="143">
        <v>3160</v>
      </c>
      <c r="I29" s="141"/>
      <c r="J29" s="141"/>
      <c r="K29" s="141"/>
      <c r="L29" s="173"/>
      <c r="M29" s="141" t="s">
        <v>153</v>
      </c>
      <c r="N29" s="143">
        <v>4825</v>
      </c>
      <c r="O29" s="143">
        <v>5064</v>
      </c>
      <c r="P29" s="143">
        <v>4828</v>
      </c>
      <c r="Q29" s="143">
        <v>4817</v>
      </c>
      <c r="R29" s="143">
        <v>5683</v>
      </c>
      <c r="S29" s="143">
        <v>5964</v>
      </c>
      <c r="T29" s="141"/>
      <c r="U29" s="141"/>
      <c r="V29" s="141"/>
      <c r="W29" s="173"/>
      <c r="X29" s="141" t="s">
        <v>153</v>
      </c>
      <c r="Y29" s="143">
        <v>12412</v>
      </c>
      <c r="Z29" s="143">
        <v>12757</v>
      </c>
      <c r="AA29" s="143">
        <v>12127</v>
      </c>
      <c r="AB29" s="143">
        <v>12022</v>
      </c>
      <c r="AC29" s="143">
        <v>13502</v>
      </c>
      <c r="AD29" s="143">
        <v>14069</v>
      </c>
    </row>
    <row r="30" spans="1:30" x14ac:dyDescent="0.3">
      <c r="A30" s="173"/>
      <c r="B30" s="141" t="s">
        <v>154</v>
      </c>
      <c r="C30" s="143">
        <v>2782</v>
      </c>
      <c r="D30" s="143">
        <v>2811</v>
      </c>
      <c r="E30" s="143">
        <v>2747</v>
      </c>
      <c r="F30" s="143">
        <v>2790</v>
      </c>
      <c r="G30" s="143">
        <v>3177</v>
      </c>
      <c r="H30" s="143">
        <v>3346</v>
      </c>
      <c r="I30" s="141"/>
      <c r="J30" s="141"/>
      <c r="K30" s="141"/>
      <c r="L30" s="173"/>
      <c r="M30" s="141" t="s">
        <v>154</v>
      </c>
      <c r="N30" s="143">
        <v>4836</v>
      </c>
      <c r="O30" s="143">
        <v>5142</v>
      </c>
      <c r="P30" s="143">
        <v>5030</v>
      </c>
      <c r="Q30" s="143">
        <v>4982</v>
      </c>
      <c r="R30" s="143">
        <v>5851</v>
      </c>
      <c r="S30" s="143">
        <v>6240</v>
      </c>
      <c r="T30" s="141"/>
      <c r="U30" s="141"/>
      <c r="V30" s="141"/>
      <c r="W30" s="173"/>
      <c r="X30" s="141" t="s">
        <v>154</v>
      </c>
      <c r="Y30" s="143">
        <v>12446</v>
      </c>
      <c r="Z30" s="143">
        <v>12938</v>
      </c>
      <c r="AA30" s="143">
        <v>12697</v>
      </c>
      <c r="AB30" s="143">
        <v>12435</v>
      </c>
      <c r="AC30" s="143">
        <v>13896</v>
      </c>
      <c r="AD30" s="143">
        <v>14694</v>
      </c>
    </row>
    <row r="31" spans="1:30" x14ac:dyDescent="0.3">
      <c r="A31" s="173"/>
      <c r="B31" s="141" t="s">
        <v>155</v>
      </c>
      <c r="C31" s="143">
        <v>2702</v>
      </c>
      <c r="D31" s="143">
        <v>2812</v>
      </c>
      <c r="E31" s="143">
        <v>2840</v>
      </c>
      <c r="F31" s="143">
        <v>2983</v>
      </c>
      <c r="G31" s="143">
        <v>3301</v>
      </c>
      <c r="H31" s="143">
        <v>3559</v>
      </c>
      <c r="I31" s="141"/>
      <c r="J31" s="141"/>
      <c r="K31" s="141"/>
      <c r="L31" s="173"/>
      <c r="M31" s="141" t="s">
        <v>155</v>
      </c>
      <c r="N31" s="143">
        <v>4852</v>
      </c>
      <c r="O31" s="143">
        <v>5090</v>
      </c>
      <c r="P31" s="143">
        <v>5091</v>
      </c>
      <c r="Q31" s="143">
        <v>5234</v>
      </c>
      <c r="R31" s="143">
        <v>6025</v>
      </c>
      <c r="S31" s="143">
        <v>6524</v>
      </c>
      <c r="T31" s="141"/>
      <c r="U31" s="141"/>
      <c r="V31" s="141"/>
      <c r="W31" s="173"/>
      <c r="X31" s="141" t="s">
        <v>155</v>
      </c>
      <c r="Y31" s="143">
        <v>12366</v>
      </c>
      <c r="Z31" s="143">
        <v>12840</v>
      </c>
      <c r="AA31" s="143">
        <v>12928</v>
      </c>
      <c r="AB31" s="143">
        <v>13082</v>
      </c>
      <c r="AC31" s="143">
        <v>14295</v>
      </c>
      <c r="AD31" s="143">
        <v>15313</v>
      </c>
    </row>
    <row r="32" spans="1:30" x14ac:dyDescent="0.3">
      <c r="A32" s="173"/>
      <c r="B32" s="141" t="s">
        <v>156</v>
      </c>
      <c r="C32" s="143">
        <v>2796</v>
      </c>
      <c r="D32" s="143">
        <v>2839</v>
      </c>
      <c r="E32" s="143">
        <v>2938</v>
      </c>
      <c r="F32" s="143">
        <v>3082</v>
      </c>
      <c r="G32" s="143">
        <v>3439</v>
      </c>
      <c r="H32" s="143">
        <v>3676</v>
      </c>
      <c r="I32" s="141"/>
      <c r="J32" s="141"/>
      <c r="K32" s="141"/>
      <c r="L32" s="173"/>
      <c r="M32" s="141" t="s">
        <v>156</v>
      </c>
      <c r="N32" s="143">
        <v>5092</v>
      </c>
      <c r="O32" s="143">
        <v>5200</v>
      </c>
      <c r="P32" s="143">
        <v>5227</v>
      </c>
      <c r="Q32" s="143">
        <v>5497</v>
      </c>
      <c r="R32" s="143">
        <v>6249</v>
      </c>
      <c r="S32" s="143">
        <v>6709</v>
      </c>
      <c r="T32" s="141"/>
      <c r="U32" s="141"/>
      <c r="V32" s="141"/>
      <c r="W32" s="173"/>
      <c r="X32" s="141" t="s">
        <v>156</v>
      </c>
      <c r="Y32" s="143">
        <v>12822</v>
      </c>
      <c r="Z32" s="143">
        <v>13080</v>
      </c>
      <c r="AA32" s="143">
        <v>13257</v>
      </c>
      <c r="AB32" s="143">
        <v>13704</v>
      </c>
      <c r="AC32" s="143">
        <v>14788</v>
      </c>
      <c r="AD32" s="143">
        <v>15686</v>
      </c>
    </row>
    <row r="33" spans="1:30" x14ac:dyDescent="0.3">
      <c r="A33" s="173"/>
      <c r="B33" s="141" t="s">
        <v>157</v>
      </c>
      <c r="C33" s="143">
        <v>2960</v>
      </c>
      <c r="D33" s="143">
        <v>2925</v>
      </c>
      <c r="E33" s="143">
        <v>3069</v>
      </c>
      <c r="F33" s="143">
        <v>3377</v>
      </c>
      <c r="G33" s="143">
        <v>3591</v>
      </c>
      <c r="H33" s="143">
        <v>3810</v>
      </c>
      <c r="I33" s="141"/>
      <c r="J33" s="141"/>
      <c r="K33" s="141"/>
      <c r="L33" s="173"/>
      <c r="M33" s="141" t="s">
        <v>157</v>
      </c>
      <c r="N33" s="143">
        <v>5272</v>
      </c>
      <c r="O33" s="143">
        <v>5333</v>
      </c>
      <c r="P33" s="143">
        <v>5343</v>
      </c>
      <c r="Q33" s="143">
        <v>5804</v>
      </c>
      <c r="R33" s="143">
        <v>6575</v>
      </c>
      <c r="S33" s="143">
        <v>6987</v>
      </c>
      <c r="T33" s="141"/>
      <c r="U33" s="141"/>
      <c r="V33" s="141"/>
      <c r="W33" s="173"/>
      <c r="X33" s="141" t="s">
        <v>157</v>
      </c>
      <c r="Y33" s="143">
        <v>13443</v>
      </c>
      <c r="Z33" s="143">
        <v>13459</v>
      </c>
      <c r="AA33" s="143">
        <v>13566</v>
      </c>
      <c r="AB33" s="143">
        <v>14440</v>
      </c>
      <c r="AC33" s="143">
        <v>15421</v>
      </c>
      <c r="AD33" s="143">
        <v>16307</v>
      </c>
    </row>
    <row r="34" spans="1:30" x14ac:dyDescent="0.3">
      <c r="A34" s="173"/>
      <c r="B34" s="141" t="s">
        <v>158</v>
      </c>
      <c r="C34" s="143">
        <v>3070</v>
      </c>
      <c r="D34" s="143">
        <v>2961</v>
      </c>
      <c r="E34" s="143">
        <v>3063</v>
      </c>
      <c r="F34" s="143">
        <v>3512</v>
      </c>
      <c r="G34" s="143">
        <v>3758</v>
      </c>
      <c r="H34" s="143">
        <v>3987</v>
      </c>
      <c r="I34" s="141"/>
      <c r="J34" s="141"/>
      <c r="K34" s="141"/>
      <c r="L34" s="173"/>
      <c r="M34" s="141" t="s">
        <v>158</v>
      </c>
      <c r="N34" s="143">
        <v>5445</v>
      </c>
      <c r="O34" s="143">
        <v>5330</v>
      </c>
      <c r="P34" s="143">
        <v>5329</v>
      </c>
      <c r="Q34" s="143">
        <v>6343</v>
      </c>
      <c r="R34" s="143">
        <v>6870</v>
      </c>
      <c r="S34" s="143">
        <v>7305</v>
      </c>
      <c r="T34" s="141"/>
      <c r="U34" s="141"/>
      <c r="V34" s="141"/>
      <c r="W34" s="173"/>
      <c r="X34" s="141" t="s">
        <v>158</v>
      </c>
      <c r="Y34" s="143">
        <v>13889</v>
      </c>
      <c r="Z34" s="143">
        <v>13447</v>
      </c>
      <c r="AA34" s="143">
        <v>13501</v>
      </c>
      <c r="AB34" s="143">
        <v>15369</v>
      </c>
      <c r="AC34" s="143">
        <v>16104</v>
      </c>
      <c r="AD34" s="143">
        <v>17006</v>
      </c>
    </row>
    <row r="35" spans="1:30" x14ac:dyDescent="0.3">
      <c r="A35" s="173"/>
      <c r="B35" s="141" t="s">
        <v>159</v>
      </c>
      <c r="C35" s="143">
        <v>3047</v>
      </c>
      <c r="D35" s="143">
        <v>3039</v>
      </c>
      <c r="E35" s="143">
        <v>3055</v>
      </c>
      <c r="F35" s="143">
        <v>3397</v>
      </c>
      <c r="G35" s="143">
        <v>3717</v>
      </c>
      <c r="H35" s="143">
        <v>3998</v>
      </c>
      <c r="I35" s="141"/>
      <c r="J35" s="141"/>
      <c r="K35" s="141"/>
      <c r="L35" s="173"/>
      <c r="M35" s="141" t="s">
        <v>159</v>
      </c>
      <c r="N35" s="143">
        <v>5398</v>
      </c>
      <c r="O35" s="143">
        <v>5403</v>
      </c>
      <c r="P35" s="143">
        <v>5302</v>
      </c>
      <c r="Q35" s="143">
        <v>6103</v>
      </c>
      <c r="R35" s="143">
        <v>6784</v>
      </c>
      <c r="S35" s="143">
        <v>7269</v>
      </c>
      <c r="T35" s="141"/>
      <c r="U35" s="141"/>
      <c r="V35" s="141"/>
      <c r="W35" s="173"/>
      <c r="X35" s="141" t="s">
        <v>159</v>
      </c>
      <c r="Y35" s="143">
        <v>13755</v>
      </c>
      <c r="Z35" s="143">
        <v>13665</v>
      </c>
      <c r="AA35" s="143">
        <v>13413</v>
      </c>
      <c r="AB35" s="143">
        <v>14527</v>
      </c>
      <c r="AC35" s="143">
        <v>15872</v>
      </c>
      <c r="AD35" s="143">
        <v>16935</v>
      </c>
    </row>
    <row r="36" spans="1:30" x14ac:dyDescent="0.3">
      <c r="A36" s="173"/>
      <c r="B36" s="141" t="s">
        <v>160</v>
      </c>
      <c r="C36" s="143">
        <v>3028</v>
      </c>
      <c r="D36" s="143">
        <v>3055</v>
      </c>
      <c r="E36" s="143">
        <v>2977</v>
      </c>
      <c r="F36" s="143">
        <v>3308</v>
      </c>
      <c r="G36" s="143">
        <v>3685</v>
      </c>
      <c r="H36" s="143">
        <v>3955</v>
      </c>
      <c r="I36" s="141"/>
      <c r="J36" s="141"/>
      <c r="K36" s="141"/>
      <c r="L36" s="173"/>
      <c r="M36" s="141" t="s">
        <v>160</v>
      </c>
      <c r="N36" s="143">
        <v>5371</v>
      </c>
      <c r="O36" s="143">
        <v>5536</v>
      </c>
      <c r="P36" s="143">
        <v>5206</v>
      </c>
      <c r="Q36" s="143">
        <v>5929</v>
      </c>
      <c r="R36" s="143">
        <v>6714</v>
      </c>
      <c r="S36" s="143">
        <v>7198</v>
      </c>
      <c r="T36" s="141"/>
      <c r="U36" s="141"/>
      <c r="V36" s="141"/>
      <c r="W36" s="173"/>
      <c r="X36" s="141" t="s">
        <v>160</v>
      </c>
      <c r="Y36" s="143">
        <v>13627</v>
      </c>
      <c r="Z36" s="143">
        <v>13904</v>
      </c>
      <c r="AA36" s="143">
        <v>13145</v>
      </c>
      <c r="AB36" s="143">
        <v>14152</v>
      </c>
      <c r="AC36" s="143">
        <v>15644</v>
      </c>
      <c r="AD36" s="143">
        <v>16797</v>
      </c>
    </row>
    <row r="37" spans="1:30" x14ac:dyDescent="0.3">
      <c r="A37" s="173"/>
      <c r="B37" s="141" t="s">
        <v>161</v>
      </c>
      <c r="C37" s="143">
        <v>2890</v>
      </c>
      <c r="D37" s="143">
        <v>2901</v>
      </c>
      <c r="E37" s="143">
        <v>2844</v>
      </c>
      <c r="F37" s="143">
        <v>3153</v>
      </c>
      <c r="G37" s="143">
        <v>3517</v>
      </c>
      <c r="H37" s="143">
        <v>3842</v>
      </c>
      <c r="I37" s="141"/>
      <c r="J37" s="141"/>
      <c r="K37" s="141"/>
      <c r="L37" s="173"/>
      <c r="M37" s="141" t="s">
        <v>161</v>
      </c>
      <c r="N37" s="143">
        <v>5208</v>
      </c>
      <c r="O37" s="143">
        <v>5343</v>
      </c>
      <c r="P37" s="143">
        <v>5069</v>
      </c>
      <c r="Q37" s="143">
        <v>5778</v>
      </c>
      <c r="R37" s="143">
        <v>6473</v>
      </c>
      <c r="S37" s="143">
        <v>7049</v>
      </c>
      <c r="T37" s="141"/>
      <c r="U37" s="141"/>
      <c r="V37" s="141"/>
      <c r="W37" s="173"/>
      <c r="X37" s="141" t="s">
        <v>161</v>
      </c>
      <c r="Y37" s="143">
        <v>13143</v>
      </c>
      <c r="Z37" s="143">
        <v>13307</v>
      </c>
      <c r="AA37" s="143">
        <v>12683</v>
      </c>
      <c r="AB37" s="143">
        <v>13744</v>
      </c>
      <c r="AC37" s="143">
        <v>15106</v>
      </c>
      <c r="AD37" s="143">
        <v>16463</v>
      </c>
    </row>
    <row r="38" spans="1:30" x14ac:dyDescent="0.3">
      <c r="A38" s="173"/>
      <c r="B38" s="141" t="s">
        <v>162</v>
      </c>
      <c r="C38" s="143">
        <v>2658</v>
      </c>
      <c r="D38" s="143">
        <v>2670</v>
      </c>
      <c r="E38" s="143">
        <v>2628</v>
      </c>
      <c r="F38" s="143">
        <v>2945</v>
      </c>
      <c r="G38" s="143">
        <v>3238</v>
      </c>
      <c r="H38" s="143">
        <v>3564</v>
      </c>
      <c r="I38" s="141"/>
      <c r="J38" s="141"/>
      <c r="K38" s="141"/>
      <c r="L38" s="173"/>
      <c r="M38" s="141" t="s">
        <v>162</v>
      </c>
      <c r="N38" s="143">
        <v>4886</v>
      </c>
      <c r="O38" s="143">
        <v>4926</v>
      </c>
      <c r="P38" s="143">
        <v>4822</v>
      </c>
      <c r="Q38" s="143">
        <v>5457</v>
      </c>
      <c r="R38" s="143">
        <v>6063</v>
      </c>
      <c r="S38" s="143">
        <v>6642</v>
      </c>
      <c r="T38" s="141"/>
      <c r="U38" s="141"/>
      <c r="V38" s="141"/>
      <c r="W38" s="173"/>
      <c r="X38" s="141" t="s">
        <v>162</v>
      </c>
      <c r="Y38" s="143">
        <v>12342</v>
      </c>
      <c r="Z38" s="143">
        <v>12324</v>
      </c>
      <c r="AA38" s="143">
        <v>11954</v>
      </c>
      <c r="AB38" s="143">
        <v>13054</v>
      </c>
      <c r="AC38" s="143">
        <v>14225</v>
      </c>
      <c r="AD38" s="143">
        <v>15569</v>
      </c>
    </row>
    <row r="39" spans="1:30" x14ac:dyDescent="0.3">
      <c r="A39" s="173"/>
      <c r="B39" s="141" t="s">
        <v>163</v>
      </c>
      <c r="C39" s="143">
        <v>2560</v>
      </c>
      <c r="D39" s="143">
        <v>2553</v>
      </c>
      <c r="E39" s="143">
        <v>2454</v>
      </c>
      <c r="F39" s="143">
        <v>2803</v>
      </c>
      <c r="G39" s="143">
        <v>3056</v>
      </c>
      <c r="H39" s="143">
        <v>3390</v>
      </c>
      <c r="I39" s="141"/>
      <c r="J39" s="141"/>
      <c r="K39" s="141"/>
      <c r="L39" s="173"/>
      <c r="M39" s="141" t="s">
        <v>163</v>
      </c>
      <c r="N39" s="143">
        <v>4807</v>
      </c>
      <c r="O39" s="143">
        <v>4776</v>
      </c>
      <c r="P39" s="143">
        <v>4572</v>
      </c>
      <c r="Q39" s="143">
        <v>5283</v>
      </c>
      <c r="R39" s="143">
        <v>5804</v>
      </c>
      <c r="S39" s="143">
        <v>6393</v>
      </c>
      <c r="T39" s="141"/>
      <c r="U39" s="141"/>
      <c r="V39" s="141"/>
      <c r="W39" s="173"/>
      <c r="X39" s="141" t="s">
        <v>163</v>
      </c>
      <c r="Y39" s="143">
        <v>12062</v>
      </c>
      <c r="Z39" s="143">
        <v>11920</v>
      </c>
      <c r="AA39" s="143">
        <v>11340</v>
      </c>
      <c r="AB39" s="143">
        <v>12647</v>
      </c>
      <c r="AC39" s="143">
        <v>13643</v>
      </c>
      <c r="AD39" s="143">
        <v>14971</v>
      </c>
    </row>
    <row r="40" spans="1:30" x14ac:dyDescent="0.3">
      <c r="A40" s="174" t="s">
        <v>10</v>
      </c>
      <c r="B40" s="144" t="s">
        <v>152</v>
      </c>
      <c r="C40" s="145">
        <v>965</v>
      </c>
      <c r="D40" s="145">
        <v>903</v>
      </c>
      <c r="E40" s="145">
        <v>845</v>
      </c>
      <c r="F40" s="145">
        <v>746</v>
      </c>
      <c r="G40" s="145">
        <v>863</v>
      </c>
      <c r="H40" s="145">
        <v>940</v>
      </c>
      <c r="I40" s="141"/>
      <c r="J40" s="141"/>
      <c r="K40" s="141"/>
      <c r="L40" s="174" t="s">
        <v>10</v>
      </c>
      <c r="M40" s="144" t="s">
        <v>152</v>
      </c>
      <c r="N40" s="145">
        <v>1524</v>
      </c>
      <c r="O40" s="145">
        <v>1484</v>
      </c>
      <c r="P40" s="145">
        <v>1345</v>
      </c>
      <c r="Q40" s="145">
        <v>1161</v>
      </c>
      <c r="R40" s="145">
        <v>1371</v>
      </c>
      <c r="S40" s="145">
        <v>1490</v>
      </c>
      <c r="T40" s="141"/>
      <c r="U40" s="141"/>
      <c r="V40" s="141"/>
      <c r="W40" s="174" t="s">
        <v>10</v>
      </c>
      <c r="X40" s="144" t="s">
        <v>152</v>
      </c>
      <c r="Y40" s="145">
        <v>3933</v>
      </c>
      <c r="Z40" s="145">
        <v>3572</v>
      </c>
      <c r="AA40" s="145">
        <v>3296</v>
      </c>
      <c r="AB40" s="145">
        <v>2823</v>
      </c>
      <c r="AC40" s="145">
        <v>3236</v>
      </c>
      <c r="AD40" s="145">
        <v>3521</v>
      </c>
    </row>
    <row r="41" spans="1:30" x14ac:dyDescent="0.3">
      <c r="A41" s="174"/>
      <c r="B41" s="144" t="s">
        <v>153</v>
      </c>
      <c r="C41" s="145">
        <v>830</v>
      </c>
      <c r="D41" s="145">
        <v>927</v>
      </c>
      <c r="E41" s="145">
        <v>832</v>
      </c>
      <c r="F41" s="145">
        <v>742</v>
      </c>
      <c r="G41" s="145">
        <v>875</v>
      </c>
      <c r="H41" s="145">
        <v>960</v>
      </c>
      <c r="I41" s="141"/>
      <c r="J41" s="141"/>
      <c r="K41" s="141"/>
      <c r="L41" s="174"/>
      <c r="M41" s="144" t="s">
        <v>153</v>
      </c>
      <c r="N41" s="145">
        <v>1308</v>
      </c>
      <c r="O41" s="145">
        <v>1531</v>
      </c>
      <c r="P41" s="145">
        <v>1308</v>
      </c>
      <c r="Q41" s="145">
        <v>1145</v>
      </c>
      <c r="R41" s="145">
        <v>1427</v>
      </c>
      <c r="S41" s="145">
        <v>1543</v>
      </c>
      <c r="T41" s="141"/>
      <c r="U41" s="141"/>
      <c r="V41" s="141"/>
      <c r="W41" s="174"/>
      <c r="X41" s="144" t="s">
        <v>153</v>
      </c>
      <c r="Y41" s="145">
        <v>3269</v>
      </c>
      <c r="Z41" s="145">
        <v>3681</v>
      </c>
      <c r="AA41" s="145">
        <v>3172</v>
      </c>
      <c r="AB41" s="145">
        <v>2787</v>
      </c>
      <c r="AC41" s="145">
        <v>3300</v>
      </c>
      <c r="AD41" s="145">
        <v>3619</v>
      </c>
    </row>
    <row r="42" spans="1:30" x14ac:dyDescent="0.3">
      <c r="A42" s="174"/>
      <c r="B42" s="144" t="s">
        <v>154</v>
      </c>
      <c r="C42" s="145">
        <v>825</v>
      </c>
      <c r="D42" s="145">
        <v>938</v>
      </c>
      <c r="E42" s="145">
        <v>820</v>
      </c>
      <c r="F42" s="145">
        <v>748</v>
      </c>
      <c r="G42" s="145">
        <v>892</v>
      </c>
      <c r="H42" s="145">
        <v>958</v>
      </c>
      <c r="I42" s="141"/>
      <c r="J42" s="141"/>
      <c r="K42" s="141"/>
      <c r="L42" s="174"/>
      <c r="M42" s="144" t="s">
        <v>154</v>
      </c>
      <c r="N42" s="145">
        <v>1322</v>
      </c>
      <c r="O42" s="145">
        <v>1535</v>
      </c>
      <c r="P42" s="145">
        <v>1291</v>
      </c>
      <c r="Q42" s="145">
        <v>1154</v>
      </c>
      <c r="R42" s="145">
        <v>1441</v>
      </c>
      <c r="S42" s="145">
        <v>1520</v>
      </c>
      <c r="T42" s="141"/>
      <c r="U42" s="141"/>
      <c r="V42" s="141"/>
      <c r="W42" s="174"/>
      <c r="X42" s="144" t="s">
        <v>154</v>
      </c>
      <c r="Y42" s="145">
        <v>3279</v>
      </c>
      <c r="Z42" s="145">
        <v>3722</v>
      </c>
      <c r="AA42" s="145">
        <v>3093</v>
      </c>
      <c r="AB42" s="145">
        <v>2811</v>
      </c>
      <c r="AC42" s="145">
        <v>3399</v>
      </c>
      <c r="AD42" s="145">
        <v>3613</v>
      </c>
    </row>
    <row r="43" spans="1:30" x14ac:dyDescent="0.3">
      <c r="A43" s="174"/>
      <c r="B43" s="144" t="s">
        <v>155</v>
      </c>
      <c r="C43" s="145">
        <v>891</v>
      </c>
      <c r="D43" s="145">
        <v>923</v>
      </c>
      <c r="E43" s="145">
        <v>822</v>
      </c>
      <c r="F43" s="145">
        <v>768</v>
      </c>
      <c r="G43" s="145">
        <v>899</v>
      </c>
      <c r="H43" s="145">
        <v>982</v>
      </c>
      <c r="I43" s="141"/>
      <c r="J43" s="141"/>
      <c r="K43" s="141"/>
      <c r="L43" s="174"/>
      <c r="M43" s="144" t="s">
        <v>155</v>
      </c>
      <c r="N43" s="145">
        <v>1436</v>
      </c>
      <c r="O43" s="145">
        <v>1510</v>
      </c>
      <c r="P43" s="145">
        <v>1298</v>
      </c>
      <c r="Q43" s="145">
        <v>1179</v>
      </c>
      <c r="R43" s="145">
        <v>1428</v>
      </c>
      <c r="S43" s="145">
        <v>1545</v>
      </c>
      <c r="T43" s="141"/>
      <c r="U43" s="141"/>
      <c r="V43" s="141"/>
      <c r="W43" s="174"/>
      <c r="X43" s="144" t="s">
        <v>155</v>
      </c>
      <c r="Y43" s="145">
        <v>3493</v>
      </c>
      <c r="Z43" s="145">
        <v>3670</v>
      </c>
      <c r="AA43" s="145">
        <v>3107</v>
      </c>
      <c r="AB43" s="145">
        <v>2865</v>
      </c>
      <c r="AC43" s="145">
        <v>3413</v>
      </c>
      <c r="AD43" s="145">
        <v>3705</v>
      </c>
    </row>
    <row r="44" spans="1:30" x14ac:dyDescent="0.3">
      <c r="A44" s="174"/>
      <c r="B44" s="144" t="s">
        <v>156</v>
      </c>
      <c r="C44" s="145">
        <v>937</v>
      </c>
      <c r="D44" s="145">
        <v>920</v>
      </c>
      <c r="E44" s="145">
        <v>812</v>
      </c>
      <c r="F44" s="145">
        <v>779</v>
      </c>
      <c r="G44" s="145">
        <v>918</v>
      </c>
      <c r="H44" s="145">
        <v>1006</v>
      </c>
      <c r="I44" s="141"/>
      <c r="J44" s="141"/>
      <c r="K44" s="141"/>
      <c r="L44" s="174"/>
      <c r="M44" s="144" t="s">
        <v>156</v>
      </c>
      <c r="N44" s="145">
        <v>1489</v>
      </c>
      <c r="O44" s="145">
        <v>1502</v>
      </c>
      <c r="P44" s="145">
        <v>1275</v>
      </c>
      <c r="Q44" s="145">
        <v>1172</v>
      </c>
      <c r="R44" s="145">
        <v>1437</v>
      </c>
      <c r="S44" s="145">
        <v>1591</v>
      </c>
      <c r="T44" s="141"/>
      <c r="U44" s="141"/>
      <c r="V44" s="141"/>
      <c r="W44" s="174"/>
      <c r="X44" s="144" t="s">
        <v>156</v>
      </c>
      <c r="Y44" s="145">
        <v>3643</v>
      </c>
      <c r="Z44" s="145">
        <v>3655</v>
      </c>
      <c r="AA44" s="145">
        <v>3078</v>
      </c>
      <c r="AB44" s="145">
        <v>2858</v>
      </c>
      <c r="AC44" s="145">
        <v>3480</v>
      </c>
      <c r="AD44" s="145">
        <v>3832</v>
      </c>
    </row>
    <row r="45" spans="1:30" x14ac:dyDescent="0.3">
      <c r="A45" s="174"/>
      <c r="B45" s="144" t="s">
        <v>157</v>
      </c>
      <c r="C45" s="145">
        <v>967</v>
      </c>
      <c r="D45" s="145">
        <v>925</v>
      </c>
      <c r="E45" s="145">
        <v>797</v>
      </c>
      <c r="F45" s="145">
        <v>854</v>
      </c>
      <c r="G45" s="145">
        <v>959</v>
      </c>
      <c r="H45" s="145">
        <v>1004</v>
      </c>
      <c r="I45" s="141"/>
      <c r="J45" s="141"/>
      <c r="K45" s="141"/>
      <c r="L45" s="174"/>
      <c r="M45" s="144" t="s">
        <v>157</v>
      </c>
      <c r="N45" s="145">
        <v>1568</v>
      </c>
      <c r="O45" s="145">
        <v>1503</v>
      </c>
      <c r="P45" s="145">
        <v>1242</v>
      </c>
      <c r="Q45" s="145">
        <v>1279</v>
      </c>
      <c r="R45" s="145">
        <v>1520</v>
      </c>
      <c r="S45" s="145">
        <v>1586</v>
      </c>
      <c r="T45" s="141"/>
      <c r="U45" s="141"/>
      <c r="V45" s="141"/>
      <c r="W45" s="174"/>
      <c r="X45" s="144" t="s">
        <v>157</v>
      </c>
      <c r="Y45" s="145">
        <v>3824</v>
      </c>
      <c r="Z45" s="145">
        <v>3679</v>
      </c>
      <c r="AA45" s="145">
        <v>3037</v>
      </c>
      <c r="AB45" s="145">
        <v>3132</v>
      </c>
      <c r="AC45" s="145">
        <v>3623</v>
      </c>
      <c r="AD45" s="145">
        <v>3916</v>
      </c>
    </row>
    <row r="46" spans="1:30" x14ac:dyDescent="0.3">
      <c r="A46" s="174"/>
      <c r="B46" s="144" t="s">
        <v>158</v>
      </c>
      <c r="C46" s="145">
        <v>1000</v>
      </c>
      <c r="D46" s="145">
        <v>925</v>
      </c>
      <c r="E46" s="145">
        <v>783</v>
      </c>
      <c r="F46" s="145">
        <v>903</v>
      </c>
      <c r="G46" s="145">
        <v>1008</v>
      </c>
      <c r="H46" s="145">
        <v>1049</v>
      </c>
      <c r="I46" s="141"/>
      <c r="J46" s="141"/>
      <c r="K46" s="141"/>
      <c r="L46" s="174"/>
      <c r="M46" s="144" t="s">
        <v>158</v>
      </c>
      <c r="N46" s="145">
        <v>1615</v>
      </c>
      <c r="O46" s="145">
        <v>1499</v>
      </c>
      <c r="P46" s="145">
        <v>1220</v>
      </c>
      <c r="Q46" s="145">
        <v>1448</v>
      </c>
      <c r="R46" s="145">
        <v>1624</v>
      </c>
      <c r="S46" s="145">
        <v>1676</v>
      </c>
      <c r="T46" s="141"/>
      <c r="U46" s="141"/>
      <c r="V46" s="141"/>
      <c r="W46" s="174"/>
      <c r="X46" s="144" t="s">
        <v>158</v>
      </c>
      <c r="Y46" s="145">
        <v>3955</v>
      </c>
      <c r="Z46" s="145">
        <v>3632</v>
      </c>
      <c r="AA46" s="145">
        <v>2962</v>
      </c>
      <c r="AB46" s="145">
        <v>3430</v>
      </c>
      <c r="AC46" s="145">
        <v>3811</v>
      </c>
      <c r="AD46" s="145">
        <v>4086</v>
      </c>
    </row>
    <row r="47" spans="1:30" x14ac:dyDescent="0.3">
      <c r="A47" s="174"/>
      <c r="B47" s="144" t="s">
        <v>159</v>
      </c>
      <c r="C47" s="145">
        <v>957</v>
      </c>
      <c r="D47" s="145">
        <v>913</v>
      </c>
      <c r="E47" s="145">
        <v>786</v>
      </c>
      <c r="F47" s="145">
        <v>864</v>
      </c>
      <c r="G47" s="145">
        <v>974</v>
      </c>
      <c r="H47" s="145">
        <v>1048</v>
      </c>
      <c r="I47" s="141"/>
      <c r="J47" s="141"/>
      <c r="K47" s="141"/>
      <c r="L47" s="174"/>
      <c r="M47" s="144" t="s">
        <v>159</v>
      </c>
      <c r="N47" s="145">
        <v>1543</v>
      </c>
      <c r="O47" s="145">
        <v>1482</v>
      </c>
      <c r="P47" s="145">
        <v>1241</v>
      </c>
      <c r="Q47" s="145">
        <v>1383</v>
      </c>
      <c r="R47" s="145">
        <v>1563</v>
      </c>
      <c r="S47" s="145">
        <v>1674</v>
      </c>
      <c r="T47" s="141"/>
      <c r="U47" s="141"/>
      <c r="V47" s="141"/>
      <c r="W47" s="174"/>
      <c r="X47" s="144" t="s">
        <v>159</v>
      </c>
      <c r="Y47" s="145">
        <v>3799</v>
      </c>
      <c r="Z47" s="145">
        <v>3582</v>
      </c>
      <c r="AA47" s="145">
        <v>2989</v>
      </c>
      <c r="AB47" s="145">
        <v>3278</v>
      </c>
      <c r="AC47" s="145">
        <v>3667</v>
      </c>
      <c r="AD47" s="145">
        <v>4100</v>
      </c>
    </row>
    <row r="48" spans="1:30" x14ac:dyDescent="0.3">
      <c r="A48" s="174"/>
      <c r="B48" s="144" t="s">
        <v>160</v>
      </c>
      <c r="C48" s="145">
        <v>954</v>
      </c>
      <c r="D48" s="145">
        <v>906</v>
      </c>
      <c r="E48" s="145">
        <v>764</v>
      </c>
      <c r="F48" s="145">
        <v>834</v>
      </c>
      <c r="G48" s="145">
        <v>943</v>
      </c>
      <c r="H48" s="145">
        <v>1063</v>
      </c>
      <c r="I48" s="141"/>
      <c r="J48" s="141"/>
      <c r="K48" s="141"/>
      <c r="L48" s="174"/>
      <c r="M48" s="144" t="s">
        <v>160</v>
      </c>
      <c r="N48" s="145">
        <v>1527</v>
      </c>
      <c r="O48" s="145">
        <v>1477</v>
      </c>
      <c r="P48" s="145">
        <v>1192</v>
      </c>
      <c r="Q48" s="145">
        <v>1323</v>
      </c>
      <c r="R48" s="145">
        <v>1502</v>
      </c>
      <c r="S48" s="145">
        <v>1706</v>
      </c>
      <c r="T48" s="141"/>
      <c r="U48" s="141"/>
      <c r="V48" s="141"/>
      <c r="W48" s="174"/>
      <c r="X48" s="144" t="s">
        <v>160</v>
      </c>
      <c r="Y48" s="145">
        <v>3748</v>
      </c>
      <c r="Z48" s="145">
        <v>3576</v>
      </c>
      <c r="AA48" s="145">
        <v>2888</v>
      </c>
      <c r="AB48" s="145">
        <v>3159</v>
      </c>
      <c r="AC48" s="145">
        <v>3550</v>
      </c>
      <c r="AD48" s="145">
        <v>4161</v>
      </c>
    </row>
    <row r="49" spans="1:30" x14ac:dyDescent="0.3">
      <c r="A49" s="174"/>
      <c r="B49" s="144" t="s">
        <v>161</v>
      </c>
      <c r="C49" s="145">
        <v>933</v>
      </c>
      <c r="D49" s="145">
        <v>855</v>
      </c>
      <c r="E49" s="145">
        <v>757</v>
      </c>
      <c r="F49" s="145">
        <v>846</v>
      </c>
      <c r="G49" s="145">
        <v>924</v>
      </c>
      <c r="H49" s="145">
        <v>1031</v>
      </c>
      <c r="I49" s="141"/>
      <c r="J49" s="141"/>
      <c r="K49" s="141"/>
      <c r="L49" s="174"/>
      <c r="M49" s="144" t="s">
        <v>161</v>
      </c>
      <c r="N49" s="145">
        <v>1507</v>
      </c>
      <c r="O49" s="145">
        <v>1395</v>
      </c>
      <c r="P49" s="145">
        <v>1183</v>
      </c>
      <c r="Q49" s="145">
        <v>1356</v>
      </c>
      <c r="R49" s="145">
        <v>1464</v>
      </c>
      <c r="S49" s="145">
        <v>1651</v>
      </c>
      <c r="T49" s="141"/>
      <c r="U49" s="141"/>
      <c r="V49" s="141"/>
      <c r="W49" s="174"/>
      <c r="X49" s="144" t="s">
        <v>161</v>
      </c>
      <c r="Y49" s="145">
        <v>3662</v>
      </c>
      <c r="Z49" s="145">
        <v>3368</v>
      </c>
      <c r="AA49" s="145">
        <v>2874</v>
      </c>
      <c r="AB49" s="145">
        <v>3209</v>
      </c>
      <c r="AC49" s="145">
        <v>3475</v>
      </c>
      <c r="AD49" s="145">
        <v>4056</v>
      </c>
    </row>
    <row r="50" spans="1:30" x14ac:dyDescent="0.3">
      <c r="A50" s="174"/>
      <c r="B50" s="144" t="s">
        <v>162</v>
      </c>
      <c r="C50" s="145">
        <v>891</v>
      </c>
      <c r="D50" s="145">
        <v>840</v>
      </c>
      <c r="E50" s="145">
        <v>758</v>
      </c>
      <c r="F50" s="145">
        <v>869</v>
      </c>
      <c r="G50" s="145">
        <v>922</v>
      </c>
      <c r="H50" s="145">
        <v>1036</v>
      </c>
      <c r="I50" s="141"/>
      <c r="J50" s="141"/>
      <c r="K50" s="141"/>
      <c r="L50" s="174"/>
      <c r="M50" s="144" t="s">
        <v>162</v>
      </c>
      <c r="N50" s="145">
        <v>1445</v>
      </c>
      <c r="O50" s="145">
        <v>1342</v>
      </c>
      <c r="P50" s="145">
        <v>1183</v>
      </c>
      <c r="Q50" s="145">
        <v>1391</v>
      </c>
      <c r="R50" s="145">
        <v>1451</v>
      </c>
      <c r="S50" s="145">
        <v>1662</v>
      </c>
      <c r="T50" s="141"/>
      <c r="U50" s="141"/>
      <c r="V50" s="141"/>
      <c r="W50" s="174"/>
      <c r="X50" s="144" t="s">
        <v>162</v>
      </c>
      <c r="Y50" s="145">
        <v>3534</v>
      </c>
      <c r="Z50" s="145">
        <v>3277</v>
      </c>
      <c r="AA50" s="145">
        <v>2870</v>
      </c>
      <c r="AB50" s="145">
        <v>3306</v>
      </c>
      <c r="AC50" s="145">
        <v>3452</v>
      </c>
      <c r="AD50" s="145">
        <v>4076</v>
      </c>
    </row>
    <row r="51" spans="1:30" x14ac:dyDescent="0.3">
      <c r="A51" s="174"/>
      <c r="B51" s="144" t="s">
        <v>163</v>
      </c>
      <c r="C51" s="145">
        <v>905</v>
      </c>
      <c r="D51" s="145">
        <v>844</v>
      </c>
      <c r="E51" s="145">
        <v>749</v>
      </c>
      <c r="F51" s="145">
        <v>869</v>
      </c>
      <c r="G51" s="145">
        <v>957</v>
      </c>
      <c r="H51" s="145">
        <v>1063</v>
      </c>
      <c r="I51" s="141"/>
      <c r="J51" s="141"/>
      <c r="K51" s="141"/>
      <c r="L51" s="174"/>
      <c r="M51" s="144" t="s">
        <v>163</v>
      </c>
      <c r="N51" s="145">
        <v>1484</v>
      </c>
      <c r="O51" s="145">
        <v>1347</v>
      </c>
      <c r="P51" s="145">
        <v>1172</v>
      </c>
      <c r="Q51" s="145">
        <v>1386</v>
      </c>
      <c r="R51" s="145">
        <v>1526</v>
      </c>
      <c r="S51" s="145">
        <v>1722</v>
      </c>
      <c r="T51" s="141"/>
      <c r="U51" s="141"/>
      <c r="V51" s="141"/>
      <c r="W51" s="174"/>
      <c r="X51" s="144" t="s">
        <v>163</v>
      </c>
      <c r="Y51" s="145">
        <v>3604</v>
      </c>
      <c r="Z51" s="145">
        <v>3305</v>
      </c>
      <c r="AA51" s="145">
        <v>2845</v>
      </c>
      <c r="AB51" s="145">
        <v>3280</v>
      </c>
      <c r="AC51" s="145">
        <v>3590</v>
      </c>
      <c r="AD51" s="145">
        <v>4073</v>
      </c>
    </row>
    <row r="52" spans="1:30" x14ac:dyDescent="0.3">
      <c r="A52" s="173" t="s">
        <v>164</v>
      </c>
      <c r="B52" s="141" t="s">
        <v>152</v>
      </c>
      <c r="C52" s="143">
        <v>514</v>
      </c>
      <c r="D52" s="143">
        <v>559</v>
      </c>
      <c r="E52" s="143">
        <v>527</v>
      </c>
      <c r="F52" s="143">
        <v>500</v>
      </c>
      <c r="G52" s="143">
        <v>621</v>
      </c>
      <c r="H52" s="143">
        <v>746</v>
      </c>
      <c r="I52" s="141"/>
      <c r="J52" s="141"/>
      <c r="K52" s="141"/>
      <c r="L52" s="173" t="s">
        <v>164</v>
      </c>
      <c r="M52" s="141" t="s">
        <v>152</v>
      </c>
      <c r="N52" s="143">
        <v>778</v>
      </c>
      <c r="O52" s="143">
        <v>842</v>
      </c>
      <c r="P52" s="143">
        <v>778</v>
      </c>
      <c r="Q52" s="143">
        <v>711</v>
      </c>
      <c r="R52" s="143">
        <v>903</v>
      </c>
      <c r="S52" s="143">
        <v>1045</v>
      </c>
      <c r="T52" s="141"/>
      <c r="U52" s="141"/>
      <c r="V52" s="141"/>
      <c r="W52" s="173" t="s">
        <v>164</v>
      </c>
      <c r="X52" s="141" t="s">
        <v>152</v>
      </c>
      <c r="Y52" s="143">
        <v>2030</v>
      </c>
      <c r="Z52" s="143">
        <v>2216</v>
      </c>
      <c r="AA52" s="143">
        <v>2055</v>
      </c>
      <c r="AB52" s="143">
        <v>1946</v>
      </c>
      <c r="AC52" s="143">
        <v>2365</v>
      </c>
      <c r="AD52" s="143">
        <v>2785</v>
      </c>
    </row>
    <row r="53" spans="1:30" x14ac:dyDescent="0.3">
      <c r="A53" s="173"/>
      <c r="B53" s="141" t="s">
        <v>153</v>
      </c>
      <c r="C53" s="143">
        <v>460</v>
      </c>
      <c r="D53" s="143">
        <v>554</v>
      </c>
      <c r="E53" s="143">
        <v>510</v>
      </c>
      <c r="F53" s="143">
        <v>508</v>
      </c>
      <c r="G53" s="143">
        <v>620</v>
      </c>
      <c r="H53" s="143">
        <v>754</v>
      </c>
      <c r="I53" s="141"/>
      <c r="J53" s="141"/>
      <c r="K53" s="141"/>
      <c r="L53" s="173"/>
      <c r="M53" s="141" t="s">
        <v>153</v>
      </c>
      <c r="N53" s="143">
        <v>708</v>
      </c>
      <c r="O53" s="143">
        <v>824</v>
      </c>
      <c r="P53" s="143">
        <v>747</v>
      </c>
      <c r="Q53" s="143">
        <v>720</v>
      </c>
      <c r="R53" s="143">
        <v>903</v>
      </c>
      <c r="S53" s="143">
        <v>1055</v>
      </c>
      <c r="T53" s="141"/>
      <c r="U53" s="141"/>
      <c r="V53" s="141"/>
      <c r="W53" s="173"/>
      <c r="X53" s="141" t="s">
        <v>153</v>
      </c>
      <c r="Y53" s="143">
        <v>1865</v>
      </c>
      <c r="Z53" s="143">
        <v>2200</v>
      </c>
      <c r="AA53" s="143">
        <v>1990</v>
      </c>
      <c r="AB53" s="143">
        <v>1963</v>
      </c>
      <c r="AC53" s="143">
        <v>2376</v>
      </c>
      <c r="AD53" s="143">
        <v>2803</v>
      </c>
    </row>
    <row r="54" spans="1:30" x14ac:dyDescent="0.3">
      <c r="A54" s="173"/>
      <c r="B54" s="141" t="s">
        <v>154</v>
      </c>
      <c r="C54" s="143">
        <v>473</v>
      </c>
      <c r="D54" s="143">
        <v>550</v>
      </c>
      <c r="E54" s="143">
        <v>517</v>
      </c>
      <c r="F54" s="143">
        <v>528</v>
      </c>
      <c r="G54" s="143">
        <v>618</v>
      </c>
      <c r="H54" s="143">
        <v>809</v>
      </c>
      <c r="I54" s="141"/>
      <c r="J54" s="141"/>
      <c r="K54" s="141"/>
      <c r="L54" s="173"/>
      <c r="M54" s="141" t="s">
        <v>154</v>
      </c>
      <c r="N54" s="143">
        <v>731</v>
      </c>
      <c r="O54" s="143">
        <v>818</v>
      </c>
      <c r="P54" s="143">
        <v>757</v>
      </c>
      <c r="Q54" s="143">
        <v>753</v>
      </c>
      <c r="R54" s="143">
        <v>896</v>
      </c>
      <c r="S54" s="143">
        <v>1149</v>
      </c>
      <c r="T54" s="141"/>
      <c r="U54" s="141"/>
      <c r="V54" s="141"/>
      <c r="W54" s="173"/>
      <c r="X54" s="141" t="s">
        <v>154</v>
      </c>
      <c r="Y54" s="143">
        <v>1915</v>
      </c>
      <c r="Z54" s="143">
        <v>2179</v>
      </c>
      <c r="AA54" s="143">
        <v>2025</v>
      </c>
      <c r="AB54" s="143">
        <v>2052</v>
      </c>
      <c r="AC54" s="143">
        <v>2375</v>
      </c>
      <c r="AD54" s="143">
        <v>3019</v>
      </c>
    </row>
    <row r="55" spans="1:30" x14ac:dyDescent="0.3">
      <c r="A55" s="173"/>
      <c r="B55" s="141" t="s">
        <v>155</v>
      </c>
      <c r="C55" s="143">
        <v>487</v>
      </c>
      <c r="D55" s="143">
        <v>536</v>
      </c>
      <c r="E55" s="143">
        <v>521</v>
      </c>
      <c r="F55" s="143">
        <v>548</v>
      </c>
      <c r="G55" s="143">
        <v>621</v>
      </c>
      <c r="H55" s="143">
        <v>837</v>
      </c>
      <c r="I55" s="141"/>
      <c r="J55" s="141"/>
      <c r="K55" s="141"/>
      <c r="L55" s="173"/>
      <c r="M55" s="141" t="s">
        <v>155</v>
      </c>
      <c r="N55" s="143">
        <v>751</v>
      </c>
      <c r="O55" s="143">
        <v>785</v>
      </c>
      <c r="P55" s="143">
        <v>764</v>
      </c>
      <c r="Q55" s="143">
        <v>773</v>
      </c>
      <c r="R55" s="143">
        <v>903</v>
      </c>
      <c r="S55" s="143">
        <v>1192</v>
      </c>
      <c r="T55" s="141"/>
      <c r="U55" s="141"/>
      <c r="V55" s="141"/>
      <c r="W55" s="173"/>
      <c r="X55" s="141" t="s">
        <v>155</v>
      </c>
      <c r="Y55" s="143">
        <v>1977</v>
      </c>
      <c r="Z55" s="143">
        <v>2055</v>
      </c>
      <c r="AA55" s="143">
        <v>2033</v>
      </c>
      <c r="AB55" s="143">
        <v>2090</v>
      </c>
      <c r="AC55" s="143">
        <v>2373</v>
      </c>
      <c r="AD55" s="143">
        <v>3122</v>
      </c>
    </row>
    <row r="56" spans="1:30" x14ac:dyDescent="0.3">
      <c r="A56" s="173"/>
      <c r="B56" s="141" t="s">
        <v>156</v>
      </c>
      <c r="C56" s="143">
        <v>518</v>
      </c>
      <c r="D56" s="143">
        <v>558</v>
      </c>
      <c r="E56" s="143">
        <v>529</v>
      </c>
      <c r="F56" s="143">
        <v>567</v>
      </c>
      <c r="G56" s="143">
        <v>694</v>
      </c>
      <c r="H56" s="143">
        <v>867</v>
      </c>
      <c r="I56" s="141"/>
      <c r="J56" s="141"/>
      <c r="K56" s="141"/>
      <c r="L56" s="173"/>
      <c r="M56" s="141" t="s">
        <v>156</v>
      </c>
      <c r="N56" s="143">
        <v>776</v>
      </c>
      <c r="O56" s="143">
        <v>829</v>
      </c>
      <c r="P56" s="143">
        <v>770</v>
      </c>
      <c r="Q56" s="143">
        <v>804</v>
      </c>
      <c r="R56" s="143">
        <v>932</v>
      </c>
      <c r="S56" s="143">
        <v>1247</v>
      </c>
      <c r="T56" s="141"/>
      <c r="U56" s="141"/>
      <c r="V56" s="141"/>
      <c r="W56" s="173"/>
      <c r="X56" s="141" t="s">
        <v>156</v>
      </c>
      <c r="Y56" s="143">
        <v>2052</v>
      </c>
      <c r="Z56" s="143">
        <v>2157</v>
      </c>
      <c r="AA56" s="143">
        <v>2053</v>
      </c>
      <c r="AB56" s="143">
        <v>2144</v>
      </c>
      <c r="AC56" s="143">
        <v>2549</v>
      </c>
      <c r="AD56" s="143">
        <v>3286</v>
      </c>
    </row>
    <row r="57" spans="1:30" x14ac:dyDescent="0.3">
      <c r="A57" s="173"/>
      <c r="B57" s="141" t="s">
        <v>157</v>
      </c>
      <c r="C57" s="143">
        <v>530</v>
      </c>
      <c r="D57" s="143">
        <v>565</v>
      </c>
      <c r="E57" s="143">
        <v>527</v>
      </c>
      <c r="F57" s="143">
        <v>617</v>
      </c>
      <c r="G57" s="143">
        <v>726</v>
      </c>
      <c r="H57" s="143">
        <v>908</v>
      </c>
      <c r="I57" s="141"/>
      <c r="J57" s="141"/>
      <c r="K57" s="141"/>
      <c r="L57" s="173"/>
      <c r="M57" s="141" t="s">
        <v>157</v>
      </c>
      <c r="N57" s="143">
        <v>797</v>
      </c>
      <c r="O57" s="143">
        <v>829</v>
      </c>
      <c r="P57" s="143">
        <v>753</v>
      </c>
      <c r="Q57" s="143">
        <v>882</v>
      </c>
      <c r="R57" s="143">
        <v>1035</v>
      </c>
      <c r="S57" s="143">
        <v>1317</v>
      </c>
      <c r="T57" s="141"/>
      <c r="U57" s="141"/>
      <c r="V57" s="141"/>
      <c r="W57" s="173"/>
      <c r="X57" s="141" t="s">
        <v>157</v>
      </c>
      <c r="Y57" s="143">
        <v>2134</v>
      </c>
      <c r="Z57" s="143">
        <v>2171</v>
      </c>
      <c r="AA57" s="143">
        <v>2038</v>
      </c>
      <c r="AB57" s="143">
        <v>2321</v>
      </c>
      <c r="AC57" s="143">
        <v>2760</v>
      </c>
      <c r="AD57" s="143">
        <v>3465</v>
      </c>
    </row>
    <row r="58" spans="1:30" x14ac:dyDescent="0.3">
      <c r="A58" s="173"/>
      <c r="B58" s="141" t="s">
        <v>158</v>
      </c>
      <c r="C58" s="143">
        <v>565</v>
      </c>
      <c r="D58" s="143">
        <v>575</v>
      </c>
      <c r="E58" s="143">
        <v>522</v>
      </c>
      <c r="F58" s="143">
        <v>637</v>
      </c>
      <c r="G58" s="143">
        <v>774</v>
      </c>
      <c r="H58" s="143">
        <v>959</v>
      </c>
      <c r="I58" s="141"/>
      <c r="J58" s="141"/>
      <c r="K58" s="141"/>
      <c r="L58" s="173"/>
      <c r="M58" s="141" t="s">
        <v>158</v>
      </c>
      <c r="N58" s="143">
        <v>857</v>
      </c>
      <c r="O58" s="143">
        <v>842</v>
      </c>
      <c r="P58" s="143">
        <v>737</v>
      </c>
      <c r="Q58" s="143">
        <v>931</v>
      </c>
      <c r="R58" s="143">
        <v>1053</v>
      </c>
      <c r="S58" s="143">
        <v>1387</v>
      </c>
      <c r="T58" s="141"/>
      <c r="U58" s="141"/>
      <c r="V58" s="141"/>
      <c r="W58" s="173"/>
      <c r="X58" s="141" t="s">
        <v>158</v>
      </c>
      <c r="Y58" s="143">
        <v>2281</v>
      </c>
      <c r="Z58" s="143">
        <v>2206</v>
      </c>
      <c r="AA58" s="143">
        <v>2001</v>
      </c>
      <c r="AB58" s="143">
        <v>2468</v>
      </c>
      <c r="AC58" s="143">
        <v>2843</v>
      </c>
      <c r="AD58" s="143">
        <v>3628</v>
      </c>
    </row>
    <row r="59" spans="1:30" x14ac:dyDescent="0.3">
      <c r="A59" s="173"/>
      <c r="B59" s="141" t="s">
        <v>159</v>
      </c>
      <c r="C59" s="143">
        <v>553</v>
      </c>
      <c r="D59" s="143">
        <v>581</v>
      </c>
      <c r="E59" s="143">
        <v>517</v>
      </c>
      <c r="F59" s="143">
        <v>629</v>
      </c>
      <c r="G59" s="143">
        <v>757</v>
      </c>
      <c r="H59" s="143">
        <v>991</v>
      </c>
      <c r="I59" s="141"/>
      <c r="J59" s="141"/>
      <c r="K59" s="141"/>
      <c r="L59" s="173"/>
      <c r="M59" s="141" t="s">
        <v>159</v>
      </c>
      <c r="N59" s="143">
        <v>841</v>
      </c>
      <c r="O59" s="143">
        <v>849</v>
      </c>
      <c r="P59" s="143">
        <v>718</v>
      </c>
      <c r="Q59" s="143">
        <v>924</v>
      </c>
      <c r="R59" s="143">
        <v>1056</v>
      </c>
      <c r="S59" s="143">
        <v>1431</v>
      </c>
      <c r="T59" s="141"/>
      <c r="U59" s="141"/>
      <c r="V59" s="141"/>
      <c r="W59" s="173"/>
      <c r="X59" s="141" t="s">
        <v>159</v>
      </c>
      <c r="Y59" s="143">
        <v>2242</v>
      </c>
      <c r="Z59" s="143">
        <v>2253</v>
      </c>
      <c r="AA59" s="143">
        <v>1968</v>
      </c>
      <c r="AB59" s="143">
        <v>2434</v>
      </c>
      <c r="AC59" s="143">
        <v>2816</v>
      </c>
      <c r="AD59" s="143">
        <v>3740</v>
      </c>
    </row>
    <row r="60" spans="1:30" x14ac:dyDescent="0.3">
      <c r="A60" s="173"/>
      <c r="B60" s="141" t="s">
        <v>160</v>
      </c>
      <c r="C60" s="143">
        <v>570</v>
      </c>
      <c r="D60" s="143">
        <v>597</v>
      </c>
      <c r="E60" s="143">
        <v>519</v>
      </c>
      <c r="F60" s="143">
        <v>590</v>
      </c>
      <c r="G60" s="143">
        <v>752</v>
      </c>
      <c r="H60" s="143">
        <v>987</v>
      </c>
      <c r="I60" s="141"/>
      <c r="J60" s="141"/>
      <c r="K60" s="141"/>
      <c r="L60" s="173"/>
      <c r="M60" s="141" t="s">
        <v>160</v>
      </c>
      <c r="N60" s="143">
        <v>869</v>
      </c>
      <c r="O60" s="143">
        <v>880</v>
      </c>
      <c r="P60" s="143">
        <v>721</v>
      </c>
      <c r="Q60" s="143">
        <v>859</v>
      </c>
      <c r="R60" s="143">
        <v>1052</v>
      </c>
      <c r="S60" s="143">
        <v>1422</v>
      </c>
      <c r="T60" s="141"/>
      <c r="U60" s="141"/>
      <c r="V60" s="141"/>
      <c r="W60" s="173"/>
      <c r="X60" s="141" t="s">
        <v>160</v>
      </c>
      <c r="Y60" s="143">
        <v>2305</v>
      </c>
      <c r="Z60" s="143">
        <v>2355</v>
      </c>
      <c r="AA60" s="143">
        <v>1988</v>
      </c>
      <c r="AB60" s="143">
        <v>2230</v>
      </c>
      <c r="AC60" s="143">
        <v>2790</v>
      </c>
      <c r="AD60" s="143">
        <v>3727</v>
      </c>
    </row>
    <row r="61" spans="1:30" x14ac:dyDescent="0.3">
      <c r="A61" s="173"/>
      <c r="B61" s="141" t="s">
        <v>161</v>
      </c>
      <c r="C61" s="143">
        <v>561</v>
      </c>
      <c r="D61" s="143">
        <v>552</v>
      </c>
      <c r="E61" s="143">
        <v>516</v>
      </c>
      <c r="F61" s="143">
        <v>589</v>
      </c>
      <c r="G61" s="143">
        <v>749</v>
      </c>
      <c r="H61" s="143">
        <v>963</v>
      </c>
      <c r="I61" s="141"/>
      <c r="J61" s="141"/>
      <c r="K61" s="141"/>
      <c r="L61" s="173"/>
      <c r="M61" s="141" t="s">
        <v>161</v>
      </c>
      <c r="N61" s="143">
        <v>846</v>
      </c>
      <c r="O61" s="143">
        <v>811</v>
      </c>
      <c r="P61" s="143">
        <v>733</v>
      </c>
      <c r="Q61" s="143">
        <v>872</v>
      </c>
      <c r="R61" s="143">
        <v>1049</v>
      </c>
      <c r="S61" s="143">
        <v>1386</v>
      </c>
      <c r="T61" s="141"/>
      <c r="U61" s="141"/>
      <c r="V61" s="141"/>
      <c r="W61" s="173"/>
      <c r="X61" s="141" t="s">
        <v>161</v>
      </c>
      <c r="Y61" s="143">
        <v>2231</v>
      </c>
      <c r="Z61" s="143">
        <v>2151</v>
      </c>
      <c r="AA61" s="143">
        <v>1990</v>
      </c>
      <c r="AB61" s="143">
        <v>2262</v>
      </c>
      <c r="AC61" s="143">
        <v>2795</v>
      </c>
      <c r="AD61" s="143">
        <v>3662</v>
      </c>
    </row>
    <row r="62" spans="1:30" x14ac:dyDescent="0.3">
      <c r="A62" s="173"/>
      <c r="B62" s="141" t="s">
        <v>162</v>
      </c>
      <c r="C62" s="143">
        <v>533</v>
      </c>
      <c r="D62" s="143">
        <v>529</v>
      </c>
      <c r="E62" s="143">
        <v>500</v>
      </c>
      <c r="F62" s="143">
        <v>584</v>
      </c>
      <c r="G62" s="143">
        <v>738</v>
      </c>
      <c r="H62" s="143">
        <v>957</v>
      </c>
      <c r="I62" s="141"/>
      <c r="J62" s="141"/>
      <c r="K62" s="141"/>
      <c r="L62" s="173"/>
      <c r="M62" s="141" t="s">
        <v>162</v>
      </c>
      <c r="N62" s="143">
        <v>809</v>
      </c>
      <c r="O62" s="143">
        <v>785</v>
      </c>
      <c r="P62" s="143">
        <v>707</v>
      </c>
      <c r="Q62" s="143">
        <v>849</v>
      </c>
      <c r="R62" s="143">
        <v>1038</v>
      </c>
      <c r="S62" s="143">
        <v>1387</v>
      </c>
      <c r="T62" s="141"/>
      <c r="U62" s="141"/>
      <c r="V62" s="141"/>
      <c r="W62" s="173"/>
      <c r="X62" s="141" t="s">
        <v>162</v>
      </c>
      <c r="Y62" s="143">
        <v>2135</v>
      </c>
      <c r="Z62" s="143">
        <v>2075</v>
      </c>
      <c r="AA62" s="143">
        <v>1921</v>
      </c>
      <c r="AB62" s="143">
        <v>2249</v>
      </c>
      <c r="AC62" s="143">
        <v>2727</v>
      </c>
      <c r="AD62" s="143">
        <v>3655</v>
      </c>
    </row>
    <row r="63" spans="1:30" x14ac:dyDescent="0.3">
      <c r="A63" s="173"/>
      <c r="B63" s="141" t="s">
        <v>163</v>
      </c>
      <c r="C63" s="143">
        <v>551</v>
      </c>
      <c r="D63" s="143">
        <v>527</v>
      </c>
      <c r="E63" s="143">
        <v>499</v>
      </c>
      <c r="F63" s="143">
        <v>602</v>
      </c>
      <c r="G63" s="143">
        <v>750</v>
      </c>
      <c r="H63" s="143">
        <v>982</v>
      </c>
      <c r="I63" s="141"/>
      <c r="J63" s="141"/>
      <c r="K63" s="141"/>
      <c r="L63" s="173"/>
      <c r="M63" s="141" t="s">
        <v>163</v>
      </c>
      <c r="N63" s="143">
        <v>839</v>
      </c>
      <c r="O63" s="143">
        <v>780</v>
      </c>
      <c r="P63" s="143">
        <v>712</v>
      </c>
      <c r="Q63" s="143">
        <v>881</v>
      </c>
      <c r="R63" s="143">
        <v>1056</v>
      </c>
      <c r="S63" s="143">
        <v>1434</v>
      </c>
      <c r="T63" s="141"/>
      <c r="U63" s="141"/>
      <c r="V63" s="141"/>
      <c r="W63" s="173"/>
      <c r="X63" s="141" t="s">
        <v>163</v>
      </c>
      <c r="Y63" s="143">
        <v>2203</v>
      </c>
      <c r="Z63" s="143">
        <v>2057</v>
      </c>
      <c r="AA63" s="143">
        <v>1941</v>
      </c>
      <c r="AB63" s="143">
        <v>2327</v>
      </c>
      <c r="AC63" s="143">
        <v>2787</v>
      </c>
      <c r="AD63" s="143">
        <v>3797</v>
      </c>
    </row>
    <row r="64" spans="1:30" x14ac:dyDescent="0.3">
      <c r="A64" s="174" t="s">
        <v>11</v>
      </c>
      <c r="B64" s="144" t="s">
        <v>152</v>
      </c>
      <c r="C64" s="145">
        <v>2041</v>
      </c>
      <c r="D64" s="145">
        <v>1980</v>
      </c>
      <c r="E64" s="145">
        <v>1789</v>
      </c>
      <c r="F64" s="145">
        <v>1555</v>
      </c>
      <c r="G64" s="145">
        <v>1822</v>
      </c>
      <c r="H64" s="145">
        <v>2227</v>
      </c>
      <c r="I64" s="141"/>
      <c r="J64" s="141"/>
      <c r="K64" s="141"/>
      <c r="L64" s="174" t="s">
        <v>11</v>
      </c>
      <c r="M64" s="144" t="s">
        <v>152</v>
      </c>
      <c r="N64" s="145">
        <v>3450</v>
      </c>
      <c r="O64" s="145">
        <v>3353</v>
      </c>
      <c r="P64" s="145">
        <v>3078</v>
      </c>
      <c r="Q64" s="145">
        <v>2678</v>
      </c>
      <c r="R64" s="145">
        <v>3055</v>
      </c>
      <c r="S64" s="145">
        <v>3747</v>
      </c>
      <c r="T64" s="141"/>
      <c r="U64" s="141"/>
      <c r="V64" s="141"/>
      <c r="W64" s="174" t="s">
        <v>11</v>
      </c>
      <c r="X64" s="144" t="s">
        <v>152</v>
      </c>
      <c r="Y64" s="145">
        <v>8600</v>
      </c>
      <c r="Z64" s="145">
        <v>8534</v>
      </c>
      <c r="AA64" s="145">
        <v>7718</v>
      </c>
      <c r="AB64" s="145">
        <v>6623</v>
      </c>
      <c r="AC64" s="145">
        <v>7561</v>
      </c>
      <c r="AD64" s="145">
        <v>8931</v>
      </c>
    </row>
    <row r="65" spans="1:30" x14ac:dyDescent="0.3">
      <c r="A65" s="174"/>
      <c r="B65" s="144" t="s">
        <v>153</v>
      </c>
      <c r="C65" s="145">
        <v>1739</v>
      </c>
      <c r="D65" s="145">
        <v>2001</v>
      </c>
      <c r="E65" s="145">
        <v>1716</v>
      </c>
      <c r="F65" s="145">
        <v>1568</v>
      </c>
      <c r="G65" s="145">
        <v>1826</v>
      </c>
      <c r="H65" s="145">
        <v>2267</v>
      </c>
      <c r="I65" s="141"/>
      <c r="J65" s="141"/>
      <c r="K65" s="141"/>
      <c r="L65" s="174"/>
      <c r="M65" s="144" t="s">
        <v>153</v>
      </c>
      <c r="N65" s="145">
        <v>2956</v>
      </c>
      <c r="O65" s="145">
        <v>3416</v>
      </c>
      <c r="P65" s="145">
        <v>2962</v>
      </c>
      <c r="Q65" s="145">
        <v>2688</v>
      </c>
      <c r="R65" s="145">
        <v>3081</v>
      </c>
      <c r="S65" s="145">
        <v>3843</v>
      </c>
      <c r="T65" s="141"/>
      <c r="U65" s="141"/>
      <c r="V65" s="141"/>
      <c r="W65" s="174"/>
      <c r="X65" s="144" t="s">
        <v>153</v>
      </c>
      <c r="Y65" s="145">
        <v>7469</v>
      </c>
      <c r="Z65" s="145">
        <v>8658</v>
      </c>
      <c r="AA65" s="145">
        <v>7424</v>
      </c>
      <c r="AB65" s="145">
        <v>6640</v>
      </c>
      <c r="AC65" s="145">
        <v>7589</v>
      </c>
      <c r="AD65" s="145">
        <v>9207</v>
      </c>
    </row>
    <row r="66" spans="1:30" x14ac:dyDescent="0.3">
      <c r="A66" s="174"/>
      <c r="B66" s="144" t="s">
        <v>154</v>
      </c>
      <c r="C66" s="145">
        <v>1724</v>
      </c>
      <c r="D66" s="145">
        <v>2004</v>
      </c>
      <c r="E66" s="145">
        <v>1743</v>
      </c>
      <c r="F66" s="145">
        <v>1609</v>
      </c>
      <c r="G66" s="145">
        <v>1883</v>
      </c>
      <c r="H66" s="145">
        <v>2349</v>
      </c>
      <c r="I66" s="141"/>
      <c r="J66" s="141"/>
      <c r="K66" s="141"/>
      <c r="L66" s="174"/>
      <c r="M66" s="144" t="s">
        <v>154</v>
      </c>
      <c r="N66" s="145">
        <v>2965</v>
      </c>
      <c r="O66" s="145">
        <v>3426</v>
      </c>
      <c r="P66" s="145">
        <v>2983</v>
      </c>
      <c r="Q66" s="145">
        <v>2742</v>
      </c>
      <c r="R66" s="145">
        <v>3194</v>
      </c>
      <c r="S66" s="145">
        <v>3983</v>
      </c>
      <c r="T66" s="141"/>
      <c r="U66" s="141"/>
      <c r="V66" s="141"/>
      <c r="W66" s="174"/>
      <c r="X66" s="144" t="s">
        <v>154</v>
      </c>
      <c r="Y66" s="145">
        <v>7446</v>
      </c>
      <c r="Z66" s="145">
        <v>8679</v>
      </c>
      <c r="AA66" s="145">
        <v>7484</v>
      </c>
      <c r="AB66" s="145">
        <v>6770</v>
      </c>
      <c r="AC66" s="145">
        <v>7824</v>
      </c>
      <c r="AD66" s="145">
        <v>9516</v>
      </c>
    </row>
    <row r="67" spans="1:30" x14ac:dyDescent="0.3">
      <c r="A67" s="174"/>
      <c r="B67" s="144" t="s">
        <v>155</v>
      </c>
      <c r="C67" s="145">
        <v>1835</v>
      </c>
      <c r="D67" s="145">
        <v>1989</v>
      </c>
      <c r="E67" s="145">
        <v>1714</v>
      </c>
      <c r="F67" s="145">
        <v>1638</v>
      </c>
      <c r="G67" s="145">
        <v>1910</v>
      </c>
      <c r="H67" s="145">
        <v>2381</v>
      </c>
      <c r="I67" s="141"/>
      <c r="J67" s="141"/>
      <c r="K67" s="141"/>
      <c r="L67" s="174"/>
      <c r="M67" s="144" t="s">
        <v>155</v>
      </c>
      <c r="N67" s="145">
        <v>3140</v>
      </c>
      <c r="O67" s="145">
        <v>3409</v>
      </c>
      <c r="P67" s="145">
        <v>2942</v>
      </c>
      <c r="Q67" s="145">
        <v>2755</v>
      </c>
      <c r="R67" s="145">
        <v>3272</v>
      </c>
      <c r="S67" s="145">
        <v>4041</v>
      </c>
      <c r="T67" s="141"/>
      <c r="U67" s="141"/>
      <c r="V67" s="141"/>
      <c r="W67" s="174"/>
      <c r="X67" s="144" t="s">
        <v>155</v>
      </c>
      <c r="Y67" s="145">
        <v>7886</v>
      </c>
      <c r="Z67" s="145">
        <v>8623</v>
      </c>
      <c r="AA67" s="145">
        <v>7368</v>
      </c>
      <c r="AB67" s="145">
        <v>6793</v>
      </c>
      <c r="AC67" s="145">
        <v>7929</v>
      </c>
      <c r="AD67" s="145">
        <v>9673</v>
      </c>
    </row>
    <row r="68" spans="1:30" x14ac:dyDescent="0.3">
      <c r="A68" s="174"/>
      <c r="B68" s="144" t="s">
        <v>156</v>
      </c>
      <c r="C68" s="145">
        <v>1920</v>
      </c>
      <c r="D68" s="145">
        <v>2017</v>
      </c>
      <c r="E68" s="145">
        <v>1698</v>
      </c>
      <c r="F68" s="145">
        <v>1706</v>
      </c>
      <c r="G68" s="145">
        <v>1985</v>
      </c>
      <c r="H68" s="145">
        <v>2427</v>
      </c>
      <c r="I68" s="141"/>
      <c r="J68" s="141"/>
      <c r="K68" s="141"/>
      <c r="L68" s="174"/>
      <c r="M68" s="144" t="s">
        <v>156</v>
      </c>
      <c r="N68" s="145">
        <v>3276</v>
      </c>
      <c r="O68" s="145">
        <v>3463</v>
      </c>
      <c r="P68" s="145">
        <v>2898</v>
      </c>
      <c r="Q68" s="145">
        <v>2891</v>
      </c>
      <c r="R68" s="145">
        <v>3383</v>
      </c>
      <c r="S68" s="145">
        <v>4126</v>
      </c>
      <c r="T68" s="141"/>
      <c r="U68" s="141"/>
      <c r="V68" s="141"/>
      <c r="W68" s="174"/>
      <c r="X68" s="144" t="s">
        <v>156</v>
      </c>
      <c r="Y68" s="145">
        <v>8250</v>
      </c>
      <c r="Z68" s="145">
        <v>8775</v>
      </c>
      <c r="AA68" s="145">
        <v>7252</v>
      </c>
      <c r="AB68" s="145">
        <v>7127</v>
      </c>
      <c r="AC68" s="145">
        <v>8191</v>
      </c>
      <c r="AD68" s="145">
        <v>9870</v>
      </c>
    </row>
    <row r="69" spans="1:30" x14ac:dyDescent="0.3">
      <c r="A69" s="174"/>
      <c r="B69" s="144" t="s">
        <v>157</v>
      </c>
      <c r="C69" s="145">
        <v>1929</v>
      </c>
      <c r="D69" s="145">
        <v>1999</v>
      </c>
      <c r="E69" s="145">
        <v>1666</v>
      </c>
      <c r="F69" s="145">
        <v>1813</v>
      </c>
      <c r="G69" s="145">
        <v>2067</v>
      </c>
      <c r="H69" s="145">
        <v>2508</v>
      </c>
      <c r="I69" s="141"/>
      <c r="J69" s="141"/>
      <c r="K69" s="141"/>
      <c r="L69" s="174"/>
      <c r="M69" s="144" t="s">
        <v>157</v>
      </c>
      <c r="N69" s="145">
        <v>3302</v>
      </c>
      <c r="O69" s="145">
        <v>3410</v>
      </c>
      <c r="P69" s="145">
        <v>2868</v>
      </c>
      <c r="Q69" s="145">
        <v>3028</v>
      </c>
      <c r="R69" s="145">
        <v>3525</v>
      </c>
      <c r="S69" s="145">
        <v>4257</v>
      </c>
      <c r="T69" s="141"/>
      <c r="U69" s="141"/>
      <c r="V69" s="141"/>
      <c r="W69" s="174"/>
      <c r="X69" s="144" t="s">
        <v>157</v>
      </c>
      <c r="Y69" s="145">
        <v>8362</v>
      </c>
      <c r="Z69" s="145">
        <v>8653</v>
      </c>
      <c r="AA69" s="145">
        <v>7128</v>
      </c>
      <c r="AB69" s="145">
        <v>7450</v>
      </c>
      <c r="AC69" s="145">
        <v>8504</v>
      </c>
      <c r="AD69" s="145">
        <v>10148</v>
      </c>
    </row>
    <row r="70" spans="1:30" x14ac:dyDescent="0.3">
      <c r="A70" s="174"/>
      <c r="B70" s="144" t="s">
        <v>158</v>
      </c>
      <c r="C70" s="145">
        <v>2039</v>
      </c>
      <c r="D70" s="145">
        <v>1974</v>
      </c>
      <c r="E70" s="145">
        <v>1632</v>
      </c>
      <c r="F70" s="145">
        <v>1873</v>
      </c>
      <c r="G70" s="145">
        <v>2178</v>
      </c>
      <c r="H70" s="145">
        <v>2576</v>
      </c>
      <c r="I70" s="141"/>
      <c r="J70" s="141"/>
      <c r="K70" s="141"/>
      <c r="L70" s="174"/>
      <c r="M70" s="144" t="s">
        <v>158</v>
      </c>
      <c r="N70" s="145">
        <v>3468</v>
      </c>
      <c r="O70" s="145">
        <v>3351</v>
      </c>
      <c r="P70" s="145">
        <v>2816</v>
      </c>
      <c r="Q70" s="145">
        <v>3230</v>
      </c>
      <c r="R70" s="145">
        <v>3685</v>
      </c>
      <c r="S70" s="145">
        <v>4354</v>
      </c>
      <c r="T70" s="141"/>
      <c r="U70" s="141"/>
      <c r="V70" s="141"/>
      <c r="W70" s="174"/>
      <c r="X70" s="144" t="s">
        <v>158</v>
      </c>
      <c r="Y70" s="145">
        <v>8800</v>
      </c>
      <c r="Z70" s="145">
        <v>8533</v>
      </c>
      <c r="AA70" s="145">
        <v>7002</v>
      </c>
      <c r="AB70" s="145">
        <v>7897</v>
      </c>
      <c r="AC70" s="145">
        <v>8848</v>
      </c>
      <c r="AD70" s="145">
        <v>10362</v>
      </c>
    </row>
    <row r="71" spans="1:30" x14ac:dyDescent="0.3">
      <c r="A71" s="174"/>
      <c r="B71" s="144" t="s">
        <v>159</v>
      </c>
      <c r="C71" s="145">
        <v>2018</v>
      </c>
      <c r="D71" s="145">
        <v>1949</v>
      </c>
      <c r="E71" s="145">
        <v>1594</v>
      </c>
      <c r="F71" s="145">
        <v>1800</v>
      </c>
      <c r="G71" s="145">
        <v>2115</v>
      </c>
      <c r="H71" s="145">
        <v>2594</v>
      </c>
      <c r="I71" s="141"/>
      <c r="J71" s="141"/>
      <c r="K71" s="141"/>
      <c r="L71" s="174"/>
      <c r="M71" s="144" t="s">
        <v>159</v>
      </c>
      <c r="N71" s="145">
        <v>3414</v>
      </c>
      <c r="O71" s="145">
        <v>3310</v>
      </c>
      <c r="P71" s="145">
        <v>2753</v>
      </c>
      <c r="Q71" s="145">
        <v>3071</v>
      </c>
      <c r="R71" s="145">
        <v>3566</v>
      </c>
      <c r="S71" s="145">
        <v>4401</v>
      </c>
      <c r="T71" s="141"/>
      <c r="U71" s="141"/>
      <c r="V71" s="141"/>
      <c r="W71" s="174"/>
      <c r="X71" s="144" t="s">
        <v>159</v>
      </c>
      <c r="Y71" s="145">
        <v>8691</v>
      </c>
      <c r="Z71" s="145">
        <v>8428</v>
      </c>
      <c r="AA71" s="145">
        <v>6876</v>
      </c>
      <c r="AB71" s="145">
        <v>7489</v>
      </c>
      <c r="AC71" s="145">
        <v>8556</v>
      </c>
      <c r="AD71" s="145">
        <v>10478</v>
      </c>
    </row>
    <row r="72" spans="1:30" x14ac:dyDescent="0.3">
      <c r="A72" s="174"/>
      <c r="B72" s="144" t="s">
        <v>160</v>
      </c>
      <c r="C72" s="145">
        <v>2046</v>
      </c>
      <c r="D72" s="145">
        <v>1964</v>
      </c>
      <c r="E72" s="145">
        <v>1574</v>
      </c>
      <c r="F72" s="145">
        <v>1712</v>
      </c>
      <c r="G72" s="145">
        <v>2131</v>
      </c>
      <c r="H72" s="145">
        <v>2613</v>
      </c>
      <c r="I72" s="141"/>
      <c r="J72" s="141"/>
      <c r="K72" s="141"/>
      <c r="L72" s="174"/>
      <c r="M72" s="144" t="s">
        <v>160</v>
      </c>
      <c r="N72" s="145">
        <v>3450</v>
      </c>
      <c r="O72" s="145">
        <v>3327</v>
      </c>
      <c r="P72" s="145">
        <v>2711</v>
      </c>
      <c r="Q72" s="145">
        <v>2871</v>
      </c>
      <c r="R72" s="145">
        <v>3589</v>
      </c>
      <c r="S72" s="145">
        <v>4421</v>
      </c>
      <c r="T72" s="141"/>
      <c r="U72" s="141"/>
      <c r="V72" s="141"/>
      <c r="W72" s="174"/>
      <c r="X72" s="144" t="s">
        <v>160</v>
      </c>
      <c r="Y72" s="145">
        <v>8772</v>
      </c>
      <c r="Z72" s="145">
        <v>8510</v>
      </c>
      <c r="AA72" s="145">
        <v>6771</v>
      </c>
      <c r="AB72" s="145">
        <v>7023</v>
      </c>
      <c r="AC72" s="145">
        <v>8599</v>
      </c>
      <c r="AD72" s="145">
        <v>10535</v>
      </c>
    </row>
    <row r="73" spans="1:30" x14ac:dyDescent="0.3">
      <c r="A73" s="174"/>
      <c r="B73" s="144" t="s">
        <v>161</v>
      </c>
      <c r="C73" s="145">
        <v>2066</v>
      </c>
      <c r="D73" s="145">
        <v>1847</v>
      </c>
      <c r="E73" s="145">
        <v>1559</v>
      </c>
      <c r="F73" s="145">
        <v>1784</v>
      </c>
      <c r="G73" s="145">
        <v>2133</v>
      </c>
      <c r="H73" s="145">
        <v>2591</v>
      </c>
      <c r="I73" s="141"/>
      <c r="J73" s="141"/>
      <c r="K73" s="141"/>
      <c r="L73" s="174"/>
      <c r="M73" s="144" t="s">
        <v>161</v>
      </c>
      <c r="N73" s="145">
        <v>3481</v>
      </c>
      <c r="O73" s="145">
        <v>3133</v>
      </c>
      <c r="P73" s="145">
        <v>2705</v>
      </c>
      <c r="Q73" s="145">
        <v>2961</v>
      </c>
      <c r="R73" s="145">
        <v>3592</v>
      </c>
      <c r="S73" s="145">
        <v>4385</v>
      </c>
      <c r="T73" s="141"/>
      <c r="U73" s="141"/>
      <c r="V73" s="141"/>
      <c r="W73" s="174"/>
      <c r="X73" s="144" t="s">
        <v>161</v>
      </c>
      <c r="Y73" s="145">
        <v>8771</v>
      </c>
      <c r="Z73" s="145">
        <v>7921</v>
      </c>
      <c r="AA73" s="145">
        <v>6717</v>
      </c>
      <c r="AB73" s="145">
        <v>7352</v>
      </c>
      <c r="AC73" s="145">
        <v>8631</v>
      </c>
      <c r="AD73" s="145">
        <v>10476</v>
      </c>
    </row>
    <row r="74" spans="1:30" x14ac:dyDescent="0.3">
      <c r="A74" s="174"/>
      <c r="B74" s="144" t="s">
        <v>162</v>
      </c>
      <c r="C74" s="145">
        <v>1990</v>
      </c>
      <c r="D74" s="145">
        <v>1771</v>
      </c>
      <c r="E74" s="145">
        <v>1562</v>
      </c>
      <c r="F74" s="145">
        <v>1784</v>
      </c>
      <c r="G74" s="145">
        <v>2148</v>
      </c>
      <c r="H74" s="145">
        <v>2593</v>
      </c>
      <c r="I74" s="141"/>
      <c r="J74" s="141"/>
      <c r="K74" s="141"/>
      <c r="L74" s="174"/>
      <c r="M74" s="144" t="s">
        <v>162</v>
      </c>
      <c r="N74" s="145">
        <v>3356</v>
      </c>
      <c r="O74" s="145">
        <v>3015</v>
      </c>
      <c r="P74" s="145">
        <v>2725</v>
      </c>
      <c r="Q74" s="145">
        <v>2904</v>
      </c>
      <c r="R74" s="145">
        <v>3611</v>
      </c>
      <c r="S74" s="145">
        <v>4403</v>
      </c>
      <c r="T74" s="141"/>
      <c r="U74" s="141"/>
      <c r="V74" s="141"/>
      <c r="W74" s="174"/>
      <c r="X74" s="144" t="s">
        <v>162</v>
      </c>
      <c r="Y74" s="145">
        <v>8539</v>
      </c>
      <c r="Z74" s="145">
        <v>7636</v>
      </c>
      <c r="AA74" s="145">
        <v>6724</v>
      </c>
      <c r="AB74" s="145">
        <v>7357</v>
      </c>
      <c r="AC74" s="145">
        <v>8680</v>
      </c>
      <c r="AD74" s="145">
        <v>10505</v>
      </c>
    </row>
    <row r="75" spans="1:30" x14ac:dyDescent="0.3">
      <c r="A75" s="174"/>
      <c r="B75" s="144" t="s">
        <v>163</v>
      </c>
      <c r="C75" s="145">
        <v>2003</v>
      </c>
      <c r="D75" s="145">
        <v>1745</v>
      </c>
      <c r="E75" s="145">
        <v>1531</v>
      </c>
      <c r="F75" s="145">
        <v>1841</v>
      </c>
      <c r="G75" s="145">
        <v>2197</v>
      </c>
      <c r="H75" s="145">
        <v>2565</v>
      </c>
      <c r="I75" s="141"/>
      <c r="J75" s="141"/>
      <c r="K75" s="141"/>
      <c r="L75" s="174"/>
      <c r="M75" s="144" t="s">
        <v>163</v>
      </c>
      <c r="N75" s="145">
        <v>3387</v>
      </c>
      <c r="O75" s="145">
        <v>2987</v>
      </c>
      <c r="P75" s="145">
        <v>2662</v>
      </c>
      <c r="Q75" s="145">
        <v>3044</v>
      </c>
      <c r="R75" s="145">
        <v>3707</v>
      </c>
      <c r="S75" s="145">
        <v>4341</v>
      </c>
      <c r="T75" s="141"/>
      <c r="U75" s="141"/>
      <c r="V75" s="141"/>
      <c r="W75" s="174"/>
      <c r="X75" s="144" t="s">
        <v>163</v>
      </c>
      <c r="Y75" s="145">
        <v>8583</v>
      </c>
      <c r="Z75" s="145">
        <v>7518</v>
      </c>
      <c r="AA75" s="145">
        <v>6584</v>
      </c>
      <c r="AB75" s="145">
        <v>7614</v>
      </c>
      <c r="AC75" s="145">
        <v>8847</v>
      </c>
      <c r="AD75" s="145">
        <v>10392</v>
      </c>
    </row>
    <row r="76" spans="1:30" x14ac:dyDescent="0.3">
      <c r="A76" s="173" t="s">
        <v>9</v>
      </c>
      <c r="B76" s="141" t="s">
        <v>152</v>
      </c>
      <c r="C76" s="143">
        <v>202</v>
      </c>
      <c r="D76" s="143">
        <v>215</v>
      </c>
      <c r="E76" s="143">
        <v>198</v>
      </c>
      <c r="F76" s="143">
        <v>172</v>
      </c>
      <c r="G76" s="143">
        <v>189</v>
      </c>
      <c r="H76" s="143">
        <v>239</v>
      </c>
      <c r="I76" s="141"/>
      <c r="J76" s="141"/>
      <c r="K76" s="141"/>
      <c r="L76" s="173" t="s">
        <v>9</v>
      </c>
      <c r="M76" s="141" t="s">
        <v>152</v>
      </c>
      <c r="N76" s="143">
        <v>287</v>
      </c>
      <c r="O76" s="143">
        <v>307</v>
      </c>
      <c r="P76" s="143">
        <v>288</v>
      </c>
      <c r="Q76" s="143">
        <v>233</v>
      </c>
      <c r="R76" s="143">
        <v>260</v>
      </c>
      <c r="S76" s="143">
        <v>327</v>
      </c>
      <c r="T76" s="141"/>
      <c r="U76" s="141"/>
      <c r="V76" s="141"/>
      <c r="W76" s="173" t="s">
        <v>9</v>
      </c>
      <c r="X76" s="141" t="s">
        <v>152</v>
      </c>
      <c r="Y76" s="143">
        <v>718</v>
      </c>
      <c r="Z76" s="143">
        <v>811</v>
      </c>
      <c r="AA76" s="143">
        <v>723</v>
      </c>
      <c r="AB76" s="143">
        <v>594</v>
      </c>
      <c r="AC76" s="143">
        <v>643</v>
      </c>
      <c r="AD76" s="143">
        <v>823</v>
      </c>
    </row>
    <row r="77" spans="1:30" x14ac:dyDescent="0.3">
      <c r="A77" s="173"/>
      <c r="B77" s="141" t="s">
        <v>153</v>
      </c>
      <c r="C77" s="143">
        <v>164</v>
      </c>
      <c r="D77" s="143">
        <v>219</v>
      </c>
      <c r="E77" s="143">
        <v>179</v>
      </c>
      <c r="F77" s="143">
        <v>168</v>
      </c>
      <c r="G77" s="143">
        <v>190</v>
      </c>
      <c r="H77" s="143">
        <v>231</v>
      </c>
      <c r="I77" s="141"/>
      <c r="J77" s="141"/>
      <c r="K77" s="141"/>
      <c r="L77" s="173"/>
      <c r="M77" s="141" t="s">
        <v>153</v>
      </c>
      <c r="N77" s="143">
        <v>232</v>
      </c>
      <c r="O77" s="143">
        <v>308</v>
      </c>
      <c r="P77" s="143">
        <v>255</v>
      </c>
      <c r="Q77" s="143">
        <v>224</v>
      </c>
      <c r="R77" s="143">
        <v>259</v>
      </c>
      <c r="S77" s="143">
        <v>317</v>
      </c>
      <c r="T77" s="141"/>
      <c r="U77" s="141"/>
      <c r="V77" s="141"/>
      <c r="W77" s="173"/>
      <c r="X77" s="141" t="s">
        <v>153</v>
      </c>
      <c r="Y77" s="143">
        <v>600</v>
      </c>
      <c r="Z77" s="143">
        <v>818</v>
      </c>
      <c r="AA77" s="143">
        <v>651</v>
      </c>
      <c r="AB77" s="143">
        <v>580</v>
      </c>
      <c r="AC77" s="143">
        <v>649</v>
      </c>
      <c r="AD77" s="143">
        <v>809</v>
      </c>
    </row>
    <row r="78" spans="1:30" x14ac:dyDescent="0.3">
      <c r="A78" s="173"/>
      <c r="B78" s="141" t="s">
        <v>154</v>
      </c>
      <c r="C78" s="143">
        <v>177</v>
      </c>
      <c r="D78" s="143">
        <v>229</v>
      </c>
      <c r="E78" s="143">
        <v>190</v>
      </c>
      <c r="F78" s="143">
        <v>167</v>
      </c>
      <c r="G78" s="143">
        <v>187</v>
      </c>
      <c r="H78" s="143">
        <v>239</v>
      </c>
      <c r="I78" s="141"/>
      <c r="J78" s="141"/>
      <c r="K78" s="141"/>
      <c r="L78" s="173"/>
      <c r="M78" s="141" t="s">
        <v>154</v>
      </c>
      <c r="N78" s="143">
        <v>249</v>
      </c>
      <c r="O78" s="143">
        <v>324</v>
      </c>
      <c r="P78" s="143">
        <v>264</v>
      </c>
      <c r="Q78" s="143">
        <v>213</v>
      </c>
      <c r="R78" s="143">
        <v>251</v>
      </c>
      <c r="S78" s="143">
        <v>329</v>
      </c>
      <c r="T78" s="141"/>
      <c r="U78" s="141"/>
      <c r="V78" s="141"/>
      <c r="W78" s="173"/>
      <c r="X78" s="141" t="s">
        <v>154</v>
      </c>
      <c r="Y78" s="143">
        <v>641</v>
      </c>
      <c r="Z78" s="143">
        <v>861</v>
      </c>
      <c r="AA78" s="143">
        <v>670</v>
      </c>
      <c r="AB78" s="143">
        <v>564</v>
      </c>
      <c r="AC78" s="143">
        <v>632</v>
      </c>
      <c r="AD78" s="143">
        <v>843</v>
      </c>
    </row>
    <row r="79" spans="1:30" x14ac:dyDescent="0.3">
      <c r="A79" s="173"/>
      <c r="B79" s="141" t="s">
        <v>155</v>
      </c>
      <c r="C79" s="143">
        <v>181</v>
      </c>
      <c r="D79" s="143">
        <v>220</v>
      </c>
      <c r="E79" s="143">
        <v>193</v>
      </c>
      <c r="F79" s="143">
        <v>168</v>
      </c>
      <c r="G79" s="143">
        <v>200</v>
      </c>
      <c r="H79" s="143">
        <v>243</v>
      </c>
      <c r="I79" s="141"/>
      <c r="J79" s="141"/>
      <c r="K79" s="141"/>
      <c r="L79" s="173"/>
      <c r="M79" s="141" t="s">
        <v>155</v>
      </c>
      <c r="N79" s="143">
        <v>259</v>
      </c>
      <c r="O79" s="143">
        <v>309</v>
      </c>
      <c r="P79" s="143">
        <v>289</v>
      </c>
      <c r="Q79" s="143">
        <v>218</v>
      </c>
      <c r="R79" s="143">
        <v>277</v>
      </c>
      <c r="S79" s="143">
        <v>336</v>
      </c>
      <c r="T79" s="141"/>
      <c r="U79" s="141"/>
      <c r="V79" s="141"/>
      <c r="W79" s="173"/>
      <c r="X79" s="141" t="s">
        <v>155</v>
      </c>
      <c r="Y79" s="143">
        <v>671</v>
      </c>
      <c r="Z79" s="143">
        <v>824</v>
      </c>
      <c r="AA79" s="143">
        <v>694</v>
      </c>
      <c r="AB79" s="143">
        <v>569</v>
      </c>
      <c r="AC79" s="143">
        <v>714</v>
      </c>
      <c r="AD79" s="143">
        <v>859</v>
      </c>
    </row>
    <row r="80" spans="1:30" x14ac:dyDescent="0.3">
      <c r="A80" s="173"/>
      <c r="B80" s="141" t="s">
        <v>156</v>
      </c>
      <c r="C80" s="143">
        <v>192</v>
      </c>
      <c r="D80" s="143">
        <v>219</v>
      </c>
      <c r="E80" s="143">
        <v>192</v>
      </c>
      <c r="F80" s="143">
        <v>169</v>
      </c>
      <c r="G80" s="143">
        <v>211</v>
      </c>
      <c r="H80" s="143">
        <v>249</v>
      </c>
      <c r="I80" s="141"/>
      <c r="J80" s="141"/>
      <c r="K80" s="141"/>
      <c r="L80" s="173"/>
      <c r="M80" s="141" t="s">
        <v>156</v>
      </c>
      <c r="N80" s="143">
        <v>268</v>
      </c>
      <c r="O80" s="143">
        <v>314</v>
      </c>
      <c r="P80" s="143">
        <v>291</v>
      </c>
      <c r="Q80" s="143">
        <v>223</v>
      </c>
      <c r="R80" s="143">
        <v>284</v>
      </c>
      <c r="S80" s="143">
        <v>344</v>
      </c>
      <c r="T80" s="141"/>
      <c r="U80" s="141"/>
      <c r="V80" s="141"/>
      <c r="W80" s="173"/>
      <c r="X80" s="141" t="s">
        <v>156</v>
      </c>
      <c r="Y80" s="143">
        <v>707</v>
      </c>
      <c r="Z80" s="143">
        <v>836</v>
      </c>
      <c r="AA80" s="143">
        <v>696</v>
      </c>
      <c r="AB80" s="143">
        <v>586</v>
      </c>
      <c r="AC80" s="143">
        <v>728</v>
      </c>
      <c r="AD80" s="143">
        <v>887</v>
      </c>
    </row>
    <row r="81" spans="1:30" x14ac:dyDescent="0.3">
      <c r="A81" s="173"/>
      <c r="B81" s="141" t="s">
        <v>157</v>
      </c>
      <c r="C81" s="143">
        <v>203</v>
      </c>
      <c r="D81" s="143">
        <v>226</v>
      </c>
      <c r="E81" s="143">
        <v>191</v>
      </c>
      <c r="F81" s="143">
        <v>189</v>
      </c>
      <c r="G81" s="143">
        <v>228</v>
      </c>
      <c r="H81" s="143">
        <v>257</v>
      </c>
      <c r="I81" s="141"/>
      <c r="J81" s="141"/>
      <c r="K81" s="141"/>
      <c r="L81" s="173"/>
      <c r="M81" s="141" t="s">
        <v>157</v>
      </c>
      <c r="N81" s="143">
        <v>280</v>
      </c>
      <c r="O81" s="143">
        <v>323</v>
      </c>
      <c r="P81" s="143">
        <v>283</v>
      </c>
      <c r="Q81" s="143">
        <v>259</v>
      </c>
      <c r="R81" s="143">
        <v>309</v>
      </c>
      <c r="S81" s="143">
        <v>357</v>
      </c>
      <c r="T81" s="141"/>
      <c r="U81" s="141"/>
      <c r="V81" s="141"/>
      <c r="W81" s="173"/>
      <c r="X81" s="141" t="s">
        <v>157</v>
      </c>
      <c r="Y81" s="143">
        <v>741</v>
      </c>
      <c r="Z81" s="143">
        <v>853</v>
      </c>
      <c r="AA81" s="143">
        <v>679</v>
      </c>
      <c r="AB81" s="143">
        <v>642</v>
      </c>
      <c r="AC81" s="143">
        <v>767</v>
      </c>
      <c r="AD81" s="143">
        <v>919</v>
      </c>
    </row>
    <row r="82" spans="1:30" x14ac:dyDescent="0.3">
      <c r="A82" s="173"/>
      <c r="B82" s="141" t="s">
        <v>158</v>
      </c>
      <c r="C82" s="143">
        <v>220</v>
      </c>
      <c r="D82" s="143">
        <v>233</v>
      </c>
      <c r="E82" s="143">
        <v>191</v>
      </c>
      <c r="F82" s="143">
        <v>191</v>
      </c>
      <c r="G82" s="143">
        <v>252</v>
      </c>
      <c r="H82" s="143">
        <v>279</v>
      </c>
      <c r="I82" s="141"/>
      <c r="J82" s="141"/>
      <c r="K82" s="141"/>
      <c r="L82" s="173"/>
      <c r="M82" s="141" t="s">
        <v>158</v>
      </c>
      <c r="N82" s="143">
        <v>307</v>
      </c>
      <c r="O82" s="143">
        <v>330</v>
      </c>
      <c r="P82" s="143">
        <v>283</v>
      </c>
      <c r="Q82" s="143">
        <v>259</v>
      </c>
      <c r="R82" s="143">
        <v>333</v>
      </c>
      <c r="S82" s="143">
        <v>379</v>
      </c>
      <c r="T82" s="141"/>
      <c r="U82" s="141"/>
      <c r="V82" s="141"/>
      <c r="W82" s="173"/>
      <c r="X82" s="141" t="s">
        <v>158</v>
      </c>
      <c r="Y82" s="143">
        <v>803</v>
      </c>
      <c r="Z82" s="143">
        <v>862</v>
      </c>
      <c r="AA82" s="143">
        <v>687</v>
      </c>
      <c r="AB82" s="143">
        <v>651</v>
      </c>
      <c r="AC82" s="143">
        <v>835</v>
      </c>
      <c r="AD82" s="143">
        <v>969</v>
      </c>
    </row>
    <row r="83" spans="1:30" x14ac:dyDescent="0.3">
      <c r="A83" s="173"/>
      <c r="B83" s="141" t="s">
        <v>159</v>
      </c>
      <c r="C83" s="143">
        <v>223</v>
      </c>
      <c r="D83" s="143">
        <v>229</v>
      </c>
      <c r="E83" s="143">
        <v>191</v>
      </c>
      <c r="F83" s="143">
        <v>196</v>
      </c>
      <c r="G83" s="143">
        <v>233</v>
      </c>
      <c r="H83" s="143">
        <v>282</v>
      </c>
      <c r="I83" s="141"/>
      <c r="J83" s="141"/>
      <c r="K83" s="141"/>
      <c r="L83" s="173"/>
      <c r="M83" s="141" t="s">
        <v>159</v>
      </c>
      <c r="N83" s="143">
        <v>318</v>
      </c>
      <c r="O83" s="143">
        <v>327</v>
      </c>
      <c r="P83" s="143">
        <v>280</v>
      </c>
      <c r="Q83" s="143">
        <v>269</v>
      </c>
      <c r="R83" s="143">
        <v>302</v>
      </c>
      <c r="S83" s="143">
        <v>381</v>
      </c>
      <c r="T83" s="141"/>
      <c r="U83" s="141"/>
      <c r="V83" s="141"/>
      <c r="W83" s="173"/>
      <c r="X83" s="141" t="s">
        <v>159</v>
      </c>
      <c r="Y83" s="143">
        <v>823</v>
      </c>
      <c r="Z83" s="143">
        <v>852</v>
      </c>
      <c r="AA83" s="143">
        <v>682</v>
      </c>
      <c r="AB83" s="143">
        <v>676</v>
      </c>
      <c r="AC83" s="143">
        <v>769</v>
      </c>
      <c r="AD83" s="143">
        <v>979</v>
      </c>
    </row>
    <row r="84" spans="1:30" x14ac:dyDescent="0.3">
      <c r="A84" s="173"/>
      <c r="B84" s="141" t="s">
        <v>160</v>
      </c>
      <c r="C84" s="143">
        <v>224</v>
      </c>
      <c r="D84" s="143">
        <v>222</v>
      </c>
      <c r="E84" s="143">
        <v>196</v>
      </c>
      <c r="F84" s="143">
        <v>189</v>
      </c>
      <c r="G84" s="143">
        <v>226</v>
      </c>
      <c r="H84" s="143">
        <v>279</v>
      </c>
      <c r="I84" s="141"/>
      <c r="J84" s="141"/>
      <c r="K84" s="141"/>
      <c r="L84" s="173"/>
      <c r="M84" s="141" t="s">
        <v>160</v>
      </c>
      <c r="N84" s="143">
        <v>318</v>
      </c>
      <c r="O84" s="143">
        <v>322</v>
      </c>
      <c r="P84" s="143">
        <v>286</v>
      </c>
      <c r="Q84" s="143">
        <v>256</v>
      </c>
      <c r="R84" s="143">
        <v>301</v>
      </c>
      <c r="S84" s="143">
        <v>378</v>
      </c>
      <c r="T84" s="141"/>
      <c r="U84" s="141"/>
      <c r="V84" s="141"/>
      <c r="W84" s="173"/>
      <c r="X84" s="141" t="s">
        <v>160</v>
      </c>
      <c r="Y84" s="143">
        <v>829</v>
      </c>
      <c r="Z84" s="143">
        <v>840</v>
      </c>
      <c r="AA84" s="143">
        <v>703</v>
      </c>
      <c r="AB84" s="143">
        <v>642</v>
      </c>
      <c r="AC84" s="143">
        <v>756</v>
      </c>
      <c r="AD84" s="143">
        <v>976</v>
      </c>
    </row>
    <row r="85" spans="1:30" x14ac:dyDescent="0.3">
      <c r="A85" s="173"/>
      <c r="B85" s="141" t="s">
        <v>161</v>
      </c>
      <c r="C85" s="143">
        <v>225</v>
      </c>
      <c r="D85" s="143">
        <v>209</v>
      </c>
      <c r="E85" s="143">
        <v>189</v>
      </c>
      <c r="F85" s="143">
        <v>190</v>
      </c>
      <c r="G85" s="143">
        <v>228</v>
      </c>
      <c r="H85" s="143">
        <v>268</v>
      </c>
      <c r="I85" s="141"/>
      <c r="J85" s="141"/>
      <c r="K85" s="141"/>
      <c r="L85" s="173"/>
      <c r="M85" s="141" t="s">
        <v>161</v>
      </c>
      <c r="N85" s="143">
        <v>316</v>
      </c>
      <c r="O85" s="143">
        <v>299</v>
      </c>
      <c r="P85" s="143">
        <v>277</v>
      </c>
      <c r="Q85" s="143">
        <v>258</v>
      </c>
      <c r="R85" s="143">
        <v>308</v>
      </c>
      <c r="S85" s="143">
        <v>362</v>
      </c>
      <c r="T85" s="141"/>
      <c r="U85" s="141"/>
      <c r="V85" s="141"/>
      <c r="W85" s="173"/>
      <c r="X85" s="141" t="s">
        <v>161</v>
      </c>
      <c r="Y85" s="143">
        <v>827</v>
      </c>
      <c r="Z85" s="143">
        <v>782</v>
      </c>
      <c r="AA85" s="143">
        <v>673</v>
      </c>
      <c r="AB85" s="143">
        <v>653</v>
      </c>
      <c r="AC85" s="143">
        <v>784</v>
      </c>
      <c r="AD85" s="143">
        <v>923</v>
      </c>
    </row>
    <row r="86" spans="1:30" x14ac:dyDescent="0.3">
      <c r="A86" s="173"/>
      <c r="B86" s="141" t="s">
        <v>162</v>
      </c>
      <c r="C86" s="143">
        <v>216</v>
      </c>
      <c r="D86" s="143">
        <v>196</v>
      </c>
      <c r="E86" s="143">
        <v>181</v>
      </c>
      <c r="F86" s="143">
        <v>192</v>
      </c>
      <c r="G86" s="143">
        <v>228</v>
      </c>
      <c r="H86" s="143">
        <v>267</v>
      </c>
      <c r="I86" s="141"/>
      <c r="J86" s="141"/>
      <c r="K86" s="141"/>
      <c r="L86" s="173"/>
      <c r="M86" s="141" t="s">
        <v>162</v>
      </c>
      <c r="N86" s="143">
        <v>311</v>
      </c>
      <c r="O86" s="143">
        <v>289</v>
      </c>
      <c r="P86" s="143">
        <v>266</v>
      </c>
      <c r="Q86" s="143">
        <v>260</v>
      </c>
      <c r="R86" s="143">
        <v>306</v>
      </c>
      <c r="S86" s="143">
        <v>358</v>
      </c>
      <c r="T86" s="141"/>
      <c r="U86" s="141"/>
      <c r="V86" s="141"/>
      <c r="W86" s="173"/>
      <c r="X86" s="141" t="s">
        <v>162</v>
      </c>
      <c r="Y86" s="143">
        <v>806</v>
      </c>
      <c r="Z86" s="143">
        <v>734</v>
      </c>
      <c r="AA86" s="143">
        <v>644</v>
      </c>
      <c r="AB86" s="143">
        <v>663</v>
      </c>
      <c r="AC86" s="143">
        <v>776</v>
      </c>
      <c r="AD86" s="143">
        <v>921</v>
      </c>
    </row>
    <row r="87" spans="1:30" x14ac:dyDescent="0.3">
      <c r="A87" s="173"/>
      <c r="B87" s="141" t="s">
        <v>163</v>
      </c>
      <c r="C87" s="143">
        <v>216</v>
      </c>
      <c r="D87" s="143">
        <v>197</v>
      </c>
      <c r="E87" s="143">
        <v>170</v>
      </c>
      <c r="F87" s="143">
        <v>189</v>
      </c>
      <c r="G87" s="143">
        <v>234</v>
      </c>
      <c r="H87" s="143">
        <v>267</v>
      </c>
      <c r="I87" s="141"/>
      <c r="J87" s="141"/>
      <c r="K87" s="141"/>
      <c r="L87" s="173"/>
      <c r="M87" s="141" t="s">
        <v>163</v>
      </c>
      <c r="N87" s="143">
        <v>308</v>
      </c>
      <c r="O87" s="143">
        <v>292</v>
      </c>
      <c r="P87" s="143">
        <v>251</v>
      </c>
      <c r="Q87" s="143">
        <v>253</v>
      </c>
      <c r="R87" s="143">
        <v>315</v>
      </c>
      <c r="S87" s="143">
        <v>358</v>
      </c>
      <c r="T87" s="141"/>
      <c r="U87" s="141"/>
      <c r="V87" s="141"/>
      <c r="W87" s="173"/>
      <c r="X87" s="141" t="s">
        <v>163</v>
      </c>
      <c r="Y87" s="143">
        <v>809</v>
      </c>
      <c r="Z87" s="143">
        <v>727</v>
      </c>
      <c r="AA87" s="143">
        <v>606</v>
      </c>
      <c r="AB87" s="143">
        <v>637</v>
      </c>
      <c r="AC87" s="143">
        <v>793</v>
      </c>
      <c r="AD87" s="143">
        <v>916</v>
      </c>
    </row>
    <row r="88" spans="1:30" x14ac:dyDescent="0.3">
      <c r="A88" s="174" t="s">
        <v>6</v>
      </c>
      <c r="B88" s="144" t="s">
        <v>152</v>
      </c>
      <c r="C88" s="145">
        <v>207</v>
      </c>
      <c r="D88" s="145">
        <v>205</v>
      </c>
      <c r="E88" s="145">
        <v>193</v>
      </c>
      <c r="F88" s="145">
        <v>173</v>
      </c>
      <c r="G88" s="145">
        <v>211</v>
      </c>
      <c r="H88" s="145">
        <v>233</v>
      </c>
      <c r="I88" s="141"/>
      <c r="J88" s="141"/>
      <c r="K88" s="141"/>
      <c r="L88" s="174" t="s">
        <v>6</v>
      </c>
      <c r="M88" s="144" t="s">
        <v>152</v>
      </c>
      <c r="N88" s="145">
        <v>454</v>
      </c>
      <c r="O88" s="145">
        <v>401</v>
      </c>
      <c r="P88" s="145">
        <v>437</v>
      </c>
      <c r="Q88" s="145">
        <v>382</v>
      </c>
      <c r="R88" s="145">
        <v>480</v>
      </c>
      <c r="S88" s="145">
        <v>500</v>
      </c>
      <c r="T88" s="141"/>
      <c r="U88" s="141"/>
      <c r="V88" s="141"/>
      <c r="W88" s="174" t="s">
        <v>6</v>
      </c>
      <c r="X88" s="144" t="s">
        <v>152</v>
      </c>
      <c r="Y88" s="145">
        <v>1131</v>
      </c>
      <c r="Z88" s="145">
        <v>1060</v>
      </c>
      <c r="AA88" s="145">
        <v>1096</v>
      </c>
      <c r="AB88" s="145">
        <v>938</v>
      </c>
      <c r="AC88" s="145">
        <v>1088</v>
      </c>
      <c r="AD88" s="145">
        <v>1128</v>
      </c>
    </row>
    <row r="89" spans="1:30" x14ac:dyDescent="0.3">
      <c r="A89" s="174"/>
      <c r="B89" s="144" t="s">
        <v>153</v>
      </c>
      <c r="C89" s="145">
        <v>192</v>
      </c>
      <c r="D89" s="145">
        <v>214</v>
      </c>
      <c r="E89" s="145">
        <v>193</v>
      </c>
      <c r="F89" s="145">
        <v>170</v>
      </c>
      <c r="G89" s="145">
        <v>208</v>
      </c>
      <c r="H89" s="145">
        <v>231</v>
      </c>
      <c r="I89" s="141"/>
      <c r="J89" s="141"/>
      <c r="K89" s="141"/>
      <c r="L89" s="174"/>
      <c r="M89" s="144" t="s">
        <v>153</v>
      </c>
      <c r="N89" s="145">
        <v>415</v>
      </c>
      <c r="O89" s="145">
        <v>451</v>
      </c>
      <c r="P89" s="145">
        <v>436</v>
      </c>
      <c r="Q89" s="145">
        <v>377</v>
      </c>
      <c r="R89" s="145">
        <v>468</v>
      </c>
      <c r="S89" s="145">
        <v>486</v>
      </c>
      <c r="T89" s="141"/>
      <c r="U89" s="141"/>
      <c r="V89" s="141"/>
      <c r="W89" s="174"/>
      <c r="X89" s="144" t="s">
        <v>153</v>
      </c>
      <c r="Y89" s="145">
        <v>1024</v>
      </c>
      <c r="Z89" s="145">
        <v>1171</v>
      </c>
      <c r="AA89" s="145">
        <v>1096</v>
      </c>
      <c r="AB89" s="145">
        <v>925</v>
      </c>
      <c r="AC89" s="145">
        <v>1068</v>
      </c>
      <c r="AD89" s="145">
        <v>1106</v>
      </c>
    </row>
    <row r="90" spans="1:30" x14ac:dyDescent="0.3">
      <c r="A90" s="174"/>
      <c r="B90" s="144" t="s">
        <v>154</v>
      </c>
      <c r="C90" s="145">
        <v>196</v>
      </c>
      <c r="D90" s="145">
        <v>207</v>
      </c>
      <c r="E90" s="145">
        <v>190</v>
      </c>
      <c r="F90" s="145">
        <v>177</v>
      </c>
      <c r="G90" s="145">
        <v>217</v>
      </c>
      <c r="H90" s="145">
        <v>242</v>
      </c>
      <c r="I90" s="141"/>
      <c r="J90" s="141"/>
      <c r="K90" s="141"/>
      <c r="L90" s="174"/>
      <c r="M90" s="144" t="s">
        <v>154</v>
      </c>
      <c r="N90" s="145">
        <v>430</v>
      </c>
      <c r="O90" s="145">
        <v>433</v>
      </c>
      <c r="P90" s="145">
        <v>422</v>
      </c>
      <c r="Q90" s="145">
        <v>398</v>
      </c>
      <c r="R90" s="145">
        <v>481</v>
      </c>
      <c r="S90" s="145">
        <v>507</v>
      </c>
      <c r="T90" s="141"/>
      <c r="U90" s="141"/>
      <c r="V90" s="141"/>
      <c r="W90" s="174"/>
      <c r="X90" s="144" t="s">
        <v>154</v>
      </c>
      <c r="Y90" s="145">
        <v>1071</v>
      </c>
      <c r="Z90" s="145">
        <v>1122</v>
      </c>
      <c r="AA90" s="145">
        <v>1057</v>
      </c>
      <c r="AB90" s="145">
        <v>962</v>
      </c>
      <c r="AC90" s="145">
        <v>1095</v>
      </c>
      <c r="AD90" s="145">
        <v>1143</v>
      </c>
    </row>
    <row r="91" spans="1:30" x14ac:dyDescent="0.3">
      <c r="A91" s="174"/>
      <c r="B91" s="144" t="s">
        <v>155</v>
      </c>
      <c r="C91" s="145">
        <v>200</v>
      </c>
      <c r="D91" s="145">
        <v>197</v>
      </c>
      <c r="E91" s="145">
        <v>185</v>
      </c>
      <c r="F91" s="145">
        <v>182</v>
      </c>
      <c r="G91" s="145">
        <v>219</v>
      </c>
      <c r="H91" s="145">
        <v>243</v>
      </c>
      <c r="I91" s="141"/>
      <c r="J91" s="141"/>
      <c r="K91" s="141"/>
      <c r="L91" s="174"/>
      <c r="M91" s="144" t="s">
        <v>155</v>
      </c>
      <c r="N91" s="145">
        <v>426</v>
      </c>
      <c r="O91" s="145">
        <v>416</v>
      </c>
      <c r="P91" s="145">
        <v>401</v>
      </c>
      <c r="Q91" s="145">
        <v>398</v>
      </c>
      <c r="R91" s="145">
        <v>487</v>
      </c>
      <c r="S91" s="145">
        <v>513</v>
      </c>
      <c r="T91" s="141"/>
      <c r="U91" s="141"/>
      <c r="V91" s="141"/>
      <c r="W91" s="174"/>
      <c r="X91" s="144" t="s">
        <v>155</v>
      </c>
      <c r="Y91" s="145">
        <v>1091</v>
      </c>
      <c r="Z91" s="145">
        <v>1046</v>
      </c>
      <c r="AA91" s="145">
        <v>1023</v>
      </c>
      <c r="AB91" s="145">
        <v>984</v>
      </c>
      <c r="AC91" s="145">
        <v>1114</v>
      </c>
      <c r="AD91" s="145">
        <v>1165</v>
      </c>
    </row>
    <row r="92" spans="1:30" x14ac:dyDescent="0.3">
      <c r="A92" s="174"/>
      <c r="B92" s="144" t="s">
        <v>156</v>
      </c>
      <c r="C92" s="145">
        <v>205</v>
      </c>
      <c r="D92" s="145">
        <v>204</v>
      </c>
      <c r="E92" s="145">
        <v>188</v>
      </c>
      <c r="F92" s="145">
        <v>184</v>
      </c>
      <c r="G92" s="145">
        <v>227</v>
      </c>
      <c r="H92" s="145">
        <v>246</v>
      </c>
      <c r="I92" s="141"/>
      <c r="J92" s="141"/>
      <c r="K92" s="141"/>
      <c r="L92" s="174"/>
      <c r="M92" s="144" t="s">
        <v>156</v>
      </c>
      <c r="N92" s="145">
        <v>435</v>
      </c>
      <c r="O92" s="145">
        <v>432</v>
      </c>
      <c r="P92" s="145">
        <v>404</v>
      </c>
      <c r="Q92" s="145">
        <v>403</v>
      </c>
      <c r="R92" s="145">
        <v>499</v>
      </c>
      <c r="S92" s="145">
        <v>515</v>
      </c>
      <c r="T92" s="141"/>
      <c r="U92" s="141"/>
      <c r="V92" s="141"/>
      <c r="W92" s="174"/>
      <c r="X92" s="144" t="s">
        <v>156</v>
      </c>
      <c r="Y92" s="145">
        <v>1115</v>
      </c>
      <c r="Z92" s="145">
        <v>1095</v>
      </c>
      <c r="AA92" s="145">
        <v>1030</v>
      </c>
      <c r="AB92" s="145">
        <v>1002</v>
      </c>
      <c r="AC92" s="145">
        <v>1142</v>
      </c>
      <c r="AD92" s="145">
        <v>1169</v>
      </c>
    </row>
    <row r="93" spans="1:30" x14ac:dyDescent="0.3">
      <c r="A93" s="174"/>
      <c r="B93" s="144" t="s">
        <v>157</v>
      </c>
      <c r="C93" s="145">
        <v>211</v>
      </c>
      <c r="D93" s="145">
        <v>211</v>
      </c>
      <c r="E93" s="145">
        <v>180</v>
      </c>
      <c r="F93" s="145">
        <v>201</v>
      </c>
      <c r="G93" s="145">
        <v>238</v>
      </c>
      <c r="H93" s="145">
        <v>255</v>
      </c>
      <c r="I93" s="141"/>
      <c r="J93" s="141"/>
      <c r="K93" s="141"/>
      <c r="L93" s="174"/>
      <c r="M93" s="144" t="s">
        <v>157</v>
      </c>
      <c r="N93" s="145">
        <v>451</v>
      </c>
      <c r="O93" s="145">
        <v>441</v>
      </c>
      <c r="P93" s="145">
        <v>381</v>
      </c>
      <c r="Q93" s="145">
        <v>423</v>
      </c>
      <c r="R93" s="145">
        <v>512</v>
      </c>
      <c r="S93" s="145">
        <v>542</v>
      </c>
      <c r="T93" s="141"/>
      <c r="U93" s="141"/>
      <c r="V93" s="141"/>
      <c r="W93" s="174"/>
      <c r="X93" s="144" t="s">
        <v>157</v>
      </c>
      <c r="Y93" s="145">
        <v>1145</v>
      </c>
      <c r="Z93" s="145">
        <v>1121</v>
      </c>
      <c r="AA93" s="145">
        <v>979</v>
      </c>
      <c r="AB93" s="145">
        <v>1060</v>
      </c>
      <c r="AC93" s="145">
        <v>1188</v>
      </c>
      <c r="AD93" s="145">
        <v>1217</v>
      </c>
    </row>
    <row r="94" spans="1:30" x14ac:dyDescent="0.3">
      <c r="A94" s="174"/>
      <c r="B94" s="144" t="s">
        <v>158</v>
      </c>
      <c r="C94" s="145">
        <v>225</v>
      </c>
      <c r="D94" s="145">
        <v>203</v>
      </c>
      <c r="E94" s="145">
        <v>176</v>
      </c>
      <c r="F94" s="145">
        <v>223</v>
      </c>
      <c r="G94" s="145">
        <v>238</v>
      </c>
      <c r="H94" s="145">
        <v>280</v>
      </c>
      <c r="I94" s="141"/>
      <c r="J94" s="141"/>
      <c r="K94" s="141"/>
      <c r="L94" s="174"/>
      <c r="M94" s="144" t="s">
        <v>158</v>
      </c>
      <c r="N94" s="145">
        <v>462</v>
      </c>
      <c r="O94" s="145">
        <v>425</v>
      </c>
      <c r="P94" s="145">
        <v>370</v>
      </c>
      <c r="Q94" s="145">
        <v>488</v>
      </c>
      <c r="R94" s="145">
        <v>511</v>
      </c>
      <c r="S94" s="145">
        <v>584</v>
      </c>
      <c r="T94" s="141"/>
      <c r="U94" s="141"/>
      <c r="V94" s="141"/>
      <c r="W94" s="174"/>
      <c r="X94" s="144" t="s">
        <v>158</v>
      </c>
      <c r="Y94" s="145">
        <v>1213</v>
      </c>
      <c r="Z94" s="145">
        <v>1082</v>
      </c>
      <c r="AA94" s="145">
        <v>959</v>
      </c>
      <c r="AB94" s="145">
        <v>1230</v>
      </c>
      <c r="AC94" s="145">
        <v>1168</v>
      </c>
      <c r="AD94" s="145">
        <v>1322</v>
      </c>
    </row>
    <row r="95" spans="1:30" x14ac:dyDescent="0.3">
      <c r="A95" s="174"/>
      <c r="B95" s="144" t="s">
        <v>159</v>
      </c>
      <c r="C95" s="145">
        <v>222</v>
      </c>
      <c r="D95" s="145">
        <v>206</v>
      </c>
      <c r="E95" s="145">
        <v>179</v>
      </c>
      <c r="F95" s="145">
        <v>212</v>
      </c>
      <c r="G95" s="145">
        <v>235</v>
      </c>
      <c r="H95" s="145">
        <v>279</v>
      </c>
      <c r="I95" s="141"/>
      <c r="J95" s="141"/>
      <c r="K95" s="141"/>
      <c r="L95" s="174"/>
      <c r="M95" s="144" t="s">
        <v>159</v>
      </c>
      <c r="N95" s="145">
        <v>440</v>
      </c>
      <c r="O95" s="145">
        <v>429</v>
      </c>
      <c r="P95" s="145">
        <v>382</v>
      </c>
      <c r="Q95" s="145">
        <v>485</v>
      </c>
      <c r="R95" s="145">
        <v>508</v>
      </c>
      <c r="S95" s="145">
        <v>579</v>
      </c>
      <c r="T95" s="141"/>
      <c r="U95" s="141"/>
      <c r="V95" s="141"/>
      <c r="W95" s="174"/>
      <c r="X95" s="144" t="s">
        <v>159</v>
      </c>
      <c r="Y95" s="145">
        <v>1169</v>
      </c>
      <c r="Z95" s="145">
        <v>1102</v>
      </c>
      <c r="AA95" s="145">
        <v>973</v>
      </c>
      <c r="AB95" s="145">
        <v>1160</v>
      </c>
      <c r="AC95" s="145">
        <v>1154</v>
      </c>
      <c r="AD95" s="145">
        <v>1306</v>
      </c>
    </row>
    <row r="96" spans="1:30" x14ac:dyDescent="0.3">
      <c r="A96" s="174"/>
      <c r="B96" s="144" t="s">
        <v>160</v>
      </c>
      <c r="C96" s="145">
        <v>222</v>
      </c>
      <c r="D96" s="145">
        <v>205</v>
      </c>
      <c r="E96" s="145">
        <v>174</v>
      </c>
      <c r="F96" s="145">
        <v>207</v>
      </c>
      <c r="G96" s="145">
        <v>240</v>
      </c>
      <c r="H96" s="145">
        <v>277</v>
      </c>
      <c r="I96" s="141"/>
      <c r="J96" s="141"/>
      <c r="K96" s="141"/>
      <c r="L96" s="174"/>
      <c r="M96" s="144" t="s">
        <v>160</v>
      </c>
      <c r="N96" s="145">
        <v>450</v>
      </c>
      <c r="O96" s="145">
        <v>435</v>
      </c>
      <c r="P96" s="145">
        <v>381</v>
      </c>
      <c r="Q96" s="145">
        <v>475</v>
      </c>
      <c r="R96" s="145">
        <v>515</v>
      </c>
      <c r="S96" s="145">
        <v>575</v>
      </c>
      <c r="T96" s="141"/>
      <c r="U96" s="141"/>
      <c r="V96" s="141"/>
      <c r="W96" s="174"/>
      <c r="X96" s="144" t="s">
        <v>160</v>
      </c>
      <c r="Y96" s="145">
        <v>1187</v>
      </c>
      <c r="Z96" s="145">
        <v>1108</v>
      </c>
      <c r="AA96" s="145">
        <v>953</v>
      </c>
      <c r="AB96" s="145">
        <v>1075</v>
      </c>
      <c r="AC96" s="145">
        <v>1166</v>
      </c>
      <c r="AD96" s="145">
        <v>1311</v>
      </c>
    </row>
    <row r="97" spans="1:30" x14ac:dyDescent="0.3">
      <c r="A97" s="174"/>
      <c r="B97" s="144" t="s">
        <v>161</v>
      </c>
      <c r="C97" s="145">
        <v>222</v>
      </c>
      <c r="D97" s="145">
        <v>203</v>
      </c>
      <c r="E97" s="145">
        <v>172</v>
      </c>
      <c r="F97" s="145">
        <v>207</v>
      </c>
      <c r="G97" s="145">
        <v>241</v>
      </c>
      <c r="H97" s="145">
        <v>277</v>
      </c>
      <c r="I97" s="141"/>
      <c r="J97" s="141"/>
      <c r="K97" s="141"/>
      <c r="L97" s="174"/>
      <c r="M97" s="144" t="s">
        <v>161</v>
      </c>
      <c r="N97" s="145">
        <v>460</v>
      </c>
      <c r="O97" s="145">
        <v>432</v>
      </c>
      <c r="P97" s="145">
        <v>377</v>
      </c>
      <c r="Q97" s="145">
        <v>472</v>
      </c>
      <c r="R97" s="145">
        <v>523</v>
      </c>
      <c r="S97" s="145">
        <v>564</v>
      </c>
      <c r="T97" s="141"/>
      <c r="U97" s="141"/>
      <c r="V97" s="141"/>
      <c r="W97" s="174"/>
      <c r="X97" s="144" t="s">
        <v>161</v>
      </c>
      <c r="Y97" s="145">
        <v>1165</v>
      </c>
      <c r="Z97" s="145">
        <v>1097</v>
      </c>
      <c r="AA97" s="145">
        <v>937</v>
      </c>
      <c r="AB97" s="145">
        <v>1077</v>
      </c>
      <c r="AC97" s="145">
        <v>1192</v>
      </c>
      <c r="AD97" s="145">
        <v>1305</v>
      </c>
    </row>
    <row r="98" spans="1:30" x14ac:dyDescent="0.3">
      <c r="A98" s="174"/>
      <c r="B98" s="144" t="s">
        <v>162</v>
      </c>
      <c r="C98" s="145">
        <v>216</v>
      </c>
      <c r="D98" s="145">
        <v>193</v>
      </c>
      <c r="E98" s="145">
        <v>170</v>
      </c>
      <c r="F98" s="145">
        <v>210</v>
      </c>
      <c r="G98" s="145">
        <v>230</v>
      </c>
      <c r="H98" s="145">
        <v>278</v>
      </c>
      <c r="I98" s="141"/>
      <c r="J98" s="141"/>
      <c r="K98" s="141"/>
      <c r="L98" s="174"/>
      <c r="M98" s="144" t="s">
        <v>162</v>
      </c>
      <c r="N98" s="145">
        <v>439</v>
      </c>
      <c r="O98" s="145">
        <v>413</v>
      </c>
      <c r="P98" s="145">
        <v>369</v>
      </c>
      <c r="Q98" s="145">
        <v>466</v>
      </c>
      <c r="R98" s="145">
        <v>492</v>
      </c>
      <c r="S98" s="145">
        <v>559</v>
      </c>
      <c r="T98" s="141"/>
      <c r="U98" s="141"/>
      <c r="V98" s="141"/>
      <c r="W98" s="174"/>
      <c r="X98" s="144" t="s">
        <v>162</v>
      </c>
      <c r="Y98" s="145">
        <v>1111</v>
      </c>
      <c r="Z98" s="145">
        <v>1066</v>
      </c>
      <c r="AA98" s="145">
        <v>924</v>
      </c>
      <c r="AB98" s="145">
        <v>1077</v>
      </c>
      <c r="AC98" s="145">
        <v>1118</v>
      </c>
      <c r="AD98" s="145">
        <v>1295</v>
      </c>
    </row>
    <row r="99" spans="1:30" x14ac:dyDescent="0.3">
      <c r="A99" s="174"/>
      <c r="B99" s="144" t="s">
        <v>163</v>
      </c>
      <c r="C99" s="145">
        <v>215</v>
      </c>
      <c r="D99" s="145">
        <v>192</v>
      </c>
      <c r="E99" s="145">
        <v>165</v>
      </c>
      <c r="F99" s="145">
        <v>211</v>
      </c>
      <c r="G99" s="145">
        <v>230</v>
      </c>
      <c r="H99" s="145">
        <v>275</v>
      </c>
      <c r="I99" s="141"/>
      <c r="J99" s="141"/>
      <c r="K99" s="141"/>
      <c r="L99" s="174"/>
      <c r="M99" s="144" t="s">
        <v>163</v>
      </c>
      <c r="N99" s="145">
        <v>429</v>
      </c>
      <c r="O99" s="145">
        <v>415</v>
      </c>
      <c r="P99" s="145">
        <v>360</v>
      </c>
      <c r="Q99" s="145">
        <v>485</v>
      </c>
      <c r="R99" s="145">
        <v>496</v>
      </c>
      <c r="S99" s="145">
        <v>558</v>
      </c>
      <c r="T99" s="141"/>
      <c r="U99" s="141"/>
      <c r="V99" s="141"/>
      <c r="W99" s="174"/>
      <c r="X99" s="144" t="s">
        <v>163</v>
      </c>
      <c r="Y99" s="145">
        <v>1099</v>
      </c>
      <c r="Z99" s="145">
        <v>1071</v>
      </c>
      <c r="AA99" s="145">
        <v>893</v>
      </c>
      <c r="AB99" s="145">
        <v>1094</v>
      </c>
      <c r="AC99" s="145">
        <v>1122</v>
      </c>
      <c r="AD99" s="145">
        <v>1323</v>
      </c>
    </row>
    <row r="100" spans="1:30" x14ac:dyDescent="0.3">
      <c r="A100" s="146" t="s">
        <v>175</v>
      </c>
      <c r="B100" s="141"/>
      <c r="C100" s="141"/>
      <c r="D100" s="141"/>
      <c r="E100" s="141"/>
      <c r="F100" s="141"/>
      <c r="G100" s="141"/>
      <c r="H100" s="141"/>
      <c r="I100" s="141"/>
      <c r="J100" s="141"/>
      <c r="K100" s="141"/>
      <c r="L100" s="146" t="s">
        <v>175</v>
      </c>
      <c r="M100" s="141"/>
      <c r="N100" s="141"/>
      <c r="O100" s="141"/>
      <c r="P100" s="141"/>
      <c r="Q100" s="141"/>
      <c r="R100" s="141"/>
      <c r="S100" s="141"/>
      <c r="T100" s="141"/>
      <c r="U100" s="141"/>
      <c r="V100" s="141"/>
      <c r="W100" s="146" t="s">
        <v>175</v>
      </c>
      <c r="X100" s="141"/>
      <c r="Y100" s="141"/>
      <c r="Z100" s="141"/>
      <c r="AA100" s="141"/>
      <c r="AB100" s="141"/>
      <c r="AC100" s="141"/>
      <c r="AD100" s="141"/>
    </row>
    <row r="101" spans="1:30" x14ac:dyDescent="0.3">
      <c r="A101" s="148" t="s">
        <v>168</v>
      </c>
      <c r="L101" s="148" t="s">
        <v>168</v>
      </c>
      <c r="W101" s="148" t="s">
        <v>168</v>
      </c>
    </row>
  </sheetData>
  <mergeCells count="27">
    <mergeCell ref="A64:A75"/>
    <mergeCell ref="W64:W75"/>
    <mergeCell ref="A76:A87"/>
    <mergeCell ref="W76:W87"/>
    <mergeCell ref="A88:A99"/>
    <mergeCell ref="W88:W99"/>
    <mergeCell ref="L64:L75"/>
    <mergeCell ref="L76:L87"/>
    <mergeCell ref="L88:L99"/>
    <mergeCell ref="A40:A51"/>
    <mergeCell ref="W40:W51"/>
    <mergeCell ref="A52:A63"/>
    <mergeCell ref="W52:W63"/>
    <mergeCell ref="L28:L39"/>
    <mergeCell ref="L40:L51"/>
    <mergeCell ref="L52:L63"/>
    <mergeCell ref="A2:H2"/>
    <mergeCell ref="L2:S2"/>
    <mergeCell ref="W2:AD2"/>
    <mergeCell ref="A28:A39"/>
    <mergeCell ref="W28:W39"/>
    <mergeCell ref="A4:A15"/>
    <mergeCell ref="W4:W15"/>
    <mergeCell ref="A16:A27"/>
    <mergeCell ref="W16:W27"/>
    <mergeCell ref="L4:L15"/>
    <mergeCell ref="L16:L27"/>
  </mergeCells>
  <pageMargins left="0.7" right="0.7" top="0.75" bottom="0.75" header="0.3" footer="0.3"/>
  <ignoredErrors>
    <ignoredError sqref="B4:B99 X4:X99 M4:M99"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D6074-AA7D-4D14-9465-73863FD1E86B}">
  <sheetPr>
    <tabColor theme="5" tint="-0.249977111117893"/>
  </sheetPr>
  <dimension ref="A3:H100"/>
  <sheetViews>
    <sheetView showGridLines="0" zoomScaleNormal="100" workbookViewId="0">
      <selection activeCell="F65" sqref="F65"/>
    </sheetView>
  </sheetViews>
  <sheetFormatPr defaultRowHeight="15" customHeight="1" x14ac:dyDescent="0.3"/>
  <cols>
    <col min="1" max="1" width="14.6640625" style="11" customWidth="1"/>
    <col min="2" max="2" width="11.5546875" style="11" customWidth="1"/>
    <col min="3" max="16384" width="8.88671875" style="11"/>
  </cols>
  <sheetData>
    <row r="3" spans="1:7" ht="15" customHeight="1" x14ac:dyDescent="0.3">
      <c r="A3" s="162" t="s">
        <v>99</v>
      </c>
      <c r="B3" s="162"/>
      <c r="C3" s="162"/>
      <c r="D3" s="162"/>
      <c r="E3" s="162"/>
      <c r="F3" s="162"/>
      <c r="G3" s="162"/>
    </row>
    <row r="4" spans="1:7" ht="15" customHeight="1" x14ac:dyDescent="0.3">
      <c r="A4" s="162" t="s">
        <v>114</v>
      </c>
      <c r="B4" s="162"/>
      <c r="C4" s="162"/>
      <c r="D4" s="162"/>
      <c r="E4" s="162"/>
      <c r="F4" s="162"/>
      <c r="G4" s="162"/>
    </row>
    <row r="5" spans="1:7" ht="15" customHeight="1" x14ac:dyDescent="0.3">
      <c r="A5" s="94" t="s">
        <v>125</v>
      </c>
      <c r="B5" s="46"/>
      <c r="C5" s="46" t="s">
        <v>82</v>
      </c>
      <c r="D5" s="46" t="s">
        <v>83</v>
      </c>
      <c r="E5" s="46" t="s">
        <v>84</v>
      </c>
      <c r="F5" s="46" t="s">
        <v>85</v>
      </c>
      <c r="G5" s="46" t="s">
        <v>1</v>
      </c>
    </row>
    <row r="6" spans="1:7" ht="15" customHeight="1" x14ac:dyDescent="0.3">
      <c r="A6" s="163" t="s">
        <v>8</v>
      </c>
      <c r="B6" s="70" t="s">
        <v>2</v>
      </c>
      <c r="C6" s="71">
        <v>53</v>
      </c>
      <c r="D6" s="71">
        <v>113</v>
      </c>
      <c r="E6" s="71">
        <v>302</v>
      </c>
      <c r="F6" s="71">
        <v>133</v>
      </c>
      <c r="G6" s="72">
        <f>SUM(C6:F6)</f>
        <v>601</v>
      </c>
    </row>
    <row r="7" spans="1:7" ht="15" customHeight="1" x14ac:dyDescent="0.3">
      <c r="A7" s="163"/>
      <c r="B7" s="70" t="s">
        <v>3</v>
      </c>
      <c r="C7" s="71">
        <v>471</v>
      </c>
      <c r="D7" s="71">
        <v>1053</v>
      </c>
      <c r="E7" s="71">
        <v>2207</v>
      </c>
      <c r="F7" s="71">
        <v>735</v>
      </c>
      <c r="G7" s="72">
        <f>SUM(C7:F7)</f>
        <v>4466</v>
      </c>
    </row>
    <row r="8" spans="1:7" ht="15" customHeight="1" x14ac:dyDescent="0.3">
      <c r="A8" s="163"/>
      <c r="B8" s="70" t="s">
        <v>4</v>
      </c>
      <c r="C8" s="71">
        <v>1092</v>
      </c>
      <c r="D8" s="71">
        <v>2359</v>
      </c>
      <c r="E8" s="71">
        <v>4844</v>
      </c>
      <c r="F8" s="71">
        <v>1641</v>
      </c>
      <c r="G8" s="72">
        <f>SUM(C8:F8)</f>
        <v>9936</v>
      </c>
    </row>
    <row r="9" spans="1:7" ht="15" customHeight="1" x14ac:dyDescent="0.3">
      <c r="A9" s="164" t="s">
        <v>12</v>
      </c>
      <c r="B9" s="11" t="s">
        <v>2</v>
      </c>
      <c r="C9" s="50">
        <v>44</v>
      </c>
      <c r="D9" s="50">
        <v>1</v>
      </c>
      <c r="E9" s="50">
        <v>4</v>
      </c>
      <c r="F9" s="50">
        <v>12</v>
      </c>
      <c r="G9" s="73">
        <f>SUM(C9:F9)</f>
        <v>61</v>
      </c>
    </row>
    <row r="10" spans="1:7" ht="15" customHeight="1" x14ac:dyDescent="0.3">
      <c r="A10" s="164"/>
      <c r="B10" s="11" t="s">
        <v>3</v>
      </c>
      <c r="C10" s="50">
        <v>489</v>
      </c>
      <c r="D10" s="50">
        <v>15</v>
      </c>
      <c r="E10" s="50">
        <v>21</v>
      </c>
      <c r="F10" s="50">
        <v>65</v>
      </c>
      <c r="G10" s="73">
        <f t="shared" ref="G10:G11" si="0">SUM(C10:F10)</f>
        <v>590</v>
      </c>
    </row>
    <row r="11" spans="1:7" ht="15" customHeight="1" x14ac:dyDescent="0.3">
      <c r="A11" s="164"/>
      <c r="B11" s="11" t="s">
        <v>4</v>
      </c>
      <c r="C11" s="50">
        <v>1209</v>
      </c>
      <c r="D11" s="50">
        <v>19</v>
      </c>
      <c r="E11" s="50">
        <v>70</v>
      </c>
      <c r="F11" s="50">
        <v>166</v>
      </c>
      <c r="G11" s="73">
        <f t="shared" si="0"/>
        <v>1464</v>
      </c>
    </row>
    <row r="12" spans="1:7" ht="15" customHeight="1" x14ac:dyDescent="0.3">
      <c r="A12" s="163" t="s">
        <v>7</v>
      </c>
      <c r="B12" s="70" t="s">
        <v>2</v>
      </c>
      <c r="C12" s="71">
        <v>2</v>
      </c>
      <c r="D12" s="71">
        <v>3</v>
      </c>
      <c r="E12" s="71">
        <v>25</v>
      </c>
      <c r="F12" s="71">
        <v>31</v>
      </c>
      <c r="G12" s="72">
        <f>SUM(C12:F12)</f>
        <v>61</v>
      </c>
    </row>
    <row r="13" spans="1:7" ht="15" customHeight="1" x14ac:dyDescent="0.3">
      <c r="A13" s="163"/>
      <c r="B13" s="70" t="s">
        <v>3</v>
      </c>
      <c r="C13" s="71">
        <v>13</v>
      </c>
      <c r="D13" s="71">
        <v>22</v>
      </c>
      <c r="E13" s="71">
        <v>155</v>
      </c>
      <c r="F13" s="71">
        <v>177</v>
      </c>
      <c r="G13" s="72">
        <f>SUM(C13:F13)</f>
        <v>367</v>
      </c>
    </row>
    <row r="14" spans="1:7" ht="15" customHeight="1" x14ac:dyDescent="0.3">
      <c r="A14" s="163"/>
      <c r="B14" s="70" t="s">
        <v>4</v>
      </c>
      <c r="C14" s="71">
        <v>31</v>
      </c>
      <c r="D14" s="71">
        <v>50</v>
      </c>
      <c r="E14" s="71">
        <v>318</v>
      </c>
      <c r="F14" s="71">
        <v>357</v>
      </c>
      <c r="G14" s="72">
        <f>SUM(C14:F14)</f>
        <v>756</v>
      </c>
    </row>
    <row r="15" spans="1:7" ht="15" customHeight="1" x14ac:dyDescent="0.3">
      <c r="A15" s="164" t="s">
        <v>5</v>
      </c>
      <c r="B15" s="11" t="s">
        <v>2</v>
      </c>
      <c r="C15" s="50">
        <v>4</v>
      </c>
      <c r="D15" s="50">
        <v>12</v>
      </c>
      <c r="E15" s="50">
        <v>5</v>
      </c>
      <c r="F15" s="50">
        <v>3</v>
      </c>
      <c r="G15" s="73">
        <f t="shared" ref="G15:G20" si="1">SUM(C15:F15)</f>
        <v>24</v>
      </c>
    </row>
    <row r="16" spans="1:7" ht="15" customHeight="1" x14ac:dyDescent="0.3">
      <c r="A16" s="164"/>
      <c r="B16" s="11" t="s">
        <v>3</v>
      </c>
      <c r="C16" s="50">
        <v>28</v>
      </c>
      <c r="D16" s="50">
        <v>112</v>
      </c>
      <c r="E16" s="50">
        <v>28</v>
      </c>
      <c r="F16" s="50">
        <v>25</v>
      </c>
      <c r="G16" s="73">
        <f t="shared" si="1"/>
        <v>193</v>
      </c>
    </row>
    <row r="17" spans="1:7" ht="15" customHeight="1" x14ac:dyDescent="0.3">
      <c r="A17" s="164"/>
      <c r="B17" s="11" t="s">
        <v>4</v>
      </c>
      <c r="C17" s="50">
        <v>67</v>
      </c>
      <c r="D17" s="50">
        <v>288</v>
      </c>
      <c r="E17" s="50">
        <v>62</v>
      </c>
      <c r="F17" s="50">
        <v>44</v>
      </c>
      <c r="G17" s="73">
        <f t="shared" si="1"/>
        <v>461</v>
      </c>
    </row>
    <row r="18" spans="1:7" ht="15" customHeight="1" x14ac:dyDescent="0.3">
      <c r="A18" s="163" t="s">
        <v>10</v>
      </c>
      <c r="B18" s="16" t="s">
        <v>2</v>
      </c>
      <c r="C18" s="71">
        <v>12</v>
      </c>
      <c r="D18" s="71">
        <v>2</v>
      </c>
      <c r="E18" s="71">
        <v>1</v>
      </c>
      <c r="F18" s="71">
        <v>0</v>
      </c>
      <c r="G18" s="72">
        <f t="shared" si="1"/>
        <v>15</v>
      </c>
    </row>
    <row r="19" spans="1:7" ht="15" customHeight="1" x14ac:dyDescent="0.3">
      <c r="A19" s="163"/>
      <c r="B19" s="16" t="s">
        <v>3</v>
      </c>
      <c r="C19" s="71">
        <v>149</v>
      </c>
      <c r="D19" s="71">
        <v>16</v>
      </c>
      <c r="E19" s="71">
        <v>11</v>
      </c>
      <c r="F19" s="71">
        <v>0</v>
      </c>
      <c r="G19" s="72">
        <f t="shared" si="1"/>
        <v>176</v>
      </c>
    </row>
    <row r="20" spans="1:7" ht="15" customHeight="1" x14ac:dyDescent="0.3">
      <c r="A20" s="163"/>
      <c r="B20" s="16" t="s">
        <v>4</v>
      </c>
      <c r="C20" s="71">
        <v>308</v>
      </c>
      <c r="D20" s="71">
        <v>40</v>
      </c>
      <c r="E20" s="71">
        <v>28</v>
      </c>
      <c r="F20" s="71">
        <v>0</v>
      </c>
      <c r="G20" s="72">
        <f t="shared" si="1"/>
        <v>376</v>
      </c>
    </row>
    <row r="21" spans="1:7" ht="15" customHeight="1" x14ac:dyDescent="0.3">
      <c r="A21" s="164" t="s">
        <v>11</v>
      </c>
      <c r="B21" s="11" t="s">
        <v>2</v>
      </c>
      <c r="C21" s="50">
        <v>7</v>
      </c>
      <c r="D21" s="50">
        <v>0</v>
      </c>
      <c r="E21" s="50">
        <v>0</v>
      </c>
      <c r="F21" s="50">
        <v>0</v>
      </c>
      <c r="G21" s="73">
        <f t="shared" ref="G21:G23" si="2">SUM(C21:F21)</f>
        <v>7</v>
      </c>
    </row>
    <row r="22" spans="1:7" ht="15" customHeight="1" x14ac:dyDescent="0.3">
      <c r="A22" s="164"/>
      <c r="B22" s="11" t="s">
        <v>3</v>
      </c>
      <c r="C22" s="50">
        <v>47</v>
      </c>
      <c r="D22" s="50">
        <v>0</v>
      </c>
      <c r="E22" s="50">
        <v>0</v>
      </c>
      <c r="F22" s="50">
        <v>0</v>
      </c>
      <c r="G22" s="73">
        <f t="shared" si="2"/>
        <v>47</v>
      </c>
    </row>
    <row r="23" spans="1:7" ht="15" customHeight="1" x14ac:dyDescent="0.3">
      <c r="A23" s="164"/>
      <c r="B23" s="11" t="s">
        <v>4</v>
      </c>
      <c r="C23" s="50">
        <v>119</v>
      </c>
      <c r="D23" s="50">
        <v>0</v>
      </c>
      <c r="E23" s="50">
        <v>0</v>
      </c>
      <c r="F23" s="50">
        <v>0</v>
      </c>
      <c r="G23" s="73">
        <f t="shared" si="2"/>
        <v>119</v>
      </c>
    </row>
    <row r="24" spans="1:7" ht="15" customHeight="1" x14ac:dyDescent="0.3">
      <c r="A24" s="164" t="s">
        <v>6</v>
      </c>
      <c r="B24" s="11" t="s">
        <v>2</v>
      </c>
      <c r="C24" s="50">
        <v>1</v>
      </c>
      <c r="D24" s="50">
        <v>2</v>
      </c>
      <c r="E24" s="50">
        <v>1</v>
      </c>
      <c r="F24" s="50">
        <v>1</v>
      </c>
      <c r="G24" s="73">
        <f t="shared" ref="G24:G27" si="3">SUM(C24:F24)</f>
        <v>5</v>
      </c>
    </row>
    <row r="25" spans="1:7" ht="15" customHeight="1" x14ac:dyDescent="0.3">
      <c r="A25" s="164"/>
      <c r="B25" s="11" t="s">
        <v>3</v>
      </c>
      <c r="C25" s="50">
        <v>5</v>
      </c>
      <c r="D25" s="50">
        <v>15</v>
      </c>
      <c r="E25" s="50">
        <v>3</v>
      </c>
      <c r="F25" s="50">
        <v>6</v>
      </c>
      <c r="G25" s="73">
        <f t="shared" si="3"/>
        <v>29</v>
      </c>
    </row>
    <row r="26" spans="1:7" ht="15" customHeight="1" x14ac:dyDescent="0.3">
      <c r="A26" s="164"/>
      <c r="B26" s="11" t="s">
        <v>4</v>
      </c>
      <c r="C26" s="50">
        <v>20</v>
      </c>
      <c r="D26" s="50">
        <v>30</v>
      </c>
      <c r="E26" s="50">
        <v>7</v>
      </c>
      <c r="F26" s="50">
        <v>18</v>
      </c>
      <c r="G26" s="73">
        <f t="shared" si="3"/>
        <v>75</v>
      </c>
    </row>
    <row r="27" spans="1:7" ht="15" customHeight="1" x14ac:dyDescent="0.3">
      <c r="A27" s="163" t="s">
        <v>9</v>
      </c>
      <c r="B27" s="16" t="s">
        <v>2</v>
      </c>
      <c r="C27" s="71">
        <v>1</v>
      </c>
      <c r="D27" s="71">
        <v>0</v>
      </c>
      <c r="E27" s="71">
        <v>0</v>
      </c>
      <c r="F27" s="71">
        <v>0</v>
      </c>
      <c r="G27" s="72">
        <f t="shared" si="3"/>
        <v>1</v>
      </c>
    </row>
    <row r="28" spans="1:7" ht="15" customHeight="1" x14ac:dyDescent="0.3">
      <c r="A28" s="163"/>
      <c r="B28" s="16" t="s">
        <v>3</v>
      </c>
      <c r="C28" s="71">
        <v>9</v>
      </c>
      <c r="D28" s="71">
        <v>0</v>
      </c>
      <c r="E28" s="71">
        <v>0</v>
      </c>
      <c r="F28" s="71">
        <v>0</v>
      </c>
      <c r="G28" s="72">
        <f t="shared" ref="G28:G29" si="4">SUM(C28:F28)</f>
        <v>9</v>
      </c>
    </row>
    <row r="29" spans="1:7" ht="15" customHeight="1" x14ac:dyDescent="0.3">
      <c r="A29" s="163"/>
      <c r="B29" s="16" t="s">
        <v>4</v>
      </c>
      <c r="C29" s="71">
        <v>17</v>
      </c>
      <c r="D29" s="71">
        <v>0</v>
      </c>
      <c r="E29" s="71">
        <v>0</v>
      </c>
      <c r="F29" s="71">
        <v>0</v>
      </c>
      <c r="G29" s="72">
        <f t="shared" si="4"/>
        <v>17</v>
      </c>
    </row>
    <row r="30" spans="1:7" ht="15" customHeight="1" x14ac:dyDescent="0.3">
      <c r="A30" s="176" t="s">
        <v>1</v>
      </c>
      <c r="B30" s="95" t="s">
        <v>2</v>
      </c>
      <c r="C30" s="97">
        <f>SUMIF($B$6:$B$29,$B$6,C6:F29)</f>
        <v>124</v>
      </c>
      <c r="D30" s="97">
        <f t="shared" ref="D30:F30" si="5">SUMIF($B$6:$B$29,$B$6,D6:G29)</f>
        <v>133</v>
      </c>
      <c r="E30" s="97">
        <f t="shared" si="5"/>
        <v>338</v>
      </c>
      <c r="F30" s="97">
        <f t="shared" si="5"/>
        <v>180</v>
      </c>
      <c r="G30" s="97">
        <f>SUM(C30:F30)</f>
        <v>775</v>
      </c>
    </row>
    <row r="31" spans="1:7" ht="15" customHeight="1" x14ac:dyDescent="0.3">
      <c r="A31" s="176"/>
      <c r="B31" s="95" t="s">
        <v>3</v>
      </c>
      <c r="C31" s="97">
        <f>SUMIF($B$6:$B$29,$B$7,C6:F29)</f>
        <v>1211</v>
      </c>
      <c r="D31" s="97">
        <f t="shared" ref="D31:F31" si="6">SUMIF($B$6:$B$29,$B$7,D6:G29)</f>
        <v>1233</v>
      </c>
      <c r="E31" s="97">
        <f t="shared" si="6"/>
        <v>2425</v>
      </c>
      <c r="F31" s="97">
        <f t="shared" si="6"/>
        <v>1008</v>
      </c>
      <c r="G31" s="97">
        <f t="shared" ref="G31:G32" si="7">SUM(C31:F31)</f>
        <v>5877</v>
      </c>
    </row>
    <row r="32" spans="1:7" ht="15" customHeight="1" x14ac:dyDescent="0.3">
      <c r="A32" s="176"/>
      <c r="B32" s="95" t="s">
        <v>4</v>
      </c>
      <c r="C32" s="97">
        <f>SUMIF($B$6:$B$29,$B$7,C7:F30)</f>
        <v>2863</v>
      </c>
      <c r="D32" s="97">
        <f t="shared" ref="D32:F32" si="8">SUMIF($B$6:$B$29,$B$7,D7:G30)</f>
        <v>2786</v>
      </c>
      <c r="E32" s="97">
        <f t="shared" si="8"/>
        <v>5329</v>
      </c>
      <c r="F32" s="97">
        <f t="shared" si="8"/>
        <v>2226</v>
      </c>
      <c r="G32" s="97">
        <f t="shared" si="7"/>
        <v>13204</v>
      </c>
    </row>
    <row r="33" spans="1:7" ht="15" customHeight="1" x14ac:dyDescent="0.3">
      <c r="A33" s="6" t="s">
        <v>135</v>
      </c>
      <c r="B33" s="6"/>
      <c r="C33" s="6"/>
      <c r="D33" s="6"/>
      <c r="E33" s="7"/>
      <c r="F33" s="7"/>
      <c r="G33" s="7"/>
    </row>
    <row r="36" spans="1:7" ht="15" customHeight="1" x14ac:dyDescent="0.3">
      <c r="A36" s="162" t="s">
        <v>99</v>
      </c>
      <c r="B36" s="162"/>
      <c r="C36" s="162"/>
      <c r="D36" s="162"/>
      <c r="E36" s="162"/>
      <c r="F36" s="162"/>
      <c r="G36" s="162"/>
    </row>
    <row r="37" spans="1:7" ht="15" customHeight="1" x14ac:dyDescent="0.3">
      <c r="A37" s="162" t="s">
        <v>110</v>
      </c>
      <c r="B37" s="162"/>
      <c r="C37" s="162"/>
      <c r="D37" s="162"/>
      <c r="E37" s="162"/>
      <c r="F37" s="162"/>
      <c r="G37" s="162"/>
    </row>
    <row r="38" spans="1:7" ht="15" customHeight="1" x14ac:dyDescent="0.3">
      <c r="A38" s="94" t="s">
        <v>125</v>
      </c>
      <c r="B38" s="46"/>
      <c r="C38" s="46" t="s">
        <v>82</v>
      </c>
      <c r="D38" s="46" t="s">
        <v>83</v>
      </c>
      <c r="E38" s="46" t="s">
        <v>84</v>
      </c>
      <c r="F38" s="46" t="s">
        <v>85</v>
      </c>
      <c r="G38" s="46" t="s">
        <v>1</v>
      </c>
    </row>
    <row r="39" spans="1:7" ht="15" customHeight="1" x14ac:dyDescent="0.3">
      <c r="A39" s="163" t="s">
        <v>8</v>
      </c>
      <c r="B39" s="70" t="s">
        <v>2</v>
      </c>
      <c r="C39" s="71">
        <v>53</v>
      </c>
      <c r="D39" s="71">
        <v>113</v>
      </c>
      <c r="E39" s="71">
        <v>303</v>
      </c>
      <c r="F39" s="71">
        <v>136</v>
      </c>
      <c r="G39" s="72">
        <f>SUM(C39:F39)</f>
        <v>605</v>
      </c>
    </row>
    <row r="40" spans="1:7" ht="15" customHeight="1" x14ac:dyDescent="0.3">
      <c r="A40" s="163"/>
      <c r="B40" s="70" t="s">
        <v>3</v>
      </c>
      <c r="C40" s="71">
        <v>471</v>
      </c>
      <c r="D40" s="71">
        <v>1053</v>
      </c>
      <c r="E40" s="71">
        <v>2227</v>
      </c>
      <c r="F40" s="71">
        <v>756</v>
      </c>
      <c r="G40" s="72">
        <f>SUM(C40:F40)</f>
        <v>4507</v>
      </c>
    </row>
    <row r="41" spans="1:7" ht="15" customHeight="1" x14ac:dyDescent="0.3">
      <c r="A41" s="163"/>
      <c r="B41" s="70" t="s">
        <v>4</v>
      </c>
      <c r="C41" s="71">
        <v>1092</v>
      </c>
      <c r="D41" s="71">
        <v>2359</v>
      </c>
      <c r="E41" s="71">
        <v>4884</v>
      </c>
      <c r="F41" s="71">
        <v>1695</v>
      </c>
      <c r="G41" s="72">
        <f>SUM(C41:F41)</f>
        <v>10030</v>
      </c>
    </row>
    <row r="42" spans="1:7" ht="15" customHeight="1" x14ac:dyDescent="0.3">
      <c r="A42" s="164" t="s">
        <v>12</v>
      </c>
      <c r="B42" s="11" t="s">
        <v>2</v>
      </c>
      <c r="C42" s="50">
        <v>44</v>
      </c>
      <c r="D42" s="50">
        <v>1</v>
      </c>
      <c r="E42" s="50">
        <v>4</v>
      </c>
      <c r="F42" s="50">
        <v>12</v>
      </c>
      <c r="G42" s="73">
        <f>SUM(C42:F42)</f>
        <v>61</v>
      </c>
    </row>
    <row r="43" spans="1:7" ht="15" customHeight="1" x14ac:dyDescent="0.3">
      <c r="A43" s="164"/>
      <c r="B43" s="11" t="s">
        <v>3</v>
      </c>
      <c r="C43" s="50">
        <v>489</v>
      </c>
      <c r="D43" s="50">
        <v>15</v>
      </c>
      <c r="E43" s="50">
        <v>21</v>
      </c>
      <c r="F43" s="50">
        <v>65</v>
      </c>
      <c r="G43" s="73">
        <f t="shared" ref="G43:G44" si="9">SUM(C43:F43)</f>
        <v>590</v>
      </c>
    </row>
    <row r="44" spans="1:7" ht="15" customHeight="1" x14ac:dyDescent="0.3">
      <c r="A44" s="164"/>
      <c r="B44" s="11" t="s">
        <v>4</v>
      </c>
      <c r="C44" s="50">
        <v>1209</v>
      </c>
      <c r="D44" s="50">
        <v>19</v>
      </c>
      <c r="E44" s="50">
        <v>70</v>
      </c>
      <c r="F44" s="50">
        <v>166</v>
      </c>
      <c r="G44" s="73">
        <f t="shared" si="9"/>
        <v>1464</v>
      </c>
    </row>
    <row r="45" spans="1:7" ht="15" customHeight="1" x14ac:dyDescent="0.3">
      <c r="A45" s="163" t="s">
        <v>7</v>
      </c>
      <c r="B45" s="70" t="s">
        <v>2</v>
      </c>
      <c r="C45" s="71">
        <v>2</v>
      </c>
      <c r="D45" s="71">
        <v>3</v>
      </c>
      <c r="E45" s="71">
        <v>25</v>
      </c>
      <c r="F45" s="71">
        <v>31</v>
      </c>
      <c r="G45" s="72">
        <f>SUM(C45:F45)</f>
        <v>61</v>
      </c>
    </row>
    <row r="46" spans="1:7" ht="15" customHeight="1" x14ac:dyDescent="0.3">
      <c r="A46" s="163"/>
      <c r="B46" s="70" t="s">
        <v>3</v>
      </c>
      <c r="C46" s="71">
        <v>13</v>
      </c>
      <c r="D46" s="71">
        <v>22</v>
      </c>
      <c r="E46" s="71">
        <v>155</v>
      </c>
      <c r="F46" s="71">
        <v>177</v>
      </c>
      <c r="G46" s="72">
        <f>SUM(C46:F46)</f>
        <v>367</v>
      </c>
    </row>
    <row r="47" spans="1:7" ht="15" customHeight="1" x14ac:dyDescent="0.3">
      <c r="A47" s="163"/>
      <c r="B47" s="70" t="s">
        <v>4</v>
      </c>
      <c r="C47" s="71">
        <v>31</v>
      </c>
      <c r="D47" s="71">
        <v>50</v>
      </c>
      <c r="E47" s="71">
        <v>318</v>
      </c>
      <c r="F47" s="71">
        <v>357</v>
      </c>
      <c r="G47" s="72">
        <f>SUM(C47:F47)</f>
        <v>756</v>
      </c>
    </row>
    <row r="48" spans="1:7" ht="15" customHeight="1" x14ac:dyDescent="0.3">
      <c r="A48" s="164" t="s">
        <v>5</v>
      </c>
      <c r="B48" s="11" t="s">
        <v>2</v>
      </c>
      <c r="C48" s="50">
        <v>4</v>
      </c>
      <c r="D48" s="50">
        <v>12</v>
      </c>
      <c r="E48" s="50">
        <v>5</v>
      </c>
      <c r="F48" s="50">
        <v>3</v>
      </c>
      <c r="G48" s="73">
        <f t="shared" ref="G48:G60" si="10">SUM(C48:F48)</f>
        <v>24</v>
      </c>
    </row>
    <row r="49" spans="1:7" ht="15" customHeight="1" x14ac:dyDescent="0.3">
      <c r="A49" s="164"/>
      <c r="B49" s="11" t="s">
        <v>3</v>
      </c>
      <c r="C49" s="50">
        <v>28</v>
      </c>
      <c r="D49" s="50">
        <v>112</v>
      </c>
      <c r="E49" s="50">
        <v>28</v>
      </c>
      <c r="F49" s="50">
        <v>25</v>
      </c>
      <c r="G49" s="73">
        <f t="shared" si="10"/>
        <v>193</v>
      </c>
    </row>
    <row r="50" spans="1:7" ht="15" customHeight="1" x14ac:dyDescent="0.3">
      <c r="A50" s="164"/>
      <c r="B50" s="11" t="s">
        <v>4</v>
      </c>
      <c r="C50" s="50">
        <v>67</v>
      </c>
      <c r="D50" s="50">
        <v>288</v>
      </c>
      <c r="E50" s="50">
        <v>62</v>
      </c>
      <c r="F50" s="50">
        <v>44</v>
      </c>
      <c r="G50" s="73">
        <f t="shared" si="10"/>
        <v>461</v>
      </c>
    </row>
    <row r="51" spans="1:7" ht="15" customHeight="1" x14ac:dyDescent="0.3">
      <c r="A51" s="163" t="s">
        <v>10</v>
      </c>
      <c r="B51" s="16" t="s">
        <v>2</v>
      </c>
      <c r="C51" s="71">
        <v>12</v>
      </c>
      <c r="D51" s="71">
        <v>2</v>
      </c>
      <c r="E51" s="71">
        <v>1</v>
      </c>
      <c r="F51" s="71">
        <v>0</v>
      </c>
      <c r="G51" s="72">
        <f t="shared" si="10"/>
        <v>15</v>
      </c>
    </row>
    <row r="52" spans="1:7" ht="15" customHeight="1" x14ac:dyDescent="0.3">
      <c r="A52" s="163"/>
      <c r="B52" s="16" t="s">
        <v>3</v>
      </c>
      <c r="C52" s="71">
        <v>149</v>
      </c>
      <c r="D52" s="71">
        <v>16</v>
      </c>
      <c r="E52" s="71">
        <v>11</v>
      </c>
      <c r="F52" s="71">
        <v>0</v>
      </c>
      <c r="G52" s="72">
        <f t="shared" si="10"/>
        <v>176</v>
      </c>
    </row>
    <row r="53" spans="1:7" ht="15" customHeight="1" x14ac:dyDescent="0.3">
      <c r="A53" s="163"/>
      <c r="B53" s="16" t="s">
        <v>4</v>
      </c>
      <c r="C53" s="71">
        <v>308</v>
      </c>
      <c r="D53" s="71">
        <v>40</v>
      </c>
      <c r="E53" s="71">
        <v>28</v>
      </c>
      <c r="F53" s="71">
        <v>0</v>
      </c>
      <c r="G53" s="72">
        <f t="shared" si="10"/>
        <v>376</v>
      </c>
    </row>
    <row r="54" spans="1:7" ht="15" customHeight="1" x14ac:dyDescent="0.3">
      <c r="A54" s="164" t="s">
        <v>11</v>
      </c>
      <c r="B54" s="11" t="s">
        <v>2</v>
      </c>
      <c r="C54" s="50">
        <v>7</v>
      </c>
      <c r="D54" s="50">
        <v>0</v>
      </c>
      <c r="E54" s="50">
        <v>0</v>
      </c>
      <c r="F54" s="50">
        <v>0</v>
      </c>
      <c r="G54" s="73">
        <f t="shared" ref="G54:G56" si="11">SUM(C54:F54)</f>
        <v>7</v>
      </c>
    </row>
    <row r="55" spans="1:7" ht="15" customHeight="1" x14ac:dyDescent="0.3">
      <c r="A55" s="164"/>
      <c r="B55" s="11" t="s">
        <v>3</v>
      </c>
      <c r="C55" s="50">
        <v>47</v>
      </c>
      <c r="D55" s="50">
        <v>0</v>
      </c>
      <c r="E55" s="50">
        <v>0</v>
      </c>
      <c r="F55" s="50">
        <v>0</v>
      </c>
      <c r="G55" s="73">
        <f t="shared" si="11"/>
        <v>47</v>
      </c>
    </row>
    <row r="56" spans="1:7" ht="15" customHeight="1" x14ac:dyDescent="0.3">
      <c r="A56" s="164"/>
      <c r="B56" s="11" t="s">
        <v>4</v>
      </c>
      <c r="C56" s="50">
        <v>119</v>
      </c>
      <c r="D56" s="50">
        <v>0</v>
      </c>
      <c r="E56" s="50">
        <v>0</v>
      </c>
      <c r="F56" s="50">
        <v>0</v>
      </c>
      <c r="G56" s="73">
        <f t="shared" si="11"/>
        <v>119</v>
      </c>
    </row>
    <row r="57" spans="1:7" ht="15" customHeight="1" x14ac:dyDescent="0.3">
      <c r="A57" s="164" t="s">
        <v>6</v>
      </c>
      <c r="B57" s="11" t="s">
        <v>2</v>
      </c>
      <c r="C57" s="50">
        <v>1</v>
      </c>
      <c r="D57" s="50">
        <v>2</v>
      </c>
      <c r="E57" s="50">
        <v>1</v>
      </c>
      <c r="F57" s="50">
        <v>1</v>
      </c>
      <c r="G57" s="73">
        <f t="shared" si="10"/>
        <v>5</v>
      </c>
    </row>
    <row r="58" spans="1:7" ht="15" customHeight="1" x14ac:dyDescent="0.3">
      <c r="A58" s="164"/>
      <c r="B58" s="11" t="s">
        <v>3</v>
      </c>
      <c r="C58" s="50">
        <v>5</v>
      </c>
      <c r="D58" s="50">
        <v>15</v>
      </c>
      <c r="E58" s="50">
        <v>3</v>
      </c>
      <c r="F58" s="50">
        <v>6</v>
      </c>
      <c r="G58" s="73">
        <f t="shared" si="10"/>
        <v>29</v>
      </c>
    </row>
    <row r="59" spans="1:7" ht="15" customHeight="1" x14ac:dyDescent="0.3">
      <c r="A59" s="164"/>
      <c r="B59" s="11" t="s">
        <v>4</v>
      </c>
      <c r="C59" s="50">
        <v>20</v>
      </c>
      <c r="D59" s="50">
        <v>30</v>
      </c>
      <c r="E59" s="50">
        <v>7</v>
      </c>
      <c r="F59" s="50">
        <v>18</v>
      </c>
      <c r="G59" s="73">
        <f t="shared" si="10"/>
        <v>75</v>
      </c>
    </row>
    <row r="60" spans="1:7" ht="15" customHeight="1" x14ac:dyDescent="0.3">
      <c r="A60" s="163" t="s">
        <v>9</v>
      </c>
      <c r="B60" s="16" t="s">
        <v>2</v>
      </c>
      <c r="C60" s="71">
        <v>1</v>
      </c>
      <c r="D60" s="71">
        <v>0</v>
      </c>
      <c r="E60" s="71">
        <v>0</v>
      </c>
      <c r="F60" s="71">
        <v>0</v>
      </c>
      <c r="G60" s="72">
        <f t="shared" si="10"/>
        <v>1</v>
      </c>
    </row>
    <row r="61" spans="1:7" ht="15" customHeight="1" x14ac:dyDescent="0.3">
      <c r="A61" s="163"/>
      <c r="B61" s="16" t="s">
        <v>3</v>
      </c>
      <c r="C61" s="71">
        <v>9</v>
      </c>
      <c r="D61" s="71">
        <v>0</v>
      </c>
      <c r="E61" s="71">
        <v>0</v>
      </c>
      <c r="F61" s="71">
        <v>0</v>
      </c>
      <c r="G61" s="72">
        <f t="shared" ref="G61:G62" si="12">SUM(C61:F61)</f>
        <v>9</v>
      </c>
    </row>
    <row r="62" spans="1:7" ht="15" customHeight="1" x14ac:dyDescent="0.3">
      <c r="A62" s="163"/>
      <c r="B62" s="16" t="s">
        <v>4</v>
      </c>
      <c r="C62" s="71">
        <v>17</v>
      </c>
      <c r="D62" s="71">
        <v>0</v>
      </c>
      <c r="E62" s="71">
        <v>0</v>
      </c>
      <c r="F62" s="71">
        <v>0</v>
      </c>
      <c r="G62" s="72">
        <f t="shared" si="12"/>
        <v>17</v>
      </c>
    </row>
    <row r="63" spans="1:7" ht="15" customHeight="1" x14ac:dyDescent="0.3">
      <c r="A63" s="176" t="s">
        <v>1</v>
      </c>
      <c r="B63" s="95" t="s">
        <v>2</v>
      </c>
      <c r="C63" s="97">
        <f>SUMIF($B$6:$B$29,$B$6,C39:F62)</f>
        <v>124</v>
      </c>
      <c r="D63" s="97">
        <f t="shared" ref="D63" si="13">SUMIF($B$6:$B$29,$B$6,D39:G62)</f>
        <v>133</v>
      </c>
      <c r="E63" s="97">
        <f t="shared" ref="E63" si="14">SUMIF($B$6:$B$29,$B$6,E39:H62)</f>
        <v>339</v>
      </c>
      <c r="F63" s="97">
        <f t="shared" ref="F63" si="15">SUMIF($B$6:$B$29,$B$6,F39:I62)</f>
        <v>183</v>
      </c>
      <c r="G63" s="97">
        <f>SUM(C63:F63)</f>
        <v>779</v>
      </c>
    </row>
    <row r="64" spans="1:7" ht="15" customHeight="1" x14ac:dyDescent="0.3">
      <c r="A64" s="176"/>
      <c r="B64" s="95" t="s">
        <v>3</v>
      </c>
      <c r="C64" s="97">
        <f>SUMIF($B$6:$B$29,$B$7,C39:F62)</f>
        <v>1211</v>
      </c>
      <c r="D64" s="97">
        <f t="shared" ref="D64:D65" si="16">SUMIF($B$6:$B$29,$B$7,D39:G62)</f>
        <v>1233</v>
      </c>
      <c r="E64" s="97">
        <f t="shared" ref="E64:E65" si="17">SUMIF($B$6:$B$29,$B$7,E39:H62)</f>
        <v>2445</v>
      </c>
      <c r="F64" s="97">
        <f t="shared" ref="F64:F65" si="18">SUMIF($B$6:$B$29,$B$7,F39:I62)</f>
        <v>1029</v>
      </c>
      <c r="G64" s="97">
        <f t="shared" ref="G64:G65" si="19">SUM(C64:F64)</f>
        <v>5918</v>
      </c>
    </row>
    <row r="65" spans="1:7" ht="15" customHeight="1" x14ac:dyDescent="0.3">
      <c r="A65" s="176"/>
      <c r="B65" s="95" t="s">
        <v>4</v>
      </c>
      <c r="C65" s="97">
        <f>SUMIF($B$6:$B$29,$B$7,C40:F63)</f>
        <v>2863</v>
      </c>
      <c r="D65" s="97">
        <f t="shared" si="16"/>
        <v>2786</v>
      </c>
      <c r="E65" s="97">
        <f t="shared" si="17"/>
        <v>5369</v>
      </c>
      <c r="F65" s="97">
        <f t="shared" si="18"/>
        <v>2280</v>
      </c>
      <c r="G65" s="97">
        <f t="shared" si="19"/>
        <v>13298</v>
      </c>
    </row>
    <row r="66" spans="1:7" ht="15" customHeight="1" x14ac:dyDescent="0.3">
      <c r="A66" s="6" t="s">
        <v>135</v>
      </c>
      <c r="B66" s="6"/>
      <c r="C66" s="6"/>
      <c r="D66" s="6"/>
      <c r="E66" s="7"/>
      <c r="F66" s="7"/>
      <c r="G66" s="7"/>
    </row>
    <row r="69" spans="1:7" ht="15" customHeight="1" x14ac:dyDescent="0.3">
      <c r="A69" s="162" t="s">
        <v>99</v>
      </c>
      <c r="B69" s="162"/>
      <c r="C69" s="162"/>
      <c r="D69" s="162"/>
      <c r="E69" s="162"/>
      <c r="F69" s="162"/>
      <c r="G69" s="162"/>
    </row>
    <row r="70" spans="1:7" ht="15" customHeight="1" x14ac:dyDescent="0.3">
      <c r="A70" s="162" t="s">
        <v>100</v>
      </c>
      <c r="B70" s="162"/>
      <c r="C70" s="162"/>
      <c r="D70" s="162"/>
      <c r="E70" s="162"/>
      <c r="F70" s="162"/>
      <c r="G70" s="162"/>
    </row>
    <row r="71" spans="1:7" ht="15" customHeight="1" x14ac:dyDescent="0.3">
      <c r="A71" s="94" t="s">
        <v>125</v>
      </c>
      <c r="B71" s="46"/>
      <c r="C71" s="46" t="s">
        <v>82</v>
      </c>
      <c r="D71" s="46" t="s">
        <v>83</v>
      </c>
      <c r="E71" s="46" t="s">
        <v>84</v>
      </c>
      <c r="F71" s="46" t="s">
        <v>85</v>
      </c>
      <c r="G71" s="46" t="s">
        <v>1</v>
      </c>
    </row>
    <row r="72" spans="1:7" ht="15" customHeight="1" x14ac:dyDescent="0.3">
      <c r="A72" s="175" t="s">
        <v>8</v>
      </c>
      <c r="B72" s="70" t="s">
        <v>2</v>
      </c>
      <c r="C72" s="74">
        <v>53</v>
      </c>
      <c r="D72" s="74">
        <v>113</v>
      </c>
      <c r="E72" s="74">
        <v>303</v>
      </c>
      <c r="F72" s="74">
        <v>128</v>
      </c>
      <c r="G72" s="75">
        <f>SUM(C72:F72)</f>
        <v>597</v>
      </c>
    </row>
    <row r="73" spans="1:7" ht="15" customHeight="1" x14ac:dyDescent="0.3">
      <c r="A73" s="175"/>
      <c r="B73" s="70" t="s">
        <v>3</v>
      </c>
      <c r="C73" s="74">
        <v>471</v>
      </c>
      <c r="D73" s="74">
        <v>1053</v>
      </c>
      <c r="E73" s="74">
        <v>2227</v>
      </c>
      <c r="F73" s="74">
        <v>725</v>
      </c>
      <c r="G73" s="75">
        <f t="shared" ref="G73:G74" si="20">SUM(C73:F73)</f>
        <v>4476</v>
      </c>
    </row>
    <row r="74" spans="1:7" ht="15" customHeight="1" x14ac:dyDescent="0.3">
      <c r="A74" s="175"/>
      <c r="B74" s="70" t="s">
        <v>4</v>
      </c>
      <c r="C74" s="74">
        <v>1092</v>
      </c>
      <c r="D74" s="74">
        <v>2359</v>
      </c>
      <c r="E74" s="74">
        <v>4884</v>
      </c>
      <c r="F74" s="74">
        <v>1615</v>
      </c>
      <c r="G74" s="75">
        <f t="shared" si="20"/>
        <v>9950</v>
      </c>
    </row>
    <row r="75" spans="1:7" ht="15" customHeight="1" x14ac:dyDescent="0.3">
      <c r="A75" s="164" t="s">
        <v>12</v>
      </c>
      <c r="B75" s="11" t="s">
        <v>2</v>
      </c>
      <c r="C75" s="60">
        <v>43</v>
      </c>
      <c r="D75" s="60">
        <v>1</v>
      </c>
      <c r="E75" s="60">
        <v>4</v>
      </c>
      <c r="F75" s="60">
        <v>3</v>
      </c>
      <c r="G75" s="76">
        <f t="shared" ref="G75:G80" si="21">SUM(C75:F75)</f>
        <v>51</v>
      </c>
    </row>
    <row r="76" spans="1:7" ht="15" customHeight="1" x14ac:dyDescent="0.3">
      <c r="A76" s="164"/>
      <c r="B76" s="11" t="s">
        <v>3</v>
      </c>
      <c r="C76" s="60">
        <v>472</v>
      </c>
      <c r="D76" s="60">
        <v>15</v>
      </c>
      <c r="E76" s="60">
        <v>21</v>
      </c>
      <c r="F76" s="60">
        <v>22</v>
      </c>
      <c r="G76" s="76">
        <f t="shared" si="21"/>
        <v>530</v>
      </c>
    </row>
    <row r="77" spans="1:7" ht="15" customHeight="1" x14ac:dyDescent="0.3">
      <c r="A77" s="164"/>
      <c r="B77" s="11" t="s">
        <v>4</v>
      </c>
      <c r="C77" s="60">
        <v>1168</v>
      </c>
      <c r="D77" s="60">
        <v>19</v>
      </c>
      <c r="E77" s="60">
        <v>70</v>
      </c>
      <c r="F77" s="60">
        <v>44</v>
      </c>
      <c r="G77" s="76">
        <f t="shared" si="21"/>
        <v>1301</v>
      </c>
    </row>
    <row r="78" spans="1:7" ht="15" customHeight="1" x14ac:dyDescent="0.3">
      <c r="A78" s="175" t="s">
        <v>7</v>
      </c>
      <c r="B78" s="70" t="s">
        <v>2</v>
      </c>
      <c r="C78" s="74">
        <v>2</v>
      </c>
      <c r="D78" s="74">
        <v>3</v>
      </c>
      <c r="E78" s="74">
        <v>25</v>
      </c>
      <c r="F78" s="74">
        <v>30</v>
      </c>
      <c r="G78" s="75">
        <f t="shared" si="21"/>
        <v>60</v>
      </c>
    </row>
    <row r="79" spans="1:7" ht="15" customHeight="1" x14ac:dyDescent="0.3">
      <c r="A79" s="175"/>
      <c r="B79" s="70" t="s">
        <v>3</v>
      </c>
      <c r="C79" s="74">
        <v>13</v>
      </c>
      <c r="D79" s="74">
        <v>22</v>
      </c>
      <c r="E79" s="74">
        <v>155</v>
      </c>
      <c r="F79" s="74">
        <v>177</v>
      </c>
      <c r="G79" s="75">
        <f t="shared" si="21"/>
        <v>367</v>
      </c>
    </row>
    <row r="80" spans="1:7" ht="15" customHeight="1" x14ac:dyDescent="0.3">
      <c r="A80" s="175"/>
      <c r="B80" s="70" t="s">
        <v>4</v>
      </c>
      <c r="C80" s="74">
        <v>31</v>
      </c>
      <c r="D80" s="74">
        <v>50</v>
      </c>
      <c r="E80" s="74">
        <v>318</v>
      </c>
      <c r="F80" s="74">
        <v>357</v>
      </c>
      <c r="G80" s="75">
        <f t="shared" si="21"/>
        <v>756</v>
      </c>
    </row>
    <row r="81" spans="1:7" ht="15" customHeight="1" x14ac:dyDescent="0.3">
      <c r="A81" s="165" t="s">
        <v>5</v>
      </c>
      <c r="B81" s="11" t="s">
        <v>2</v>
      </c>
      <c r="C81" s="60">
        <v>4</v>
      </c>
      <c r="D81" s="60">
        <v>12</v>
      </c>
      <c r="E81" s="60">
        <v>5</v>
      </c>
      <c r="F81" s="60">
        <v>1</v>
      </c>
      <c r="G81" s="76">
        <f t="shared" ref="G81:G93" si="22">SUM(C81:F81)</f>
        <v>22</v>
      </c>
    </row>
    <row r="82" spans="1:7" ht="15" customHeight="1" x14ac:dyDescent="0.3">
      <c r="A82" s="165"/>
      <c r="B82" s="11" t="s">
        <v>3</v>
      </c>
      <c r="C82" s="60">
        <v>28</v>
      </c>
      <c r="D82" s="60">
        <v>112</v>
      </c>
      <c r="E82" s="60">
        <v>28</v>
      </c>
      <c r="F82" s="60">
        <v>13</v>
      </c>
      <c r="G82" s="76">
        <f t="shared" si="22"/>
        <v>181</v>
      </c>
    </row>
    <row r="83" spans="1:7" ht="15" customHeight="1" x14ac:dyDescent="0.3">
      <c r="A83" s="165"/>
      <c r="B83" s="11" t="s">
        <v>4</v>
      </c>
      <c r="C83" s="60">
        <v>67</v>
      </c>
      <c r="D83" s="60">
        <v>288</v>
      </c>
      <c r="E83" s="60">
        <v>62</v>
      </c>
      <c r="F83" s="60">
        <v>19</v>
      </c>
      <c r="G83" s="76">
        <f t="shared" si="22"/>
        <v>436</v>
      </c>
    </row>
    <row r="84" spans="1:7" ht="15" customHeight="1" x14ac:dyDescent="0.3">
      <c r="A84" s="175" t="s">
        <v>10</v>
      </c>
      <c r="B84" s="16" t="s">
        <v>2</v>
      </c>
      <c r="C84" s="74">
        <v>12</v>
      </c>
      <c r="D84" s="74">
        <v>2</v>
      </c>
      <c r="E84" s="74">
        <v>1</v>
      </c>
      <c r="F84" s="74">
        <v>0</v>
      </c>
      <c r="G84" s="75">
        <f t="shared" si="22"/>
        <v>15</v>
      </c>
    </row>
    <row r="85" spans="1:7" ht="15" customHeight="1" x14ac:dyDescent="0.3">
      <c r="A85" s="175"/>
      <c r="B85" s="16" t="s">
        <v>3</v>
      </c>
      <c r="C85" s="74">
        <v>149</v>
      </c>
      <c r="D85" s="74">
        <v>16</v>
      </c>
      <c r="E85" s="74">
        <v>11</v>
      </c>
      <c r="F85" s="74">
        <v>0</v>
      </c>
      <c r="G85" s="75">
        <f t="shared" si="22"/>
        <v>176</v>
      </c>
    </row>
    <row r="86" spans="1:7" ht="15" customHeight="1" x14ac:dyDescent="0.3">
      <c r="A86" s="175"/>
      <c r="B86" s="16" t="s">
        <v>4</v>
      </c>
      <c r="C86" s="74">
        <v>308</v>
      </c>
      <c r="D86" s="74">
        <v>40</v>
      </c>
      <c r="E86" s="74">
        <v>28</v>
      </c>
      <c r="F86" s="74">
        <v>0</v>
      </c>
      <c r="G86" s="75">
        <f t="shared" si="22"/>
        <v>376</v>
      </c>
    </row>
    <row r="87" spans="1:7" ht="15" customHeight="1" x14ac:dyDescent="0.3">
      <c r="A87" s="165" t="s">
        <v>11</v>
      </c>
      <c r="B87" s="11" t="s">
        <v>2</v>
      </c>
      <c r="C87" s="60">
        <v>7</v>
      </c>
      <c r="D87" s="60">
        <v>0</v>
      </c>
      <c r="E87" s="60">
        <v>0</v>
      </c>
      <c r="F87" s="60">
        <v>0</v>
      </c>
      <c r="G87" s="76">
        <f t="shared" ref="G87:G89" si="23">SUM(C87:F87)</f>
        <v>7</v>
      </c>
    </row>
    <row r="88" spans="1:7" ht="15" customHeight="1" x14ac:dyDescent="0.3">
      <c r="A88" s="165"/>
      <c r="B88" s="11" t="s">
        <v>3</v>
      </c>
      <c r="C88" s="60">
        <v>47</v>
      </c>
      <c r="D88" s="60">
        <v>0</v>
      </c>
      <c r="E88" s="60">
        <v>0</v>
      </c>
      <c r="F88" s="60">
        <v>0</v>
      </c>
      <c r="G88" s="76">
        <f t="shared" si="23"/>
        <v>47</v>
      </c>
    </row>
    <row r="89" spans="1:7" ht="15" customHeight="1" x14ac:dyDescent="0.3">
      <c r="A89" s="165"/>
      <c r="B89" s="11" t="s">
        <v>4</v>
      </c>
      <c r="C89" s="60">
        <v>119</v>
      </c>
      <c r="D89" s="60">
        <v>0</v>
      </c>
      <c r="E89" s="60">
        <v>0</v>
      </c>
      <c r="F89" s="60">
        <v>0</v>
      </c>
      <c r="G89" s="76">
        <f t="shared" si="23"/>
        <v>119</v>
      </c>
    </row>
    <row r="90" spans="1:7" ht="15" customHeight="1" x14ac:dyDescent="0.3">
      <c r="A90" s="165" t="s">
        <v>6</v>
      </c>
      <c r="B90" s="11" t="s">
        <v>2</v>
      </c>
      <c r="C90" s="60">
        <v>1</v>
      </c>
      <c r="D90" s="60">
        <v>2</v>
      </c>
      <c r="E90" s="60">
        <v>1</v>
      </c>
      <c r="F90" s="60">
        <v>0</v>
      </c>
      <c r="G90" s="76">
        <f t="shared" si="22"/>
        <v>4</v>
      </c>
    </row>
    <row r="91" spans="1:7" ht="15" customHeight="1" x14ac:dyDescent="0.3">
      <c r="A91" s="165"/>
      <c r="B91" s="11" t="s">
        <v>3</v>
      </c>
      <c r="C91" s="60">
        <v>5</v>
      </c>
      <c r="D91" s="60">
        <v>15</v>
      </c>
      <c r="E91" s="60">
        <v>3</v>
      </c>
      <c r="F91" s="60">
        <v>0</v>
      </c>
      <c r="G91" s="76">
        <f t="shared" si="22"/>
        <v>23</v>
      </c>
    </row>
    <row r="92" spans="1:7" ht="15" customHeight="1" x14ac:dyDescent="0.3">
      <c r="A92" s="165"/>
      <c r="B92" s="11" t="s">
        <v>4</v>
      </c>
      <c r="C92" s="60">
        <v>20</v>
      </c>
      <c r="D92" s="60">
        <v>30</v>
      </c>
      <c r="E92" s="60">
        <v>7</v>
      </c>
      <c r="F92" s="60">
        <v>0</v>
      </c>
      <c r="G92" s="76">
        <f t="shared" si="22"/>
        <v>57</v>
      </c>
    </row>
    <row r="93" spans="1:7" ht="15" customHeight="1" x14ac:dyDescent="0.3">
      <c r="A93" s="175" t="s">
        <v>9</v>
      </c>
      <c r="B93" s="16" t="s">
        <v>2</v>
      </c>
      <c r="C93" s="74">
        <v>1</v>
      </c>
      <c r="D93" s="74">
        <v>0</v>
      </c>
      <c r="E93" s="74">
        <v>0</v>
      </c>
      <c r="F93" s="74">
        <v>0</v>
      </c>
      <c r="G93" s="75">
        <f t="shared" si="22"/>
        <v>1</v>
      </c>
    </row>
    <row r="94" spans="1:7" ht="15" customHeight="1" x14ac:dyDescent="0.3">
      <c r="A94" s="175"/>
      <c r="B94" s="16" t="s">
        <v>3</v>
      </c>
      <c r="C94" s="74">
        <v>9</v>
      </c>
      <c r="D94" s="74">
        <v>0</v>
      </c>
      <c r="E94" s="74">
        <v>0</v>
      </c>
      <c r="F94" s="74">
        <v>0</v>
      </c>
      <c r="G94" s="75">
        <f t="shared" ref="G94:G95" si="24">SUM(C94:F94)</f>
        <v>9</v>
      </c>
    </row>
    <row r="95" spans="1:7" ht="15" customHeight="1" x14ac:dyDescent="0.3">
      <c r="A95" s="175"/>
      <c r="B95" s="16" t="s">
        <v>4</v>
      </c>
      <c r="C95" s="74">
        <v>17</v>
      </c>
      <c r="D95" s="74">
        <v>0</v>
      </c>
      <c r="E95" s="74">
        <v>0</v>
      </c>
      <c r="F95" s="74">
        <v>0</v>
      </c>
      <c r="G95" s="75">
        <f t="shared" si="24"/>
        <v>17</v>
      </c>
    </row>
    <row r="96" spans="1:7" ht="15" customHeight="1" x14ac:dyDescent="0.3">
      <c r="A96" s="176" t="s">
        <v>1</v>
      </c>
      <c r="B96" s="95" t="s">
        <v>2</v>
      </c>
      <c r="C96" s="96">
        <f>SUMIF($B$6:$B$29,$B$6,C72:F95)</f>
        <v>123</v>
      </c>
      <c r="D96" s="96">
        <f t="shared" ref="D96" si="25">SUMIF($B$6:$B$29,$B$6,D72:G95)</f>
        <v>133</v>
      </c>
      <c r="E96" s="96">
        <f t="shared" ref="E96" si="26">SUMIF($B$6:$B$29,$B$6,E72:H95)</f>
        <v>339</v>
      </c>
      <c r="F96" s="96">
        <f t="shared" ref="F96" si="27">SUMIF($B$6:$B$29,$B$6,F72:I95)</f>
        <v>162</v>
      </c>
      <c r="G96" s="96">
        <f>SUM(C96:F96)</f>
        <v>757</v>
      </c>
    </row>
    <row r="97" spans="1:8" ht="15" customHeight="1" x14ac:dyDescent="0.3">
      <c r="A97" s="176"/>
      <c r="B97" s="95" t="s">
        <v>3</v>
      </c>
      <c r="C97" s="96">
        <f>SUMIF($B$6:$B$29,$B$7,C72:F95)</f>
        <v>1194</v>
      </c>
      <c r="D97" s="96">
        <f t="shared" ref="D97:D98" si="28">SUMIF($B$6:$B$29,$B$7,D72:G95)</f>
        <v>1233</v>
      </c>
      <c r="E97" s="96">
        <f t="shared" ref="E97:E98" si="29">SUMIF($B$6:$B$29,$B$7,E72:H95)</f>
        <v>2445</v>
      </c>
      <c r="F97" s="96">
        <f t="shared" ref="F97:F98" si="30">SUMIF($B$6:$B$29,$B$7,F72:I95)</f>
        <v>937</v>
      </c>
      <c r="G97" s="96">
        <f t="shared" ref="G97:G98" si="31">SUM(C97:F97)</f>
        <v>5809</v>
      </c>
    </row>
    <row r="98" spans="1:8" ht="15" customHeight="1" x14ac:dyDescent="0.3">
      <c r="A98" s="176"/>
      <c r="B98" s="95" t="s">
        <v>4</v>
      </c>
      <c r="C98" s="96">
        <f>SUMIF($B$6:$B$29,$B$7,C73:F96)</f>
        <v>2822</v>
      </c>
      <c r="D98" s="96">
        <f t="shared" si="28"/>
        <v>2786</v>
      </c>
      <c r="E98" s="96">
        <f t="shared" si="29"/>
        <v>5369</v>
      </c>
      <c r="F98" s="96">
        <f t="shared" si="30"/>
        <v>2035</v>
      </c>
      <c r="G98" s="96">
        <f t="shared" si="31"/>
        <v>13012</v>
      </c>
    </row>
    <row r="99" spans="1:8" ht="15" customHeight="1" x14ac:dyDescent="0.3">
      <c r="A99" s="6" t="s">
        <v>135</v>
      </c>
      <c r="B99" s="7"/>
      <c r="C99" s="7"/>
      <c r="D99" s="7"/>
      <c r="E99" s="7"/>
      <c r="F99" s="7"/>
      <c r="G99" s="7"/>
      <c r="H99" s="7"/>
    </row>
    <row r="100" spans="1:8" ht="15" customHeight="1" x14ac:dyDescent="0.3">
      <c r="A100" s="8"/>
      <c r="B100" s="8"/>
      <c r="C100" s="8"/>
      <c r="D100" s="8"/>
      <c r="E100" s="8"/>
      <c r="F100" s="8"/>
      <c r="G100" s="8"/>
      <c r="H100" s="8"/>
    </row>
  </sheetData>
  <mergeCells count="33">
    <mergeCell ref="A30:A32"/>
    <mergeCell ref="A15:A17"/>
    <mergeCell ref="A18:A20"/>
    <mergeCell ref="A21:A23"/>
    <mergeCell ref="A24:A26"/>
    <mergeCell ref="A27:A29"/>
    <mergeCell ref="A3:G3"/>
    <mergeCell ref="A4:G4"/>
    <mergeCell ref="A6:A8"/>
    <mergeCell ref="A9:A11"/>
    <mergeCell ref="A12:A14"/>
    <mergeCell ref="A63:A65"/>
    <mergeCell ref="A60:A62"/>
    <mergeCell ref="A42:A44"/>
    <mergeCell ref="A39:A41"/>
    <mergeCell ref="A54:A56"/>
    <mergeCell ref="A45:A47"/>
    <mergeCell ref="A36:G36"/>
    <mergeCell ref="A37:G37"/>
    <mergeCell ref="A48:A50"/>
    <mergeCell ref="A51:A53"/>
    <mergeCell ref="A57:A59"/>
    <mergeCell ref="A69:G69"/>
    <mergeCell ref="A70:G70"/>
    <mergeCell ref="A78:A80"/>
    <mergeCell ref="A96:A98"/>
    <mergeCell ref="A72:A74"/>
    <mergeCell ref="A87:A89"/>
    <mergeCell ref="A90:A92"/>
    <mergeCell ref="A93:A95"/>
    <mergeCell ref="A75:A77"/>
    <mergeCell ref="A81:A83"/>
    <mergeCell ref="A84:A86"/>
  </mergeCells>
  <pageMargins left="0.70866141732283472" right="0.70866141732283472" top="0.74803149606299213" bottom="0.74803149606299213" header="0.31496062992125984" footer="0.31496062992125984"/>
  <pageSetup paperSize="9" scale="98" orientation="landscape" r:id="rId1"/>
  <headerFooter>
    <oddHeader>&amp;R&amp;G</oddHeader>
    <oddFooter>&amp;L&amp;F&amp;C&amp;P&amp;R&amp;A</oddFooter>
  </headerFooter>
  <rowBreaks count="2" manualBreakCount="2">
    <brk id="33" max="16383" man="1"/>
    <brk id="66"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3:R65"/>
  <sheetViews>
    <sheetView showGridLines="0" zoomScaleNormal="100" workbookViewId="0">
      <pane xSplit="1" topLeftCell="B1" activePane="topRight" state="frozen"/>
      <selection pane="topRight" activeCell="H27" sqref="H27"/>
    </sheetView>
  </sheetViews>
  <sheetFormatPr defaultRowHeight="15" customHeight="1" x14ac:dyDescent="0.3"/>
  <cols>
    <col min="1" max="1" width="16.44140625" style="11" customWidth="1"/>
    <col min="2" max="2" width="22.109375" style="11" customWidth="1"/>
    <col min="3" max="6" width="10.109375" style="11" customWidth="1"/>
    <col min="7" max="8" width="11.6640625" style="11" bestFit="1" customWidth="1"/>
    <col min="9" max="14" width="9.88671875" style="11" customWidth="1"/>
    <col min="15" max="16384" width="8.88671875" style="11"/>
  </cols>
  <sheetData>
    <row r="3" spans="1:14" ht="15" customHeight="1" x14ac:dyDescent="0.3">
      <c r="A3" s="162" t="s">
        <v>179</v>
      </c>
      <c r="B3" s="162"/>
      <c r="C3" s="162"/>
      <c r="D3" s="162"/>
      <c r="E3" s="162"/>
      <c r="F3" s="162"/>
      <c r="G3" s="162"/>
      <c r="H3" s="162"/>
      <c r="I3" s="162"/>
      <c r="J3" s="162"/>
      <c r="K3" s="162"/>
      <c r="L3" s="162"/>
      <c r="M3" s="162"/>
      <c r="N3" s="162"/>
    </row>
    <row r="4" spans="1:14" ht="15" customHeight="1" x14ac:dyDescent="0.3">
      <c r="A4" s="94" t="s">
        <v>125</v>
      </c>
      <c r="B4" s="46"/>
      <c r="C4" s="44">
        <v>2013</v>
      </c>
      <c r="D4" s="44">
        <v>2014</v>
      </c>
      <c r="E4" s="44">
        <v>2015</v>
      </c>
      <c r="F4" s="44">
        <v>2016</v>
      </c>
      <c r="G4" s="44">
        <v>2017</v>
      </c>
      <c r="H4" s="44">
        <v>2018</v>
      </c>
      <c r="I4" s="44">
        <v>2019</v>
      </c>
      <c r="J4" s="44">
        <v>2020</v>
      </c>
      <c r="K4" s="44">
        <v>2021</v>
      </c>
      <c r="L4" s="44">
        <v>2022</v>
      </c>
      <c r="M4" s="44">
        <v>2023</v>
      </c>
      <c r="N4" s="44">
        <v>2024</v>
      </c>
    </row>
    <row r="5" spans="1:14" ht="15" customHeight="1" x14ac:dyDescent="0.3">
      <c r="A5" s="164" t="s">
        <v>12</v>
      </c>
      <c r="B5" s="63" t="s">
        <v>86</v>
      </c>
      <c r="C5" s="64">
        <v>1367809</v>
      </c>
      <c r="D5" s="64">
        <v>1811105</v>
      </c>
      <c r="E5" s="64">
        <v>1916641</v>
      </c>
      <c r="F5" s="64">
        <v>1793836</v>
      </c>
      <c r="G5" s="64">
        <v>2055831</v>
      </c>
      <c r="H5" s="64">
        <v>2416899</v>
      </c>
      <c r="I5" s="64">
        <v>2438305</v>
      </c>
      <c r="J5" s="64">
        <v>489087</v>
      </c>
      <c r="K5" s="64">
        <v>964685</v>
      </c>
      <c r="L5" s="64">
        <v>2265247</v>
      </c>
      <c r="M5" s="64">
        <v>2695309</v>
      </c>
      <c r="N5" s="64">
        <v>2769004</v>
      </c>
    </row>
    <row r="6" spans="1:14" ht="15" customHeight="1" x14ac:dyDescent="0.3">
      <c r="A6" s="164"/>
      <c r="B6" s="63" t="s">
        <v>87</v>
      </c>
      <c r="C6" s="64">
        <v>632365</v>
      </c>
      <c r="D6" s="64">
        <v>666024</v>
      </c>
      <c r="E6" s="64">
        <v>679709</v>
      </c>
      <c r="F6" s="64">
        <v>662681</v>
      </c>
      <c r="G6" s="64">
        <v>633276</v>
      </c>
      <c r="H6" s="64">
        <v>694191</v>
      </c>
      <c r="I6" s="64">
        <v>721854</v>
      </c>
      <c r="J6" s="64">
        <v>289564</v>
      </c>
      <c r="K6" s="64">
        <v>370572</v>
      </c>
      <c r="L6" s="64">
        <v>625253</v>
      </c>
      <c r="M6" s="64">
        <v>748179</v>
      </c>
      <c r="N6" s="64">
        <v>756125</v>
      </c>
    </row>
    <row r="7" spans="1:14" ht="15" customHeight="1" x14ac:dyDescent="0.3">
      <c r="A7" s="164"/>
      <c r="B7" s="63" t="s">
        <v>19</v>
      </c>
      <c r="C7" s="64">
        <v>2952233</v>
      </c>
      <c r="D7" s="64">
        <v>3935147</v>
      </c>
      <c r="E7" s="64">
        <v>3978110</v>
      </c>
      <c r="F7" s="64">
        <v>3964340</v>
      </c>
      <c r="G7" s="64">
        <v>4389846</v>
      </c>
      <c r="H7" s="64">
        <v>5101323</v>
      </c>
      <c r="I7" s="64">
        <v>5180449</v>
      </c>
      <c r="J7" s="64">
        <v>1166052</v>
      </c>
      <c r="K7" s="64">
        <v>2144825</v>
      </c>
      <c r="L7" s="64">
        <v>5098300</v>
      </c>
      <c r="M7" s="64">
        <v>6013671</v>
      </c>
      <c r="N7" s="64">
        <v>6147422</v>
      </c>
    </row>
    <row r="8" spans="1:14" ht="15" customHeight="1" x14ac:dyDescent="0.3">
      <c r="A8" s="164"/>
      <c r="B8" s="63" t="s">
        <v>20</v>
      </c>
      <c r="C8" s="64">
        <v>1223744</v>
      </c>
      <c r="D8" s="64">
        <v>1301779</v>
      </c>
      <c r="E8" s="64">
        <v>1295733</v>
      </c>
      <c r="F8" s="64">
        <v>1266873</v>
      </c>
      <c r="G8" s="64">
        <v>1215601</v>
      </c>
      <c r="H8" s="64">
        <v>1331580</v>
      </c>
      <c r="I8" s="64">
        <v>1353886</v>
      </c>
      <c r="J8" s="64">
        <v>571478</v>
      </c>
      <c r="K8" s="64">
        <v>741334</v>
      </c>
      <c r="L8" s="64">
        <v>1203095</v>
      </c>
      <c r="M8" s="64">
        <v>1444506</v>
      </c>
      <c r="N8" s="64">
        <v>1465688</v>
      </c>
    </row>
    <row r="9" spans="1:14" ht="15" customHeight="1" x14ac:dyDescent="0.3">
      <c r="A9" s="164"/>
      <c r="B9" s="63" t="s">
        <v>21</v>
      </c>
      <c r="C9" s="65">
        <v>0.45200000000000001</v>
      </c>
      <c r="D9" s="65">
        <v>0.56399999999999995</v>
      </c>
      <c r="E9" s="65">
        <v>0.58899999999999997</v>
      </c>
      <c r="F9" s="66">
        <v>0.58399999999999996</v>
      </c>
      <c r="G9" s="66">
        <v>0.623</v>
      </c>
      <c r="H9" s="66">
        <v>0.61</v>
      </c>
      <c r="I9" s="66">
        <v>0.59599999999999997</v>
      </c>
      <c r="J9" s="66">
        <v>0.24299999999999999</v>
      </c>
      <c r="K9" s="66">
        <v>0.34899999999999998</v>
      </c>
      <c r="L9" s="66">
        <v>0.55900000000000005</v>
      </c>
      <c r="M9" s="66">
        <v>0.63400000000000001</v>
      </c>
      <c r="N9" s="66">
        <v>0.60399999999999998</v>
      </c>
    </row>
    <row r="10" spans="1:14" ht="15" customHeight="1" x14ac:dyDescent="0.3">
      <c r="A10" s="178" t="s">
        <v>5</v>
      </c>
      <c r="B10" s="67" t="s">
        <v>86</v>
      </c>
      <c r="C10" s="68">
        <v>221548</v>
      </c>
      <c r="D10" s="68">
        <v>263385</v>
      </c>
      <c r="E10" s="68">
        <v>296834</v>
      </c>
      <c r="F10" s="68">
        <v>314049</v>
      </c>
      <c r="G10" s="68">
        <v>392361</v>
      </c>
      <c r="H10" s="68">
        <v>485102</v>
      </c>
      <c r="I10" s="68">
        <v>480794</v>
      </c>
      <c r="J10" s="68">
        <v>111955</v>
      </c>
      <c r="K10" s="68">
        <v>242461</v>
      </c>
      <c r="L10" s="68">
        <v>440320</v>
      </c>
      <c r="M10" s="68">
        <v>509384</v>
      </c>
      <c r="N10" s="68">
        <v>470165</v>
      </c>
    </row>
    <row r="11" spans="1:14" ht="15" customHeight="1" x14ac:dyDescent="0.3">
      <c r="A11" s="178"/>
      <c r="B11" s="67" t="s">
        <v>87</v>
      </c>
      <c r="C11" s="68">
        <v>127689</v>
      </c>
      <c r="D11" s="68">
        <v>126391</v>
      </c>
      <c r="E11" s="68">
        <v>128069</v>
      </c>
      <c r="F11" s="68">
        <v>120167</v>
      </c>
      <c r="G11" s="68">
        <v>128942</v>
      </c>
      <c r="H11" s="68">
        <v>156904</v>
      </c>
      <c r="I11" s="68">
        <v>185710</v>
      </c>
      <c r="J11" s="68">
        <v>74418</v>
      </c>
      <c r="K11" s="68">
        <v>103674</v>
      </c>
      <c r="L11" s="68">
        <v>141344</v>
      </c>
      <c r="M11" s="68">
        <v>161744</v>
      </c>
      <c r="N11" s="68">
        <v>155254</v>
      </c>
    </row>
    <row r="12" spans="1:14" ht="15" customHeight="1" x14ac:dyDescent="0.3">
      <c r="A12" s="178"/>
      <c r="B12" s="67" t="s">
        <v>19</v>
      </c>
      <c r="C12" s="68">
        <v>551598</v>
      </c>
      <c r="D12" s="68">
        <v>645040</v>
      </c>
      <c r="E12" s="68">
        <v>675765</v>
      </c>
      <c r="F12" s="68">
        <v>699874</v>
      </c>
      <c r="G12" s="68">
        <v>1018295</v>
      </c>
      <c r="H12" s="68">
        <v>1251882</v>
      </c>
      <c r="I12" s="68">
        <v>1181840</v>
      </c>
      <c r="J12" s="68">
        <v>269047</v>
      </c>
      <c r="K12" s="68">
        <v>554147</v>
      </c>
      <c r="L12" s="68">
        <v>1044376</v>
      </c>
      <c r="M12" s="68">
        <v>1184064</v>
      </c>
      <c r="N12" s="68">
        <v>1142618</v>
      </c>
    </row>
    <row r="13" spans="1:14" ht="15" customHeight="1" x14ac:dyDescent="0.3">
      <c r="A13" s="178"/>
      <c r="B13" s="67" t="s">
        <v>20</v>
      </c>
      <c r="C13" s="68">
        <v>250113</v>
      </c>
      <c r="D13" s="68">
        <v>252236</v>
      </c>
      <c r="E13" s="68">
        <v>244365</v>
      </c>
      <c r="F13" s="68">
        <v>233406</v>
      </c>
      <c r="G13" s="68">
        <v>266023</v>
      </c>
      <c r="H13" s="68">
        <v>309597</v>
      </c>
      <c r="I13" s="68">
        <v>361353</v>
      </c>
      <c r="J13" s="68">
        <v>161735</v>
      </c>
      <c r="K13" s="68">
        <v>208398</v>
      </c>
      <c r="L13" s="68">
        <v>277764</v>
      </c>
      <c r="M13" s="68">
        <v>314549</v>
      </c>
      <c r="N13" s="68">
        <v>314232</v>
      </c>
    </row>
    <row r="14" spans="1:14" ht="15" customHeight="1" x14ac:dyDescent="0.3">
      <c r="A14" s="178"/>
      <c r="B14" s="67" t="s">
        <v>22</v>
      </c>
      <c r="C14" s="69">
        <v>0.28899999999999998</v>
      </c>
      <c r="D14" s="69">
        <v>0.32100000000000001</v>
      </c>
      <c r="E14" s="69">
        <v>0.33500000000000002</v>
      </c>
      <c r="F14" s="69">
        <v>0.34100000000000003</v>
      </c>
      <c r="G14" s="69">
        <v>0.40600000000000003</v>
      </c>
      <c r="H14" s="69">
        <v>0.42099999999999999</v>
      </c>
      <c r="I14" s="69">
        <v>0.39300000000000002</v>
      </c>
      <c r="J14" s="69">
        <v>0.22</v>
      </c>
      <c r="K14" s="69">
        <v>0.318</v>
      </c>
      <c r="L14" s="69">
        <v>0.38700000000000001</v>
      </c>
      <c r="M14" s="69">
        <v>0.40899999999999997</v>
      </c>
      <c r="N14" s="69">
        <v>0.39500000000000002</v>
      </c>
    </row>
    <row r="15" spans="1:14" ht="15" customHeight="1" x14ac:dyDescent="0.3">
      <c r="A15" s="164" t="s">
        <v>11</v>
      </c>
      <c r="B15" s="63" t="s">
        <v>86</v>
      </c>
      <c r="C15" s="64">
        <v>146785</v>
      </c>
      <c r="D15" s="64">
        <v>174788</v>
      </c>
      <c r="E15" s="64">
        <v>181505</v>
      </c>
      <c r="F15" s="64">
        <v>175910</v>
      </c>
      <c r="G15" s="64">
        <v>183952</v>
      </c>
      <c r="H15" s="64">
        <v>191814</v>
      </c>
      <c r="I15" s="64">
        <v>209470</v>
      </c>
      <c r="J15" s="64">
        <v>47368</v>
      </c>
      <c r="K15" s="64">
        <v>85404</v>
      </c>
      <c r="L15" s="64">
        <v>162434</v>
      </c>
      <c r="M15" s="64">
        <v>207952</v>
      </c>
      <c r="N15" s="64">
        <v>239603</v>
      </c>
    </row>
    <row r="16" spans="1:14" ht="15" customHeight="1" x14ac:dyDescent="0.3">
      <c r="A16" s="164"/>
      <c r="B16" s="63" t="s">
        <v>87</v>
      </c>
      <c r="C16" s="64">
        <v>120659</v>
      </c>
      <c r="D16" s="64">
        <v>121549</v>
      </c>
      <c r="E16" s="64">
        <v>122342</v>
      </c>
      <c r="F16" s="64">
        <v>131693</v>
      </c>
      <c r="G16" s="64">
        <v>150056</v>
      </c>
      <c r="H16" s="64">
        <v>158767</v>
      </c>
      <c r="I16" s="64">
        <v>160618</v>
      </c>
      <c r="J16" s="64">
        <v>63269</v>
      </c>
      <c r="K16" s="64">
        <v>96437</v>
      </c>
      <c r="L16" s="64">
        <v>132742</v>
      </c>
      <c r="M16" s="64">
        <v>147519</v>
      </c>
      <c r="N16" s="64">
        <v>161064</v>
      </c>
    </row>
    <row r="17" spans="1:14" ht="15" customHeight="1" x14ac:dyDescent="0.3">
      <c r="A17" s="164"/>
      <c r="B17" s="63" t="s">
        <v>19</v>
      </c>
      <c r="C17" s="64">
        <v>325047</v>
      </c>
      <c r="D17" s="64">
        <v>419209</v>
      </c>
      <c r="E17" s="64">
        <v>455452</v>
      </c>
      <c r="F17" s="64">
        <v>446436</v>
      </c>
      <c r="G17" s="64">
        <v>462854</v>
      </c>
      <c r="H17" s="64">
        <v>486892</v>
      </c>
      <c r="I17" s="64">
        <v>509270</v>
      </c>
      <c r="J17" s="64">
        <v>142670</v>
      </c>
      <c r="K17" s="64">
        <v>245337</v>
      </c>
      <c r="L17" s="64">
        <v>451922</v>
      </c>
      <c r="M17" s="64">
        <v>529493</v>
      </c>
      <c r="N17" s="64">
        <v>577156</v>
      </c>
    </row>
    <row r="18" spans="1:14" ht="15" customHeight="1" x14ac:dyDescent="0.3">
      <c r="A18" s="164"/>
      <c r="B18" s="63" t="s">
        <v>20</v>
      </c>
      <c r="C18" s="64">
        <v>232679</v>
      </c>
      <c r="D18" s="64">
        <v>250678</v>
      </c>
      <c r="E18" s="64">
        <v>271205</v>
      </c>
      <c r="F18" s="64">
        <v>285919</v>
      </c>
      <c r="G18" s="64">
        <v>315831</v>
      </c>
      <c r="H18" s="64">
        <v>318975</v>
      </c>
      <c r="I18" s="64">
        <v>318859</v>
      </c>
      <c r="J18" s="64">
        <v>118924</v>
      </c>
      <c r="K18" s="64">
        <v>199494</v>
      </c>
      <c r="L18" s="64">
        <v>275021</v>
      </c>
      <c r="M18" s="64">
        <v>299945</v>
      </c>
      <c r="N18" s="64">
        <v>295372</v>
      </c>
    </row>
    <row r="19" spans="1:14" ht="15" customHeight="1" x14ac:dyDescent="0.3">
      <c r="A19" s="164"/>
      <c r="B19" s="63" t="s">
        <v>23</v>
      </c>
      <c r="C19" s="65">
        <v>0.33200000000000002</v>
      </c>
      <c r="D19" s="65">
        <v>0.39800000000000002</v>
      </c>
      <c r="E19" s="65">
        <v>0.437</v>
      </c>
      <c r="F19" s="66">
        <v>0.434</v>
      </c>
      <c r="G19" s="66">
        <v>0.44700000000000001</v>
      </c>
      <c r="H19" s="66">
        <v>0.44900000000000001</v>
      </c>
      <c r="I19" s="66">
        <v>0.45700000000000002</v>
      </c>
      <c r="J19" s="66">
        <v>0.20100000000000001</v>
      </c>
      <c r="K19" s="66">
        <v>0.32500000000000001</v>
      </c>
      <c r="L19" s="66">
        <v>0.442</v>
      </c>
      <c r="M19" s="66">
        <v>0.50700000000000001</v>
      </c>
      <c r="N19" s="66">
        <v>0.46700000000000003</v>
      </c>
    </row>
    <row r="20" spans="1:14" ht="15" customHeight="1" x14ac:dyDescent="0.3">
      <c r="A20" s="178" t="s">
        <v>7</v>
      </c>
      <c r="B20" s="67" t="s">
        <v>86</v>
      </c>
      <c r="C20" s="68">
        <v>82973</v>
      </c>
      <c r="D20" s="68">
        <v>106358</v>
      </c>
      <c r="E20" s="68">
        <v>116517</v>
      </c>
      <c r="F20" s="68">
        <v>121715</v>
      </c>
      <c r="G20" s="68">
        <v>130864</v>
      </c>
      <c r="H20" s="68">
        <v>158774</v>
      </c>
      <c r="I20" s="68">
        <v>163750</v>
      </c>
      <c r="J20" s="68">
        <v>47856</v>
      </c>
      <c r="K20" s="68">
        <v>79243</v>
      </c>
      <c r="L20" s="68">
        <v>151889</v>
      </c>
      <c r="M20" s="68">
        <v>197416</v>
      </c>
      <c r="N20" s="68">
        <v>236640</v>
      </c>
    </row>
    <row r="21" spans="1:14" ht="15" customHeight="1" x14ac:dyDescent="0.3">
      <c r="A21" s="178"/>
      <c r="B21" s="67" t="s">
        <v>87</v>
      </c>
      <c r="C21" s="68">
        <v>94031</v>
      </c>
      <c r="D21" s="68">
        <v>96473</v>
      </c>
      <c r="E21" s="68">
        <v>100235</v>
      </c>
      <c r="F21" s="68">
        <v>99686</v>
      </c>
      <c r="G21" s="68">
        <v>104267</v>
      </c>
      <c r="H21" s="68">
        <v>104298</v>
      </c>
      <c r="I21" s="68">
        <v>104224</v>
      </c>
      <c r="J21" s="68">
        <v>50696</v>
      </c>
      <c r="K21" s="68">
        <v>60695</v>
      </c>
      <c r="L21" s="68">
        <v>100032</v>
      </c>
      <c r="M21" s="68">
        <v>117933</v>
      </c>
      <c r="N21" s="68">
        <v>126118</v>
      </c>
    </row>
    <row r="22" spans="1:14" ht="15" customHeight="1" x14ac:dyDescent="0.3">
      <c r="A22" s="178"/>
      <c r="B22" s="67" t="s">
        <v>19</v>
      </c>
      <c r="C22" s="68">
        <v>132797</v>
      </c>
      <c r="D22" s="68">
        <v>168940</v>
      </c>
      <c r="E22" s="68">
        <v>197237</v>
      </c>
      <c r="F22" s="68">
        <v>202342</v>
      </c>
      <c r="G22" s="68">
        <v>217831</v>
      </c>
      <c r="H22" s="68">
        <v>270901</v>
      </c>
      <c r="I22" s="68">
        <v>285915</v>
      </c>
      <c r="J22" s="68">
        <v>88531</v>
      </c>
      <c r="K22" s="68">
        <v>140176</v>
      </c>
      <c r="L22" s="68">
        <v>270883</v>
      </c>
      <c r="M22" s="68">
        <v>348688</v>
      </c>
      <c r="N22" s="68">
        <v>403460</v>
      </c>
    </row>
    <row r="23" spans="1:14" ht="15" customHeight="1" x14ac:dyDescent="0.3">
      <c r="A23" s="178"/>
      <c r="B23" s="67" t="s">
        <v>20</v>
      </c>
      <c r="C23" s="68">
        <v>171490</v>
      </c>
      <c r="D23" s="68">
        <v>176620</v>
      </c>
      <c r="E23" s="68">
        <v>186011</v>
      </c>
      <c r="F23" s="68">
        <v>190355</v>
      </c>
      <c r="G23" s="68">
        <v>193282</v>
      </c>
      <c r="H23" s="68">
        <v>194679</v>
      </c>
      <c r="I23" s="68">
        <v>194520</v>
      </c>
      <c r="J23" s="68">
        <v>94913</v>
      </c>
      <c r="K23" s="68">
        <v>117381</v>
      </c>
      <c r="L23" s="68">
        <v>198266</v>
      </c>
      <c r="M23" s="68">
        <v>234177</v>
      </c>
      <c r="N23" s="68">
        <v>241428</v>
      </c>
    </row>
    <row r="24" spans="1:14" ht="15" customHeight="1" x14ac:dyDescent="0.3">
      <c r="A24" s="178"/>
      <c r="B24" s="67" t="s">
        <v>24</v>
      </c>
      <c r="C24" s="69">
        <v>0.29599999999999999</v>
      </c>
      <c r="D24" s="69">
        <v>0.33800000000000002</v>
      </c>
      <c r="E24" s="69">
        <v>0.372</v>
      </c>
      <c r="F24" s="69">
        <v>0.4</v>
      </c>
      <c r="G24" s="69">
        <v>0.41299999999999998</v>
      </c>
      <c r="H24" s="69">
        <v>0.432</v>
      </c>
      <c r="I24" s="69">
        <v>0.42699999999999999</v>
      </c>
      <c r="J24" s="69">
        <v>0.24</v>
      </c>
      <c r="K24" s="69">
        <v>0.33700000000000002</v>
      </c>
      <c r="L24" s="69">
        <v>0.46</v>
      </c>
      <c r="M24" s="69">
        <v>0.54600000000000004</v>
      </c>
      <c r="N24" s="69">
        <v>0.51800000000000002</v>
      </c>
    </row>
    <row r="25" spans="1:14" ht="15" customHeight="1" x14ac:dyDescent="0.3">
      <c r="A25" s="164" t="s">
        <v>145</v>
      </c>
      <c r="B25" s="63" t="s">
        <v>86</v>
      </c>
      <c r="C25" s="64">
        <v>23793</v>
      </c>
      <c r="D25" s="64">
        <v>32706</v>
      </c>
      <c r="E25" s="64">
        <v>35830</v>
      </c>
      <c r="F25" s="64">
        <v>37840</v>
      </c>
      <c r="G25" s="64">
        <v>43297</v>
      </c>
      <c r="H25" s="64">
        <v>64743</v>
      </c>
      <c r="I25" s="64">
        <v>59550</v>
      </c>
      <c r="J25" s="64">
        <v>18404</v>
      </c>
      <c r="K25" s="64">
        <v>41363</v>
      </c>
      <c r="L25" s="64">
        <v>59165</v>
      </c>
      <c r="M25" s="64">
        <v>70760</v>
      </c>
      <c r="N25" s="64">
        <v>72908</v>
      </c>
    </row>
    <row r="26" spans="1:14" ht="15" customHeight="1" x14ac:dyDescent="0.3">
      <c r="A26" s="164"/>
      <c r="B26" s="63" t="s">
        <v>87</v>
      </c>
      <c r="C26" s="64">
        <v>69111</v>
      </c>
      <c r="D26" s="64">
        <v>69041</v>
      </c>
      <c r="E26" s="64">
        <v>65767</v>
      </c>
      <c r="F26" s="64">
        <v>74744</v>
      </c>
      <c r="G26" s="64">
        <v>74011</v>
      </c>
      <c r="H26" s="64">
        <v>97101</v>
      </c>
      <c r="I26" s="64">
        <v>90142</v>
      </c>
      <c r="J26" s="64">
        <v>49739</v>
      </c>
      <c r="K26" s="64">
        <v>79926</v>
      </c>
      <c r="L26" s="64">
        <v>89002</v>
      </c>
      <c r="M26" s="64">
        <v>97856</v>
      </c>
      <c r="N26" s="64">
        <v>111840</v>
      </c>
    </row>
    <row r="27" spans="1:14" ht="15" customHeight="1" x14ac:dyDescent="0.3">
      <c r="A27" s="164"/>
      <c r="B27" s="63" t="s">
        <v>19</v>
      </c>
      <c r="C27" s="64">
        <v>83747</v>
      </c>
      <c r="D27" s="64">
        <v>116720</v>
      </c>
      <c r="E27" s="64">
        <v>128486</v>
      </c>
      <c r="F27" s="64">
        <v>133169</v>
      </c>
      <c r="G27" s="64">
        <v>145635</v>
      </c>
      <c r="H27" s="64">
        <v>209183</v>
      </c>
      <c r="I27" s="64">
        <v>196215</v>
      </c>
      <c r="J27" s="64">
        <v>59850</v>
      </c>
      <c r="K27" s="64">
        <v>130320</v>
      </c>
      <c r="L27" s="64">
        <v>181109</v>
      </c>
      <c r="M27" s="64">
        <v>225415</v>
      </c>
      <c r="N27" s="64">
        <v>245891</v>
      </c>
    </row>
    <row r="28" spans="1:14" ht="15" customHeight="1" x14ac:dyDescent="0.3">
      <c r="A28" s="164"/>
      <c r="B28" s="63" t="s">
        <v>20</v>
      </c>
      <c r="C28" s="64">
        <v>174509</v>
      </c>
      <c r="D28" s="64">
        <v>177276</v>
      </c>
      <c r="E28" s="64">
        <v>168962</v>
      </c>
      <c r="F28" s="64">
        <v>185199</v>
      </c>
      <c r="G28" s="64">
        <v>187194</v>
      </c>
      <c r="H28" s="64">
        <v>239078</v>
      </c>
      <c r="I28" s="64">
        <v>220303</v>
      </c>
      <c r="J28" s="64">
        <v>129821</v>
      </c>
      <c r="K28" s="64">
        <v>195066</v>
      </c>
      <c r="L28" s="64">
        <v>216028</v>
      </c>
      <c r="M28" s="64">
        <v>239189</v>
      </c>
      <c r="N28" s="64">
        <v>275548</v>
      </c>
    </row>
    <row r="29" spans="1:14" ht="15" customHeight="1" x14ac:dyDescent="0.3">
      <c r="A29" s="164"/>
      <c r="B29" s="63" t="s">
        <v>24</v>
      </c>
      <c r="C29" s="65">
        <v>0.20399999999999999</v>
      </c>
      <c r="D29" s="65">
        <v>0.22800000000000001</v>
      </c>
      <c r="E29" s="65">
        <v>0.224</v>
      </c>
      <c r="F29" s="66">
        <v>0.23499999999999999</v>
      </c>
      <c r="G29" s="66">
        <v>0.245</v>
      </c>
      <c r="H29" s="66">
        <v>0.23699999999999999</v>
      </c>
      <c r="I29" s="66">
        <v>0.22</v>
      </c>
      <c r="J29" s="66">
        <v>0.20799999999999999</v>
      </c>
      <c r="K29" s="66">
        <v>0.36499999999999999</v>
      </c>
      <c r="L29" s="66">
        <v>0.28299999999999997</v>
      </c>
      <c r="M29" s="66">
        <v>0.315</v>
      </c>
      <c r="N29" s="66">
        <v>0.32800000000000001</v>
      </c>
    </row>
    <row r="30" spans="1:14" ht="15" customHeight="1" x14ac:dyDescent="0.3">
      <c r="A30" s="178" t="s">
        <v>10</v>
      </c>
      <c r="B30" s="67" t="s">
        <v>86</v>
      </c>
      <c r="C30" s="68">
        <v>36004</v>
      </c>
      <c r="D30" s="68">
        <v>45988</v>
      </c>
      <c r="E30" s="68">
        <v>49234</v>
      </c>
      <c r="F30" s="68">
        <v>52546</v>
      </c>
      <c r="G30" s="68">
        <v>60838</v>
      </c>
      <c r="H30" s="68">
        <v>61175</v>
      </c>
      <c r="I30" s="68">
        <v>61529</v>
      </c>
      <c r="J30" s="68">
        <v>13241</v>
      </c>
      <c r="K30" s="68">
        <v>23729</v>
      </c>
      <c r="L30" s="68">
        <v>52603</v>
      </c>
      <c r="M30" s="68">
        <v>61920</v>
      </c>
      <c r="N30" s="68">
        <v>68428</v>
      </c>
    </row>
    <row r="31" spans="1:14" ht="15" customHeight="1" x14ac:dyDescent="0.3">
      <c r="A31" s="178"/>
      <c r="B31" s="67" t="s">
        <v>87</v>
      </c>
      <c r="C31" s="68">
        <v>56642</v>
      </c>
      <c r="D31" s="68">
        <v>69380</v>
      </c>
      <c r="E31" s="68">
        <v>74103</v>
      </c>
      <c r="F31" s="68">
        <v>74967</v>
      </c>
      <c r="G31" s="68">
        <v>79315</v>
      </c>
      <c r="H31" s="68">
        <v>85956</v>
      </c>
      <c r="I31" s="68">
        <v>89538</v>
      </c>
      <c r="J31" s="68">
        <v>38381</v>
      </c>
      <c r="K31" s="68">
        <v>58844</v>
      </c>
      <c r="L31" s="68">
        <v>93292</v>
      </c>
      <c r="M31" s="68">
        <v>100917</v>
      </c>
      <c r="N31" s="68">
        <v>102942</v>
      </c>
    </row>
    <row r="32" spans="1:14" ht="15" customHeight="1" x14ac:dyDescent="0.3">
      <c r="A32" s="178"/>
      <c r="B32" s="67" t="s">
        <v>19</v>
      </c>
      <c r="C32" s="68">
        <v>80660</v>
      </c>
      <c r="D32" s="68">
        <v>102214</v>
      </c>
      <c r="E32" s="68">
        <v>107204</v>
      </c>
      <c r="F32" s="68">
        <v>108513</v>
      </c>
      <c r="G32" s="68">
        <v>113230</v>
      </c>
      <c r="H32" s="68">
        <v>121273</v>
      </c>
      <c r="I32" s="68">
        <v>119940</v>
      </c>
      <c r="J32" s="68">
        <v>31092</v>
      </c>
      <c r="K32" s="68">
        <v>54217</v>
      </c>
      <c r="L32" s="68">
        <v>118207</v>
      </c>
      <c r="M32" s="68">
        <v>137344</v>
      </c>
      <c r="N32" s="68">
        <v>145969</v>
      </c>
    </row>
    <row r="33" spans="1:14" ht="15" customHeight="1" x14ac:dyDescent="0.3">
      <c r="A33" s="178"/>
      <c r="B33" s="67" t="s">
        <v>20</v>
      </c>
      <c r="C33" s="68">
        <v>88912</v>
      </c>
      <c r="D33" s="68">
        <v>111868</v>
      </c>
      <c r="E33" s="68">
        <v>123353</v>
      </c>
      <c r="F33" s="68">
        <v>125735</v>
      </c>
      <c r="G33" s="68">
        <v>134108</v>
      </c>
      <c r="H33" s="68">
        <v>153768</v>
      </c>
      <c r="I33" s="68">
        <v>154637</v>
      </c>
      <c r="J33" s="68">
        <v>69423</v>
      </c>
      <c r="K33" s="68">
        <v>106447</v>
      </c>
      <c r="L33" s="68">
        <v>163089</v>
      </c>
      <c r="M33" s="68">
        <v>176167</v>
      </c>
      <c r="N33" s="68">
        <v>172299</v>
      </c>
    </row>
    <row r="34" spans="1:14" ht="15" customHeight="1" x14ac:dyDescent="0.3">
      <c r="A34" s="178"/>
      <c r="B34" s="67" t="s">
        <v>24</v>
      </c>
      <c r="C34" s="69">
        <v>0.247</v>
      </c>
      <c r="D34" s="69">
        <v>0.307</v>
      </c>
      <c r="E34" s="69">
        <v>0.33100000000000002</v>
      </c>
      <c r="F34" s="69">
        <v>0.34599999999999997</v>
      </c>
      <c r="G34" s="69">
        <v>0.36299999999999999</v>
      </c>
      <c r="H34" s="69">
        <v>0.373</v>
      </c>
      <c r="I34" s="69">
        <v>0.35199999999999998</v>
      </c>
      <c r="J34" s="69">
        <v>0.187</v>
      </c>
      <c r="K34" s="69">
        <v>0.26400000000000001</v>
      </c>
      <c r="L34" s="69">
        <v>0.36399999999999999</v>
      </c>
      <c r="M34" s="69">
        <v>0.42099999999999999</v>
      </c>
      <c r="N34" s="69">
        <v>0.39500000000000002</v>
      </c>
    </row>
    <row r="35" spans="1:14" ht="15" customHeight="1" x14ac:dyDescent="0.3">
      <c r="A35" s="164" t="s">
        <v>6</v>
      </c>
      <c r="B35" s="63" t="s">
        <v>86</v>
      </c>
      <c r="C35" s="64">
        <v>15572</v>
      </c>
      <c r="D35" s="64">
        <v>18922</v>
      </c>
      <c r="E35" s="64">
        <v>18236</v>
      </c>
      <c r="F35" s="64">
        <v>33632</v>
      </c>
      <c r="G35" s="64">
        <v>38221</v>
      </c>
      <c r="H35" s="64">
        <v>45051</v>
      </c>
      <c r="I35" s="64">
        <v>43897</v>
      </c>
      <c r="J35" s="64">
        <v>15308</v>
      </c>
      <c r="K35" s="64">
        <v>31499</v>
      </c>
      <c r="L35" s="64">
        <v>39349</v>
      </c>
      <c r="M35" s="64">
        <v>35674</v>
      </c>
      <c r="N35" s="64">
        <v>27719</v>
      </c>
    </row>
    <row r="36" spans="1:14" ht="15" customHeight="1" x14ac:dyDescent="0.3">
      <c r="A36" s="164"/>
      <c r="B36" s="63" t="s">
        <v>87</v>
      </c>
      <c r="C36" s="64">
        <v>10441</v>
      </c>
      <c r="D36" s="64">
        <v>11040</v>
      </c>
      <c r="E36" s="64">
        <v>11686</v>
      </c>
      <c r="F36" s="64">
        <v>21701</v>
      </c>
      <c r="G36" s="64">
        <v>23654</v>
      </c>
      <c r="H36" s="64">
        <v>20513</v>
      </c>
      <c r="I36" s="64">
        <v>24481</v>
      </c>
      <c r="J36" s="64">
        <v>16516</v>
      </c>
      <c r="K36" s="64">
        <v>18135</v>
      </c>
      <c r="L36" s="64">
        <v>20275</v>
      </c>
      <c r="M36" s="64">
        <v>18706</v>
      </c>
      <c r="N36" s="64">
        <v>17095</v>
      </c>
    </row>
    <row r="37" spans="1:14" ht="15" customHeight="1" x14ac:dyDescent="0.3">
      <c r="A37" s="164"/>
      <c r="B37" s="63" t="s">
        <v>19</v>
      </c>
      <c r="C37" s="64">
        <v>105655</v>
      </c>
      <c r="D37" s="64">
        <v>123534</v>
      </c>
      <c r="E37" s="64">
        <v>117108</v>
      </c>
      <c r="F37" s="64">
        <v>114481</v>
      </c>
      <c r="G37" s="64">
        <v>122683</v>
      </c>
      <c r="H37" s="64">
        <v>132096</v>
      </c>
      <c r="I37" s="64">
        <v>127391</v>
      </c>
      <c r="J37" s="64">
        <v>32414</v>
      </c>
      <c r="K37" s="64">
        <v>48375</v>
      </c>
      <c r="L37" s="64">
        <v>117983</v>
      </c>
      <c r="M37" s="64">
        <v>130316</v>
      </c>
      <c r="N37" s="64">
        <v>112038</v>
      </c>
    </row>
    <row r="38" spans="1:14" ht="15" customHeight="1" x14ac:dyDescent="0.3">
      <c r="A38" s="164"/>
      <c r="B38" s="63" t="s">
        <v>20</v>
      </c>
      <c r="C38" s="64">
        <v>22080</v>
      </c>
      <c r="D38" s="64">
        <v>27691</v>
      </c>
      <c r="E38" s="64">
        <v>30864</v>
      </c>
      <c r="F38" s="64">
        <v>34815</v>
      </c>
      <c r="G38" s="64">
        <v>34577</v>
      </c>
      <c r="H38" s="64">
        <v>28852</v>
      </c>
      <c r="I38" s="64">
        <v>33101</v>
      </c>
      <c r="J38" s="64">
        <v>23924</v>
      </c>
      <c r="K38" s="64">
        <v>25986</v>
      </c>
      <c r="L38" s="64">
        <v>28843</v>
      </c>
      <c r="M38" s="64">
        <v>33904</v>
      </c>
      <c r="N38" s="64">
        <v>36706</v>
      </c>
    </row>
    <row r="39" spans="1:14" ht="15" customHeight="1" x14ac:dyDescent="0.3">
      <c r="A39" s="164"/>
      <c r="B39" s="63" t="s">
        <v>24</v>
      </c>
      <c r="C39" s="65">
        <v>0.35799999999999998</v>
      </c>
      <c r="D39" s="65">
        <v>0.42499999999999999</v>
      </c>
      <c r="E39" s="65">
        <v>0.41399999999999998</v>
      </c>
      <c r="F39" s="66">
        <v>0.41499999999999998</v>
      </c>
      <c r="G39" s="66">
        <v>0.435</v>
      </c>
      <c r="H39" s="66">
        <v>0.42799999999999999</v>
      </c>
      <c r="I39" s="66">
        <v>0.39800000000000002</v>
      </c>
      <c r="J39" s="66">
        <v>0.26700000000000002</v>
      </c>
      <c r="K39" s="66">
        <v>0.307</v>
      </c>
      <c r="L39" s="66">
        <v>0.45700000000000002</v>
      </c>
      <c r="M39" s="66">
        <v>0.53400000000000003</v>
      </c>
      <c r="N39" s="66">
        <v>0.45800000000000002</v>
      </c>
    </row>
    <row r="40" spans="1:14" ht="15" customHeight="1" x14ac:dyDescent="0.3">
      <c r="A40" s="178" t="s">
        <v>9</v>
      </c>
      <c r="B40" s="67" t="s">
        <v>86</v>
      </c>
      <c r="C40" s="68">
        <v>839</v>
      </c>
      <c r="D40" s="68">
        <v>1053</v>
      </c>
      <c r="E40" s="68">
        <v>1193</v>
      </c>
      <c r="F40" s="68">
        <v>985</v>
      </c>
      <c r="G40" s="68">
        <v>1181</v>
      </c>
      <c r="H40" s="68">
        <v>1304</v>
      </c>
      <c r="I40" s="68">
        <v>1379</v>
      </c>
      <c r="J40" s="68">
        <v>302</v>
      </c>
      <c r="K40" s="68">
        <v>326</v>
      </c>
      <c r="L40" s="68">
        <v>1033</v>
      </c>
      <c r="M40" s="68">
        <v>1555</v>
      </c>
      <c r="N40" s="68">
        <v>2125</v>
      </c>
    </row>
    <row r="41" spans="1:14" ht="15" customHeight="1" x14ac:dyDescent="0.3">
      <c r="A41" s="178"/>
      <c r="B41" s="67" t="s">
        <v>87</v>
      </c>
      <c r="C41" s="68">
        <v>26532</v>
      </c>
      <c r="D41" s="68">
        <v>9608</v>
      </c>
      <c r="E41" s="68">
        <v>7708</v>
      </c>
      <c r="F41" s="68">
        <v>5710</v>
      </c>
      <c r="G41" s="68">
        <v>7000</v>
      </c>
      <c r="H41" s="68">
        <v>9440</v>
      </c>
      <c r="I41" s="68">
        <v>9752</v>
      </c>
      <c r="J41" s="68">
        <v>5616</v>
      </c>
      <c r="K41" s="68">
        <v>8185</v>
      </c>
      <c r="L41" s="68">
        <v>5786</v>
      </c>
      <c r="M41" s="68">
        <v>6274</v>
      </c>
      <c r="N41" s="68">
        <v>8084</v>
      </c>
    </row>
    <row r="42" spans="1:14" ht="15" customHeight="1" x14ac:dyDescent="0.3">
      <c r="A42" s="178"/>
      <c r="B42" s="67" t="s">
        <v>19</v>
      </c>
      <c r="C42" s="68">
        <v>1521</v>
      </c>
      <c r="D42" s="68">
        <v>1833</v>
      </c>
      <c r="E42" s="68">
        <v>2121</v>
      </c>
      <c r="F42" s="68">
        <v>1970</v>
      </c>
      <c r="G42" s="68">
        <v>2772</v>
      </c>
      <c r="H42" s="68">
        <v>2749</v>
      </c>
      <c r="I42" s="68">
        <v>2930</v>
      </c>
      <c r="J42" s="68">
        <v>647</v>
      </c>
      <c r="K42" s="68">
        <v>640</v>
      </c>
      <c r="L42" s="68">
        <v>2343</v>
      </c>
      <c r="M42" s="68">
        <v>3798</v>
      </c>
      <c r="N42" s="68">
        <v>5079</v>
      </c>
    </row>
    <row r="43" spans="1:14" ht="15" customHeight="1" x14ac:dyDescent="0.3">
      <c r="A43" s="178"/>
      <c r="B43" s="67" t="s">
        <v>20</v>
      </c>
      <c r="C43" s="68">
        <v>35457</v>
      </c>
      <c r="D43" s="68">
        <v>14011</v>
      </c>
      <c r="E43" s="68">
        <v>12150</v>
      </c>
      <c r="F43" s="68">
        <v>10396</v>
      </c>
      <c r="G43" s="68">
        <v>13822</v>
      </c>
      <c r="H43" s="68">
        <v>19471</v>
      </c>
      <c r="I43" s="68">
        <v>20238</v>
      </c>
      <c r="J43" s="68">
        <v>8980</v>
      </c>
      <c r="K43" s="68">
        <v>13919</v>
      </c>
      <c r="L43" s="68">
        <v>10716</v>
      </c>
      <c r="M43" s="68">
        <v>12113</v>
      </c>
      <c r="N43" s="68">
        <v>16035</v>
      </c>
    </row>
    <row r="44" spans="1:14" ht="15" customHeight="1" x14ac:dyDescent="0.3">
      <c r="A44" s="178"/>
      <c r="B44" s="67" t="s">
        <v>24</v>
      </c>
      <c r="C44" s="69">
        <v>0.17899999999999999</v>
      </c>
      <c r="D44" s="69">
        <v>7.6999999999999999E-2</v>
      </c>
      <c r="E44" s="69">
        <v>6.9000000000000006E-2</v>
      </c>
      <c r="F44" s="69">
        <v>0.06</v>
      </c>
      <c r="G44" s="69">
        <v>0.08</v>
      </c>
      <c r="H44" s="69">
        <v>9.0999999999999998E-2</v>
      </c>
      <c r="I44" s="69">
        <v>9.4E-2</v>
      </c>
      <c r="J44" s="69">
        <v>5.6000000000000001E-2</v>
      </c>
      <c r="K44" s="69">
        <v>9.0999999999999998E-2</v>
      </c>
      <c r="L44" s="69">
        <v>7.5999999999999998E-2</v>
      </c>
      <c r="M44" s="69">
        <v>0.13300000000000001</v>
      </c>
      <c r="N44" s="69">
        <v>0.13500000000000001</v>
      </c>
    </row>
    <row r="45" spans="1:14" ht="15" customHeight="1" x14ac:dyDescent="0.3">
      <c r="A45" s="161" t="s">
        <v>1</v>
      </c>
      <c r="B45" s="98" t="s">
        <v>86</v>
      </c>
      <c r="C45" s="99">
        <v>1895323</v>
      </c>
      <c r="D45" s="99">
        <v>2454305</v>
      </c>
      <c r="E45" s="99">
        <v>2615990</v>
      </c>
      <c r="F45" s="99">
        <v>2530513</v>
      </c>
      <c r="G45" s="99">
        <v>2906545</v>
      </c>
      <c r="H45" s="99">
        <v>3424862</v>
      </c>
      <c r="I45" s="99">
        <v>3458674</v>
      </c>
      <c r="J45" s="99">
        <v>743521</v>
      </c>
      <c r="K45" s="99">
        <v>1468710</v>
      </c>
      <c r="L45" s="99">
        <v>3172040</v>
      </c>
      <c r="M45" s="99">
        <v>3779970</v>
      </c>
      <c r="N45" s="99">
        <v>3886592</v>
      </c>
    </row>
    <row r="46" spans="1:14" ht="15" customHeight="1" x14ac:dyDescent="0.3">
      <c r="A46" s="161"/>
      <c r="B46" s="98" t="s">
        <v>87</v>
      </c>
      <c r="C46" s="99">
        <v>1137470</v>
      </c>
      <c r="D46" s="99">
        <v>1169506</v>
      </c>
      <c r="E46" s="99">
        <v>1189619</v>
      </c>
      <c r="F46" s="99">
        <v>1191349</v>
      </c>
      <c r="G46" s="99">
        <v>1200521</v>
      </c>
      <c r="H46" s="99">
        <v>1327170</v>
      </c>
      <c r="I46" s="99">
        <v>1386319</v>
      </c>
      <c r="J46" s="99">
        <v>588199</v>
      </c>
      <c r="K46" s="99">
        <v>796468</v>
      </c>
      <c r="L46" s="99">
        <v>1207726</v>
      </c>
      <c r="M46" s="99">
        <v>1399128</v>
      </c>
      <c r="N46" s="99">
        <v>1438522</v>
      </c>
    </row>
    <row r="47" spans="1:14" ht="15" customHeight="1" x14ac:dyDescent="0.3">
      <c r="A47" s="161"/>
      <c r="B47" s="98" t="s">
        <v>19</v>
      </c>
      <c r="C47" s="99">
        <v>4233258</v>
      </c>
      <c r="D47" s="99">
        <v>5512637</v>
      </c>
      <c r="E47" s="99">
        <v>5661483</v>
      </c>
      <c r="F47" s="99">
        <v>5671125</v>
      </c>
      <c r="G47" s="99">
        <v>6473146</v>
      </c>
      <c r="H47" s="99">
        <v>7576299</v>
      </c>
      <c r="I47" s="99">
        <v>7603950</v>
      </c>
      <c r="J47" s="99">
        <v>1790303</v>
      </c>
      <c r="K47" s="99">
        <v>3318037</v>
      </c>
      <c r="L47" s="99">
        <v>7285123</v>
      </c>
      <c r="M47" s="99">
        <v>8572789</v>
      </c>
      <c r="N47" s="99">
        <v>8779633</v>
      </c>
    </row>
    <row r="48" spans="1:14" ht="15" customHeight="1" x14ac:dyDescent="0.3">
      <c r="A48" s="161"/>
      <c r="B48" s="98" t="s">
        <v>20</v>
      </c>
      <c r="C48" s="99">
        <v>2198984</v>
      </c>
      <c r="D48" s="99">
        <v>2312159</v>
      </c>
      <c r="E48" s="99">
        <v>2332643</v>
      </c>
      <c r="F48" s="99">
        <v>2332698</v>
      </c>
      <c r="G48" s="99">
        <v>2360438</v>
      </c>
      <c r="H48" s="99">
        <v>2596000</v>
      </c>
      <c r="I48" s="99">
        <v>2656897</v>
      </c>
      <c r="J48" s="99">
        <v>1179198</v>
      </c>
      <c r="K48" s="99">
        <v>1608025</v>
      </c>
      <c r="L48" s="99">
        <v>2372822</v>
      </c>
      <c r="M48" s="99">
        <v>2754550</v>
      </c>
      <c r="N48" s="99">
        <v>2817308</v>
      </c>
    </row>
    <row r="49" spans="1:18" ht="15" customHeight="1" x14ac:dyDescent="0.3">
      <c r="A49" s="161"/>
      <c r="B49" s="98" t="s">
        <v>24</v>
      </c>
      <c r="C49" s="100">
        <v>0.373</v>
      </c>
      <c r="D49" s="100">
        <v>0.45100000000000001</v>
      </c>
      <c r="E49" s="100">
        <v>0.47099999999999997</v>
      </c>
      <c r="F49" s="100">
        <v>0.47199999999999998</v>
      </c>
      <c r="G49" s="100">
        <v>0.505</v>
      </c>
      <c r="H49" s="100">
        <v>0.499</v>
      </c>
      <c r="I49" s="100">
        <v>0.48499999999999999</v>
      </c>
      <c r="J49" s="100">
        <v>0.22800000000000001</v>
      </c>
      <c r="K49" s="100">
        <v>0.33500000000000002</v>
      </c>
      <c r="L49" s="100">
        <v>0.48299999999999998</v>
      </c>
      <c r="M49" s="100">
        <v>0.54500000000000004</v>
      </c>
      <c r="N49" s="100">
        <v>0.52</v>
      </c>
    </row>
    <row r="50" spans="1:18" ht="15" customHeight="1" x14ac:dyDescent="0.3">
      <c r="A50" s="177" t="s">
        <v>136</v>
      </c>
      <c r="B50" s="177"/>
      <c r="C50" s="177"/>
      <c r="D50" s="177"/>
      <c r="E50" s="177"/>
      <c r="F50" s="177"/>
      <c r="G50" s="177"/>
      <c r="H50" s="177"/>
      <c r="I50" s="177"/>
      <c r="J50" s="177"/>
      <c r="K50" s="177"/>
      <c r="L50" s="130"/>
      <c r="M50" s="130"/>
      <c r="N50" s="130"/>
      <c r="O50" s="2"/>
      <c r="P50" s="2"/>
      <c r="Q50" s="2"/>
      <c r="R50" s="2"/>
    </row>
    <row r="51" spans="1:18" ht="15" customHeight="1" x14ac:dyDescent="0.3">
      <c r="A51" s="177"/>
      <c r="B51" s="177"/>
      <c r="C51" s="177"/>
      <c r="D51" s="177"/>
      <c r="E51" s="177"/>
      <c r="F51" s="177"/>
      <c r="G51" s="177"/>
      <c r="H51" s="177"/>
      <c r="I51" s="177"/>
      <c r="J51" s="177"/>
      <c r="K51" s="177"/>
      <c r="L51" s="130"/>
      <c r="M51" s="130"/>
      <c r="N51" s="130"/>
    </row>
    <row r="52" spans="1:18" ht="15" customHeight="1" x14ac:dyDescent="0.3">
      <c r="A52" s="5"/>
      <c r="B52" s="5"/>
      <c r="C52" s="5"/>
      <c r="D52" s="5"/>
      <c r="E52" s="5"/>
      <c r="F52" s="5"/>
    </row>
    <row r="53" spans="1:18" ht="15" customHeight="1" x14ac:dyDescent="0.3">
      <c r="A53" s="5"/>
      <c r="B53" s="5"/>
      <c r="C53" s="5"/>
      <c r="D53" s="5"/>
      <c r="E53" s="5"/>
      <c r="F53" s="5"/>
    </row>
    <row r="54" spans="1:18" ht="15" customHeight="1" x14ac:dyDescent="0.3">
      <c r="C54" s="60"/>
    </row>
    <row r="55" spans="1:18" ht="15" customHeight="1" x14ac:dyDescent="0.3">
      <c r="C55" s="60"/>
      <c r="D55" s="60"/>
      <c r="E55" s="60"/>
      <c r="F55" s="60"/>
      <c r="G55" s="60"/>
      <c r="H55" s="60"/>
      <c r="I55" s="60"/>
      <c r="J55" s="60"/>
      <c r="K55" s="60"/>
      <c r="L55" s="60"/>
      <c r="M55" s="60"/>
      <c r="N55" s="60"/>
    </row>
    <row r="56" spans="1:18" ht="15" customHeight="1" x14ac:dyDescent="0.3">
      <c r="C56" s="60"/>
      <c r="D56" s="60"/>
      <c r="E56" s="60"/>
      <c r="F56" s="60"/>
      <c r="G56" s="60"/>
      <c r="H56" s="60"/>
      <c r="I56" s="60"/>
      <c r="J56" s="60"/>
      <c r="K56" s="60"/>
      <c r="L56" s="60"/>
      <c r="M56" s="60"/>
      <c r="N56" s="60"/>
    </row>
    <row r="57" spans="1:18" ht="15" customHeight="1" x14ac:dyDescent="0.3">
      <c r="C57" s="60"/>
      <c r="D57" s="60"/>
      <c r="E57" s="60"/>
      <c r="F57" s="60"/>
      <c r="G57" s="60"/>
      <c r="H57" s="60"/>
      <c r="I57" s="60"/>
      <c r="J57" s="60"/>
      <c r="K57" s="60"/>
      <c r="L57" s="60"/>
      <c r="M57" s="60"/>
      <c r="N57" s="60"/>
    </row>
    <row r="58" spans="1:18" ht="15" customHeight="1" x14ac:dyDescent="0.3">
      <c r="C58" s="60"/>
      <c r="D58" s="60"/>
      <c r="E58" s="60"/>
      <c r="F58" s="60"/>
      <c r="G58" s="60"/>
      <c r="H58" s="60"/>
      <c r="I58" s="60"/>
      <c r="J58" s="60"/>
      <c r="K58" s="60"/>
      <c r="L58" s="60"/>
      <c r="M58" s="60"/>
      <c r="N58" s="60"/>
    </row>
    <row r="61" spans="1:18" ht="15" customHeight="1" x14ac:dyDescent="0.3">
      <c r="C61" s="60"/>
      <c r="D61" s="60"/>
      <c r="E61" s="60"/>
      <c r="F61" s="60"/>
      <c r="G61" s="60"/>
      <c r="H61" s="60"/>
      <c r="I61" s="60"/>
      <c r="J61" s="60"/>
      <c r="K61" s="60"/>
      <c r="L61" s="60"/>
      <c r="M61" s="60"/>
      <c r="N61" s="60"/>
    </row>
    <row r="62" spans="1:18" ht="15" customHeight="1" x14ac:dyDescent="0.3">
      <c r="C62" s="60"/>
      <c r="D62" s="60"/>
      <c r="E62" s="60"/>
      <c r="F62" s="60"/>
      <c r="G62" s="60"/>
      <c r="H62" s="60"/>
      <c r="I62" s="60"/>
      <c r="J62" s="60"/>
      <c r="K62" s="60"/>
      <c r="L62" s="60"/>
      <c r="M62" s="60"/>
      <c r="N62" s="60"/>
    </row>
    <row r="63" spans="1:18" ht="15" customHeight="1" x14ac:dyDescent="0.3">
      <c r="C63" s="60"/>
      <c r="D63" s="60"/>
      <c r="E63" s="60"/>
      <c r="F63" s="60"/>
      <c r="G63" s="60"/>
      <c r="H63" s="60"/>
      <c r="I63" s="60"/>
      <c r="J63" s="60"/>
      <c r="K63" s="60"/>
      <c r="L63" s="60"/>
      <c r="M63" s="60"/>
      <c r="N63" s="60"/>
    </row>
    <row r="64" spans="1:18" ht="15" customHeight="1" x14ac:dyDescent="0.3">
      <c r="C64" s="60"/>
      <c r="D64" s="60"/>
      <c r="E64" s="60"/>
      <c r="F64" s="60"/>
      <c r="G64" s="60"/>
      <c r="H64" s="60"/>
      <c r="I64" s="60"/>
      <c r="J64" s="60"/>
      <c r="K64" s="60"/>
      <c r="L64" s="60"/>
      <c r="M64" s="60"/>
      <c r="N64" s="60"/>
    </row>
    <row r="65" spans="3:14" ht="15" customHeight="1" x14ac:dyDescent="0.3">
      <c r="C65" s="60"/>
      <c r="D65" s="60"/>
      <c r="E65" s="60"/>
      <c r="F65" s="60"/>
      <c r="G65" s="60"/>
      <c r="H65" s="60"/>
      <c r="I65" s="60"/>
      <c r="J65" s="60"/>
      <c r="K65" s="60"/>
      <c r="L65" s="60"/>
      <c r="M65" s="60"/>
      <c r="N65" s="60"/>
    </row>
  </sheetData>
  <mergeCells count="11">
    <mergeCell ref="A3:N3"/>
    <mergeCell ref="A50:K51"/>
    <mergeCell ref="A20:A24"/>
    <mergeCell ref="A45:A49"/>
    <mergeCell ref="A5:A9"/>
    <mergeCell ref="A10:A14"/>
    <mergeCell ref="A15:A19"/>
    <mergeCell ref="A25:A29"/>
    <mergeCell ref="A30:A34"/>
    <mergeCell ref="A35:A39"/>
    <mergeCell ref="A40:A44"/>
  </mergeCells>
  <pageMargins left="0.70866141732283472" right="0.70866141732283472" top="0.74803149606299213" bottom="0.74803149606299213" header="0.31496062992125984" footer="0.31496062992125984"/>
  <pageSetup paperSize="9" scale="88" orientation="landscape" verticalDpi="597" r:id="rId1"/>
  <headerFooter>
    <oddHeader>&amp;R&amp;G</oddHeader>
    <oddFooter>&amp;L&amp;F&amp;C&amp;P / &amp;N&amp;R&amp;A</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3F9E5-3554-4D18-97CC-392CDCD859A1}">
  <sheetPr>
    <tabColor theme="5" tint="0.39997558519241921"/>
    <pageSetUpPr fitToPage="1"/>
  </sheetPr>
  <dimension ref="A3:K54"/>
  <sheetViews>
    <sheetView showGridLines="0" zoomScaleNormal="100" workbookViewId="0">
      <selection activeCell="A42" sqref="A42:G43"/>
    </sheetView>
  </sheetViews>
  <sheetFormatPr defaultRowHeight="15" customHeight="1" x14ac:dyDescent="0.3"/>
  <cols>
    <col min="1" max="1" width="16.44140625" style="11" customWidth="1"/>
    <col min="2" max="2" width="22.109375" style="11" customWidth="1"/>
    <col min="3" max="7" width="9.88671875" style="11" customWidth="1"/>
    <col min="8" max="16384" width="8.88671875" style="11"/>
  </cols>
  <sheetData>
    <row r="3" spans="1:7" ht="15" customHeight="1" x14ac:dyDescent="0.3">
      <c r="A3" s="179" t="s">
        <v>180</v>
      </c>
      <c r="B3" s="179"/>
      <c r="C3" s="179"/>
      <c r="D3" s="179"/>
      <c r="E3" s="179"/>
      <c r="F3" s="179"/>
      <c r="G3" s="179"/>
    </row>
    <row r="4" spans="1:7" ht="15" customHeight="1" x14ac:dyDescent="0.3">
      <c r="A4" s="94" t="s">
        <v>125</v>
      </c>
      <c r="B4" s="46"/>
      <c r="C4" s="44">
        <v>2020</v>
      </c>
      <c r="D4" s="44">
        <v>2021</v>
      </c>
      <c r="E4" s="44">
        <v>2022</v>
      </c>
      <c r="F4" s="44">
        <v>2023</v>
      </c>
      <c r="G4" s="44">
        <v>2024</v>
      </c>
    </row>
    <row r="5" spans="1:7" ht="15" customHeight="1" x14ac:dyDescent="0.3">
      <c r="A5" s="165" t="s">
        <v>12</v>
      </c>
      <c r="B5" s="63" t="s">
        <v>86</v>
      </c>
      <c r="C5" s="64">
        <v>19029</v>
      </c>
      <c r="D5" s="64">
        <v>36204</v>
      </c>
      <c r="E5" s="64">
        <v>53129</v>
      </c>
      <c r="F5" s="64">
        <v>113310</v>
      </c>
      <c r="G5" s="64">
        <v>142637</v>
      </c>
    </row>
    <row r="6" spans="1:7" ht="15" customHeight="1" x14ac:dyDescent="0.3">
      <c r="A6" s="165"/>
      <c r="B6" s="63" t="s">
        <v>87</v>
      </c>
      <c r="C6" s="64">
        <v>8012</v>
      </c>
      <c r="D6" s="64">
        <v>25472</v>
      </c>
      <c r="E6" s="64">
        <v>23432</v>
      </c>
      <c r="F6" s="64">
        <v>24467</v>
      </c>
      <c r="G6" s="64">
        <v>22997</v>
      </c>
    </row>
    <row r="7" spans="1:7" ht="15" customHeight="1" x14ac:dyDescent="0.3">
      <c r="A7" s="165"/>
      <c r="B7" s="63" t="s">
        <v>19</v>
      </c>
      <c r="C7" s="64">
        <v>72861</v>
      </c>
      <c r="D7" s="64">
        <v>93294</v>
      </c>
      <c r="E7" s="64">
        <v>142620</v>
      </c>
      <c r="F7" s="64">
        <v>270957</v>
      </c>
      <c r="G7" s="64">
        <v>332740</v>
      </c>
    </row>
    <row r="8" spans="1:7" ht="15" customHeight="1" x14ac:dyDescent="0.3">
      <c r="A8" s="165"/>
      <c r="B8" s="63" t="s">
        <v>20</v>
      </c>
      <c r="C8" s="64">
        <v>26174</v>
      </c>
      <c r="D8" s="64">
        <v>50149</v>
      </c>
      <c r="E8" s="64">
        <v>45335</v>
      </c>
      <c r="F8" s="64">
        <v>62449</v>
      </c>
      <c r="G8" s="64">
        <v>52582</v>
      </c>
    </row>
    <row r="9" spans="1:7" ht="15" customHeight="1" x14ac:dyDescent="0.3">
      <c r="A9" s="178" t="s">
        <v>10</v>
      </c>
      <c r="B9" s="67" t="s">
        <v>86</v>
      </c>
      <c r="C9" s="68">
        <v>4705</v>
      </c>
      <c r="D9" s="68">
        <v>378</v>
      </c>
      <c r="E9" s="68">
        <v>15320</v>
      </c>
      <c r="F9" s="68">
        <v>15675</v>
      </c>
      <c r="G9" s="68">
        <v>27576</v>
      </c>
    </row>
    <row r="10" spans="1:7" ht="15" customHeight="1" x14ac:dyDescent="0.3">
      <c r="A10" s="178"/>
      <c r="B10" s="67" t="s">
        <v>87</v>
      </c>
      <c r="C10" s="68">
        <v>12410</v>
      </c>
      <c r="D10" s="68">
        <v>2005</v>
      </c>
      <c r="E10" s="68">
        <v>21490</v>
      </c>
      <c r="F10" s="68">
        <v>21460</v>
      </c>
      <c r="G10" s="68">
        <v>30258</v>
      </c>
    </row>
    <row r="11" spans="1:7" ht="15" customHeight="1" x14ac:dyDescent="0.3">
      <c r="A11" s="178"/>
      <c r="B11" s="67" t="s">
        <v>19</v>
      </c>
      <c r="C11" s="68">
        <v>11116</v>
      </c>
      <c r="D11" s="68">
        <v>658</v>
      </c>
      <c r="E11" s="68">
        <v>23452</v>
      </c>
      <c r="F11" s="68">
        <v>31863</v>
      </c>
      <c r="G11" s="68">
        <v>47860</v>
      </c>
    </row>
    <row r="12" spans="1:7" ht="15" customHeight="1" x14ac:dyDescent="0.3">
      <c r="A12" s="178"/>
      <c r="B12" s="67" t="s">
        <v>20</v>
      </c>
      <c r="C12" s="68">
        <v>21098</v>
      </c>
      <c r="D12" s="68">
        <v>5663</v>
      </c>
      <c r="E12" s="68">
        <v>36239</v>
      </c>
      <c r="F12" s="68">
        <v>40611</v>
      </c>
      <c r="G12" s="68">
        <v>55222</v>
      </c>
    </row>
    <row r="13" spans="1:7" ht="15" customHeight="1" x14ac:dyDescent="0.3">
      <c r="A13" s="164" t="s">
        <v>9</v>
      </c>
      <c r="B13" s="63" t="s">
        <v>86</v>
      </c>
      <c r="C13" s="64">
        <v>0</v>
      </c>
      <c r="D13" s="64">
        <v>0</v>
      </c>
      <c r="E13" s="64">
        <v>0</v>
      </c>
      <c r="F13" s="64">
        <v>0</v>
      </c>
      <c r="G13" s="64">
        <v>0</v>
      </c>
    </row>
    <row r="14" spans="1:7" ht="15" customHeight="1" x14ac:dyDescent="0.3">
      <c r="A14" s="164"/>
      <c r="B14" s="63" t="s">
        <v>87</v>
      </c>
      <c r="C14" s="64">
        <v>0</v>
      </c>
      <c r="D14" s="64">
        <v>0</v>
      </c>
      <c r="E14" s="64">
        <v>0</v>
      </c>
      <c r="F14" s="64">
        <v>0</v>
      </c>
      <c r="G14" s="64">
        <v>0</v>
      </c>
    </row>
    <row r="15" spans="1:7" ht="15" customHeight="1" x14ac:dyDescent="0.3">
      <c r="A15" s="164"/>
      <c r="B15" s="63" t="s">
        <v>19</v>
      </c>
      <c r="C15" s="64">
        <v>0</v>
      </c>
      <c r="D15" s="64">
        <v>0</v>
      </c>
      <c r="E15" s="64">
        <v>0</v>
      </c>
      <c r="F15" s="64">
        <v>0</v>
      </c>
      <c r="G15" s="64">
        <v>0</v>
      </c>
    </row>
    <row r="16" spans="1:7" ht="15" customHeight="1" x14ac:dyDescent="0.3">
      <c r="A16" s="164"/>
      <c r="B16" s="63" t="s">
        <v>20</v>
      </c>
      <c r="C16" s="64">
        <v>0</v>
      </c>
      <c r="D16" s="64">
        <v>0</v>
      </c>
      <c r="E16" s="64">
        <v>0</v>
      </c>
      <c r="F16" s="64">
        <v>0</v>
      </c>
      <c r="G16" s="64">
        <v>0</v>
      </c>
    </row>
    <row r="17" spans="1:7" ht="15" customHeight="1" x14ac:dyDescent="0.3">
      <c r="A17" s="178" t="s">
        <v>11</v>
      </c>
      <c r="B17" s="67" t="s">
        <v>86</v>
      </c>
      <c r="C17" s="68">
        <v>47</v>
      </c>
      <c r="D17" s="68">
        <v>176</v>
      </c>
      <c r="E17" s="68">
        <v>859</v>
      </c>
      <c r="F17" s="68">
        <v>525</v>
      </c>
      <c r="G17" s="68">
        <v>440</v>
      </c>
    </row>
    <row r="18" spans="1:7" ht="15" customHeight="1" x14ac:dyDescent="0.3">
      <c r="A18" s="178"/>
      <c r="B18" s="67" t="s">
        <v>88</v>
      </c>
      <c r="C18" s="68">
        <v>169</v>
      </c>
      <c r="D18" s="68">
        <v>1325</v>
      </c>
      <c r="E18" s="68">
        <v>932</v>
      </c>
      <c r="F18" s="68">
        <v>1681</v>
      </c>
      <c r="G18" s="68">
        <v>1631</v>
      </c>
    </row>
    <row r="19" spans="1:7" ht="15" customHeight="1" x14ac:dyDescent="0.3">
      <c r="A19" s="178"/>
      <c r="B19" s="67" t="s">
        <v>19</v>
      </c>
      <c r="C19" s="68">
        <v>271</v>
      </c>
      <c r="D19" s="68">
        <v>274</v>
      </c>
      <c r="E19" s="68">
        <v>2650</v>
      </c>
      <c r="F19" s="68">
        <v>1055</v>
      </c>
      <c r="G19" s="68">
        <v>888</v>
      </c>
    </row>
    <row r="20" spans="1:7" ht="15" customHeight="1" x14ac:dyDescent="0.3">
      <c r="A20" s="178"/>
      <c r="B20" s="67" t="s">
        <v>20</v>
      </c>
      <c r="C20" s="68">
        <v>561</v>
      </c>
      <c r="D20" s="68">
        <v>1730</v>
      </c>
      <c r="E20" s="68">
        <v>1822</v>
      </c>
      <c r="F20" s="68">
        <v>3520</v>
      </c>
      <c r="G20" s="68">
        <v>3468</v>
      </c>
    </row>
    <row r="21" spans="1:7" ht="15" customHeight="1" x14ac:dyDescent="0.3">
      <c r="A21" s="164" t="s">
        <v>5</v>
      </c>
      <c r="B21" s="63" t="s">
        <v>86</v>
      </c>
      <c r="C21" s="64">
        <v>4501</v>
      </c>
      <c r="D21" s="64">
        <v>19362</v>
      </c>
      <c r="E21" s="64">
        <v>30813</v>
      </c>
      <c r="F21" s="64">
        <v>27982</v>
      </c>
      <c r="G21" s="64">
        <v>19029</v>
      </c>
    </row>
    <row r="22" spans="1:7" ht="15" customHeight="1" x14ac:dyDescent="0.3">
      <c r="A22" s="164"/>
      <c r="B22" s="63" t="s">
        <v>87</v>
      </c>
      <c r="C22" s="64">
        <v>2818</v>
      </c>
      <c r="D22" s="64">
        <v>8355</v>
      </c>
      <c r="E22" s="64">
        <v>26384</v>
      </c>
      <c r="F22" s="64">
        <v>14606</v>
      </c>
      <c r="G22" s="64">
        <v>17515</v>
      </c>
    </row>
    <row r="23" spans="1:7" ht="15" customHeight="1" x14ac:dyDescent="0.3">
      <c r="A23" s="164"/>
      <c r="B23" s="63" t="s">
        <v>19</v>
      </c>
      <c r="C23" s="64">
        <v>8067</v>
      </c>
      <c r="D23" s="64">
        <v>27212</v>
      </c>
      <c r="E23" s="64">
        <v>43125</v>
      </c>
      <c r="F23" s="64">
        <v>57108</v>
      </c>
      <c r="G23" s="64">
        <v>32175</v>
      </c>
    </row>
    <row r="24" spans="1:7" ht="15" customHeight="1" x14ac:dyDescent="0.3">
      <c r="A24" s="164"/>
      <c r="B24" s="63" t="s">
        <v>20</v>
      </c>
      <c r="C24" s="64">
        <v>5083</v>
      </c>
      <c r="D24" s="64">
        <v>17260</v>
      </c>
      <c r="E24" s="64">
        <v>50911</v>
      </c>
      <c r="F24" s="64">
        <v>25456</v>
      </c>
      <c r="G24" s="64">
        <v>36885</v>
      </c>
    </row>
    <row r="25" spans="1:7" ht="15" customHeight="1" x14ac:dyDescent="0.3">
      <c r="A25" s="178" t="s">
        <v>169</v>
      </c>
      <c r="B25" s="67" t="s">
        <v>86</v>
      </c>
      <c r="C25" s="68">
        <v>0</v>
      </c>
      <c r="D25" s="68">
        <v>101</v>
      </c>
      <c r="E25" s="68">
        <v>153</v>
      </c>
      <c r="F25" s="68" t="s">
        <v>170</v>
      </c>
      <c r="G25" s="68" t="s">
        <v>170</v>
      </c>
    </row>
    <row r="26" spans="1:7" ht="15" customHeight="1" x14ac:dyDescent="0.3">
      <c r="A26" s="178"/>
      <c r="B26" s="67" t="s">
        <v>87</v>
      </c>
      <c r="C26" s="68">
        <v>0</v>
      </c>
      <c r="D26" s="68">
        <v>112</v>
      </c>
      <c r="E26" s="68">
        <v>105</v>
      </c>
      <c r="F26" s="68" t="s">
        <v>170</v>
      </c>
      <c r="G26" s="68" t="s">
        <v>170</v>
      </c>
    </row>
    <row r="27" spans="1:7" ht="15" customHeight="1" x14ac:dyDescent="0.3">
      <c r="A27" s="178"/>
      <c r="B27" s="67" t="s">
        <v>19</v>
      </c>
      <c r="C27" s="68">
        <v>0</v>
      </c>
      <c r="D27" s="68">
        <v>260</v>
      </c>
      <c r="E27" s="68">
        <v>398</v>
      </c>
      <c r="F27" s="68" t="s">
        <v>170</v>
      </c>
      <c r="G27" s="68" t="s">
        <v>170</v>
      </c>
    </row>
    <row r="28" spans="1:7" ht="15" customHeight="1" x14ac:dyDescent="0.3">
      <c r="A28" s="178"/>
      <c r="B28" s="67" t="s">
        <v>20</v>
      </c>
      <c r="C28" s="68">
        <v>0</v>
      </c>
      <c r="D28" s="68">
        <v>357</v>
      </c>
      <c r="E28" s="68">
        <v>187</v>
      </c>
      <c r="F28" s="68" t="s">
        <v>170</v>
      </c>
      <c r="G28" s="68" t="s">
        <v>170</v>
      </c>
    </row>
    <row r="29" spans="1:7" ht="15" customHeight="1" x14ac:dyDescent="0.3">
      <c r="A29" s="164" t="s">
        <v>7</v>
      </c>
      <c r="B29" s="63" t="s">
        <v>86</v>
      </c>
      <c r="C29" s="64">
        <v>167</v>
      </c>
      <c r="D29" s="64">
        <v>1311</v>
      </c>
      <c r="E29" s="64">
        <v>586</v>
      </c>
      <c r="F29" s="64">
        <v>2636</v>
      </c>
      <c r="G29" s="64">
        <v>2760</v>
      </c>
    </row>
    <row r="30" spans="1:7" ht="15" customHeight="1" x14ac:dyDescent="0.3">
      <c r="A30" s="164"/>
      <c r="B30" s="63" t="s">
        <v>87</v>
      </c>
      <c r="C30" s="64">
        <v>26</v>
      </c>
      <c r="D30" s="64">
        <v>1624</v>
      </c>
      <c r="E30" s="64">
        <v>612</v>
      </c>
      <c r="F30" s="64">
        <v>695</v>
      </c>
      <c r="G30" s="64">
        <v>612</v>
      </c>
    </row>
    <row r="31" spans="1:7" ht="15" customHeight="1" x14ac:dyDescent="0.3">
      <c r="A31" s="164"/>
      <c r="B31" s="63" t="s">
        <v>19</v>
      </c>
      <c r="C31" s="64">
        <v>485</v>
      </c>
      <c r="D31" s="64">
        <v>5152</v>
      </c>
      <c r="E31" s="64">
        <v>2220</v>
      </c>
      <c r="F31" s="64">
        <v>7622</v>
      </c>
      <c r="G31" s="64">
        <v>5510</v>
      </c>
    </row>
    <row r="32" spans="1:7" ht="15" customHeight="1" x14ac:dyDescent="0.3">
      <c r="A32" s="164"/>
      <c r="B32" s="63" t="s">
        <v>20</v>
      </c>
      <c r="C32" s="64">
        <v>48</v>
      </c>
      <c r="D32" s="64">
        <v>4651</v>
      </c>
      <c r="E32" s="64">
        <v>1872</v>
      </c>
      <c r="F32" s="64">
        <v>2194</v>
      </c>
      <c r="G32" s="64">
        <v>1415</v>
      </c>
    </row>
    <row r="33" spans="1:11" ht="15" customHeight="1" x14ac:dyDescent="0.3">
      <c r="A33" s="178" t="s">
        <v>145</v>
      </c>
      <c r="B33" s="67" t="s">
        <v>86</v>
      </c>
      <c r="C33" s="68">
        <v>15573</v>
      </c>
      <c r="D33" s="68">
        <v>25082</v>
      </c>
      <c r="E33" s="68">
        <v>20489</v>
      </c>
      <c r="F33" s="68">
        <v>67180</v>
      </c>
      <c r="G33" s="68">
        <v>63514</v>
      </c>
    </row>
    <row r="34" spans="1:11" ht="15" customHeight="1" x14ac:dyDescent="0.3">
      <c r="A34" s="178"/>
      <c r="B34" s="67" t="s">
        <v>87</v>
      </c>
      <c r="C34" s="68">
        <v>68452</v>
      </c>
      <c r="D34" s="68">
        <v>63307</v>
      </c>
      <c r="E34" s="68">
        <v>73890</v>
      </c>
      <c r="F34" s="68">
        <v>94365</v>
      </c>
      <c r="G34" s="68">
        <v>95717</v>
      </c>
    </row>
    <row r="35" spans="1:11" ht="15" customHeight="1" x14ac:dyDescent="0.3">
      <c r="A35" s="178"/>
      <c r="B35" s="67" t="s">
        <v>19</v>
      </c>
      <c r="C35" s="68">
        <v>55216</v>
      </c>
      <c r="D35" s="68">
        <v>105515</v>
      </c>
      <c r="E35" s="68">
        <v>120798</v>
      </c>
      <c r="F35" s="68">
        <v>297041</v>
      </c>
      <c r="G35" s="68">
        <v>294309</v>
      </c>
    </row>
    <row r="36" spans="1:11" ht="15" customHeight="1" x14ac:dyDescent="0.3">
      <c r="A36" s="178"/>
      <c r="B36" s="67" t="s">
        <v>20</v>
      </c>
      <c r="C36" s="68">
        <v>183747</v>
      </c>
      <c r="D36" s="68">
        <v>181435</v>
      </c>
      <c r="E36" s="68">
        <v>164554</v>
      </c>
      <c r="F36" s="68">
        <v>253742</v>
      </c>
      <c r="G36" s="68">
        <v>253866</v>
      </c>
    </row>
    <row r="37" spans="1:11" ht="15" customHeight="1" x14ac:dyDescent="0.3">
      <c r="A37" s="161" t="s">
        <v>1</v>
      </c>
      <c r="B37" s="98" t="s">
        <v>86</v>
      </c>
      <c r="C37" s="99">
        <f>SUMIF($B$5:$B$36,$B$5,C5:F36)</f>
        <v>44022</v>
      </c>
      <c r="D37" s="99">
        <f t="shared" ref="D37:F40" si="0">SUMIF($B$5:$B$36,$B$5,D5:H36)</f>
        <v>82614</v>
      </c>
      <c r="E37" s="99">
        <f t="shared" si="0"/>
        <v>121349</v>
      </c>
      <c r="F37" s="99">
        <f t="shared" si="0"/>
        <v>227308</v>
      </c>
      <c r="G37" s="99">
        <v>255956</v>
      </c>
    </row>
    <row r="38" spans="1:11" ht="15" customHeight="1" x14ac:dyDescent="0.3">
      <c r="A38" s="161"/>
      <c r="B38" s="98" t="s">
        <v>87</v>
      </c>
      <c r="C38" s="99">
        <f t="shared" ref="C38:C40" si="1">SUMIF($B$5:$B$36,$B$5,C6:F37)</f>
        <v>91887</v>
      </c>
      <c r="D38" s="99">
        <f t="shared" si="0"/>
        <v>102200</v>
      </c>
      <c r="E38" s="99">
        <f t="shared" si="0"/>
        <v>146845</v>
      </c>
      <c r="F38" s="99">
        <f t="shared" si="0"/>
        <v>157274</v>
      </c>
      <c r="G38" s="99">
        <v>168730</v>
      </c>
    </row>
    <row r="39" spans="1:11" ht="15" customHeight="1" x14ac:dyDescent="0.3">
      <c r="A39" s="161"/>
      <c r="B39" s="98" t="s">
        <v>19</v>
      </c>
      <c r="C39" s="99">
        <f t="shared" si="1"/>
        <v>148016</v>
      </c>
      <c r="D39" s="99">
        <f t="shared" si="0"/>
        <v>232365</v>
      </c>
      <c r="E39" s="99">
        <f t="shared" si="0"/>
        <v>335263</v>
      </c>
      <c r="F39" s="99">
        <f t="shared" si="0"/>
        <v>665646</v>
      </c>
      <c r="G39" s="99">
        <v>713482</v>
      </c>
    </row>
    <row r="40" spans="1:11" ht="15" customHeight="1" x14ac:dyDescent="0.3">
      <c r="A40" s="161"/>
      <c r="B40" s="98" t="s">
        <v>20</v>
      </c>
      <c r="C40" s="99">
        <f t="shared" si="1"/>
        <v>236711</v>
      </c>
      <c r="D40" s="99">
        <f t="shared" si="0"/>
        <v>261245</v>
      </c>
      <c r="E40" s="99">
        <f t="shared" si="0"/>
        <v>300920</v>
      </c>
      <c r="F40" s="99">
        <f t="shared" si="0"/>
        <v>387972</v>
      </c>
      <c r="G40" s="99">
        <v>403438</v>
      </c>
    </row>
    <row r="41" spans="1:11" ht="15" customHeight="1" x14ac:dyDescent="0.3">
      <c r="A41" s="6" t="s">
        <v>146</v>
      </c>
      <c r="B41" s="6"/>
      <c r="C41" s="6"/>
      <c r="D41" s="130"/>
      <c r="E41" s="130"/>
      <c r="F41" s="130"/>
      <c r="G41" s="130"/>
      <c r="H41" s="2"/>
      <c r="I41" s="2"/>
      <c r="J41" s="2"/>
      <c r="K41" s="2"/>
    </row>
    <row r="42" spans="1:11" ht="15" customHeight="1" x14ac:dyDescent="0.3">
      <c r="A42" s="177" t="s">
        <v>178</v>
      </c>
      <c r="B42" s="177"/>
      <c r="C42" s="177"/>
      <c r="D42" s="177"/>
      <c r="E42" s="177"/>
      <c r="F42" s="177"/>
      <c r="G42" s="177"/>
    </row>
    <row r="43" spans="1:11" ht="15" customHeight="1" x14ac:dyDescent="0.3">
      <c r="A43" s="177"/>
      <c r="B43" s="177"/>
      <c r="C43" s="177"/>
      <c r="D43" s="177"/>
      <c r="E43" s="177"/>
      <c r="F43" s="177"/>
      <c r="G43" s="177"/>
    </row>
    <row r="44" spans="1:11" ht="15" customHeight="1" x14ac:dyDescent="0.3">
      <c r="A44" s="5"/>
      <c r="B44" s="5"/>
    </row>
    <row r="51" spans="3:7" ht="15" customHeight="1" x14ac:dyDescent="0.3">
      <c r="C51" s="60"/>
      <c r="D51" s="60"/>
      <c r="E51" s="60"/>
      <c r="F51" s="60"/>
      <c r="G51" s="60"/>
    </row>
    <row r="52" spans="3:7" ht="15" customHeight="1" x14ac:dyDescent="0.3">
      <c r="C52" s="60"/>
      <c r="D52" s="60"/>
      <c r="E52" s="60"/>
      <c r="F52" s="60"/>
      <c r="G52" s="60"/>
    </row>
    <row r="53" spans="3:7" ht="15" customHeight="1" x14ac:dyDescent="0.3">
      <c r="C53" s="60"/>
      <c r="D53" s="60"/>
      <c r="E53" s="60"/>
      <c r="F53" s="60"/>
      <c r="G53" s="60"/>
    </row>
    <row r="54" spans="3:7" ht="15" customHeight="1" x14ac:dyDescent="0.3">
      <c r="C54" s="60"/>
      <c r="D54" s="60"/>
      <c r="E54" s="60"/>
      <c r="F54" s="60"/>
      <c r="G54" s="60"/>
    </row>
  </sheetData>
  <mergeCells count="11">
    <mergeCell ref="A3:G3"/>
    <mergeCell ref="A42:G43"/>
    <mergeCell ref="A5:A8"/>
    <mergeCell ref="A21:A24"/>
    <mergeCell ref="A25:A28"/>
    <mergeCell ref="A29:A32"/>
    <mergeCell ref="A33:A36"/>
    <mergeCell ref="A9:A12"/>
    <mergeCell ref="A13:A16"/>
    <mergeCell ref="A17:A20"/>
    <mergeCell ref="A37:A40"/>
  </mergeCells>
  <pageMargins left="0.70866141732283472" right="0.70866141732283472" top="0.74803149606299213" bottom="0.74803149606299213" header="0.31496062992125984" footer="0.31496062992125984"/>
  <pageSetup paperSize="9" scale="88" orientation="landscape" verticalDpi="597" r:id="rId1"/>
  <headerFooter>
    <oddHeader>&amp;R&amp;G</oddHeader>
    <oddFooter>&amp;L&amp;F&amp;C&amp;P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H215"/>
  <sheetViews>
    <sheetView showGridLines="0" zoomScaleNormal="100" workbookViewId="0">
      <selection activeCell="F5" sqref="F5:H17"/>
    </sheetView>
  </sheetViews>
  <sheetFormatPr defaultRowHeight="15" customHeight="1" x14ac:dyDescent="0.3"/>
  <cols>
    <col min="1" max="1" width="10.5546875" style="63" bestFit="1" customWidth="1"/>
    <col min="2" max="2" width="11.6640625" style="11" bestFit="1" customWidth="1"/>
    <col min="3" max="3" width="8.109375" style="11" bestFit="1" customWidth="1"/>
    <col min="4" max="4" width="11.6640625" style="11" bestFit="1" customWidth="1"/>
    <col min="5" max="5" width="10.5546875" style="11" bestFit="1" customWidth="1"/>
    <col min="6" max="6" width="11.6640625" style="11" bestFit="1" customWidth="1"/>
    <col min="7" max="7" width="8.33203125" style="11" bestFit="1" customWidth="1"/>
    <col min="8" max="8" width="11.6640625" style="11" bestFit="1" customWidth="1"/>
    <col min="9" max="16384" width="8.88671875" style="11"/>
  </cols>
  <sheetData>
    <row r="3" spans="1:8" ht="15" customHeight="1" x14ac:dyDescent="0.3">
      <c r="A3" s="180" t="s">
        <v>68</v>
      </c>
      <c r="B3" s="180"/>
      <c r="C3" s="180"/>
      <c r="D3" s="180"/>
      <c r="E3" s="180" t="s">
        <v>69</v>
      </c>
      <c r="F3" s="180"/>
      <c r="G3" s="180"/>
      <c r="H3" s="180"/>
    </row>
    <row r="4" spans="1:8" ht="15" customHeight="1" x14ac:dyDescent="0.3">
      <c r="A4" s="101"/>
      <c r="B4" s="102" t="s">
        <v>141</v>
      </c>
      <c r="C4" s="102" t="s">
        <v>49</v>
      </c>
      <c r="D4" s="102" t="s">
        <v>1</v>
      </c>
      <c r="E4" s="101"/>
      <c r="F4" s="102" t="s">
        <v>13</v>
      </c>
      <c r="G4" s="102" t="s">
        <v>49</v>
      </c>
      <c r="H4" s="102" t="s">
        <v>1</v>
      </c>
    </row>
    <row r="5" spans="1:8" ht="15" customHeight="1" x14ac:dyDescent="0.3">
      <c r="A5" s="103">
        <v>2025</v>
      </c>
      <c r="B5" s="102">
        <v>8717766</v>
      </c>
      <c r="C5" s="102">
        <v>0</v>
      </c>
      <c r="D5" s="102">
        <v>8717766</v>
      </c>
      <c r="E5" s="103">
        <v>2025</v>
      </c>
      <c r="F5" s="102">
        <v>4891471</v>
      </c>
      <c r="G5" s="102">
        <v>18030</v>
      </c>
      <c r="H5" s="102">
        <v>4909501</v>
      </c>
    </row>
    <row r="6" spans="1:8" ht="15" customHeight="1" x14ac:dyDescent="0.3">
      <c r="A6" s="61" t="s">
        <v>50</v>
      </c>
      <c r="B6" s="62">
        <v>403765</v>
      </c>
      <c r="C6" s="62">
        <v>0</v>
      </c>
      <c r="D6" s="62">
        <v>403765</v>
      </c>
      <c r="E6" s="61" t="s">
        <v>50</v>
      </c>
      <c r="F6" s="62">
        <v>257383</v>
      </c>
      <c r="G6" s="62">
        <v>670</v>
      </c>
      <c r="H6" s="62">
        <v>258053</v>
      </c>
    </row>
    <row r="7" spans="1:8" ht="15" customHeight="1" x14ac:dyDescent="0.3">
      <c r="A7" s="61" t="s">
        <v>51</v>
      </c>
      <c r="B7" s="62">
        <v>357905</v>
      </c>
      <c r="C7" s="62">
        <v>0</v>
      </c>
      <c r="D7" s="62">
        <v>357905</v>
      </c>
      <c r="E7" s="61" t="s">
        <v>51</v>
      </c>
      <c r="F7" s="62">
        <v>255097</v>
      </c>
      <c r="G7" s="62">
        <v>861</v>
      </c>
      <c r="H7" s="62">
        <v>255958</v>
      </c>
    </row>
    <row r="8" spans="1:8" ht="15" customHeight="1" x14ac:dyDescent="0.3">
      <c r="A8" s="61" t="s">
        <v>52</v>
      </c>
      <c r="B8" s="62">
        <v>471065</v>
      </c>
      <c r="C8" s="62">
        <v>0</v>
      </c>
      <c r="D8" s="62">
        <v>471065</v>
      </c>
      <c r="E8" s="61" t="s">
        <v>52</v>
      </c>
      <c r="F8" s="62">
        <v>300227</v>
      </c>
      <c r="G8" s="62">
        <v>846</v>
      </c>
      <c r="H8" s="62">
        <v>301073</v>
      </c>
    </row>
    <row r="9" spans="1:8" ht="15" customHeight="1" x14ac:dyDescent="0.3">
      <c r="A9" s="61" t="s">
        <v>53</v>
      </c>
      <c r="B9" s="62">
        <v>663334</v>
      </c>
      <c r="C9" s="62">
        <v>0</v>
      </c>
      <c r="D9" s="62">
        <v>663334</v>
      </c>
      <c r="E9" s="61" t="s">
        <v>53</v>
      </c>
      <c r="F9" s="62">
        <v>355388</v>
      </c>
      <c r="G9" s="62">
        <v>1210</v>
      </c>
      <c r="H9" s="62">
        <v>356598</v>
      </c>
    </row>
    <row r="10" spans="1:8" ht="15" customHeight="1" x14ac:dyDescent="0.3">
      <c r="A10" s="61" t="s">
        <v>54</v>
      </c>
      <c r="B10" s="62">
        <v>901548</v>
      </c>
      <c r="C10" s="62">
        <v>0</v>
      </c>
      <c r="D10" s="62">
        <v>901548</v>
      </c>
      <c r="E10" s="61" t="s">
        <v>54</v>
      </c>
      <c r="F10" s="62">
        <v>428110</v>
      </c>
      <c r="G10" s="62">
        <v>1188</v>
      </c>
      <c r="H10" s="62">
        <v>429298</v>
      </c>
    </row>
    <row r="11" spans="1:8" ht="15" customHeight="1" x14ac:dyDescent="0.3">
      <c r="A11" s="61" t="s">
        <v>55</v>
      </c>
      <c r="B11" s="62">
        <v>1025617</v>
      </c>
      <c r="C11" s="62">
        <v>0</v>
      </c>
      <c r="D11" s="62">
        <v>1025617</v>
      </c>
      <c r="E11" s="61" t="s">
        <v>55</v>
      </c>
      <c r="F11" s="62">
        <v>503906</v>
      </c>
      <c r="G11" s="62">
        <v>2642</v>
      </c>
      <c r="H11" s="62">
        <v>506548</v>
      </c>
    </row>
    <row r="12" spans="1:8" ht="15" customHeight="1" x14ac:dyDescent="0.3">
      <c r="A12" s="61" t="s">
        <v>56</v>
      </c>
      <c r="B12" s="62">
        <v>1101805</v>
      </c>
      <c r="C12" s="62">
        <v>0</v>
      </c>
      <c r="D12" s="62">
        <v>1101805</v>
      </c>
      <c r="E12" s="61" t="s">
        <v>56</v>
      </c>
      <c r="F12" s="62">
        <v>543941</v>
      </c>
      <c r="G12" s="62">
        <v>3161</v>
      </c>
      <c r="H12" s="62">
        <v>547102</v>
      </c>
    </row>
    <row r="13" spans="1:8" ht="15" customHeight="1" x14ac:dyDescent="0.3">
      <c r="A13" s="61" t="s">
        <v>57</v>
      </c>
      <c r="B13" s="62">
        <v>1067991</v>
      </c>
      <c r="C13" s="62">
        <v>0</v>
      </c>
      <c r="D13" s="62">
        <v>1067991</v>
      </c>
      <c r="E13" s="61" t="s">
        <v>57</v>
      </c>
      <c r="F13" s="62">
        <v>576934</v>
      </c>
      <c r="G13" s="62">
        <v>2948</v>
      </c>
      <c r="H13" s="62">
        <v>579882</v>
      </c>
    </row>
    <row r="14" spans="1:8" ht="15" customHeight="1" x14ac:dyDescent="0.3">
      <c r="A14" s="61" t="s">
        <v>58</v>
      </c>
      <c r="B14" s="62">
        <v>957724</v>
      </c>
      <c r="C14" s="62">
        <v>0</v>
      </c>
      <c r="D14" s="62">
        <v>957724</v>
      </c>
      <c r="E14" s="61" t="s">
        <v>58</v>
      </c>
      <c r="F14" s="62">
        <v>528022</v>
      </c>
      <c r="G14" s="62">
        <v>2203</v>
      </c>
      <c r="H14" s="62">
        <v>530225</v>
      </c>
    </row>
    <row r="15" spans="1:8" ht="15" customHeight="1" x14ac:dyDescent="0.3">
      <c r="A15" s="61" t="s">
        <v>59</v>
      </c>
      <c r="B15" s="62">
        <v>788508</v>
      </c>
      <c r="C15" s="62">
        <v>0</v>
      </c>
      <c r="D15" s="62">
        <v>788508</v>
      </c>
      <c r="E15" s="61" t="s">
        <v>59</v>
      </c>
      <c r="F15" s="62">
        <v>462848</v>
      </c>
      <c r="G15" s="62">
        <v>1054</v>
      </c>
      <c r="H15" s="62">
        <v>463902</v>
      </c>
    </row>
    <row r="16" spans="1:8" ht="15" customHeight="1" x14ac:dyDescent="0.3">
      <c r="A16" s="61" t="s">
        <v>60</v>
      </c>
      <c r="B16" s="62">
        <v>505797</v>
      </c>
      <c r="C16" s="62">
        <v>0</v>
      </c>
      <c r="D16" s="62">
        <v>505797</v>
      </c>
      <c r="E16" s="61" t="s">
        <v>60</v>
      </c>
      <c r="F16" s="62">
        <v>356195</v>
      </c>
      <c r="G16" s="62">
        <v>635</v>
      </c>
      <c r="H16" s="62">
        <v>356830</v>
      </c>
    </row>
    <row r="17" spans="1:8" ht="15" customHeight="1" x14ac:dyDescent="0.3">
      <c r="A17" s="61" t="s">
        <v>61</v>
      </c>
      <c r="B17" s="62">
        <v>472707</v>
      </c>
      <c r="C17" s="62">
        <v>0</v>
      </c>
      <c r="D17" s="62">
        <v>472707</v>
      </c>
      <c r="E17" s="61" t="s">
        <v>61</v>
      </c>
      <c r="F17" s="62">
        <v>323420</v>
      </c>
      <c r="G17" s="62">
        <v>612</v>
      </c>
      <c r="H17" s="62">
        <v>324032</v>
      </c>
    </row>
    <row r="18" spans="1:8" ht="15" customHeight="1" x14ac:dyDescent="0.3">
      <c r="A18" s="103">
        <v>2024</v>
      </c>
      <c r="B18" s="102">
        <v>7920000</v>
      </c>
      <c r="C18" s="102">
        <v>469</v>
      </c>
      <c r="D18" s="102">
        <v>7920469</v>
      </c>
      <c r="E18" s="103">
        <v>2024</v>
      </c>
      <c r="F18" s="102">
        <v>4797050</v>
      </c>
      <c r="G18" s="102">
        <v>16880</v>
      </c>
      <c r="H18" s="102">
        <v>4813930</v>
      </c>
    </row>
    <row r="19" spans="1:8" ht="15" customHeight="1" x14ac:dyDescent="0.3">
      <c r="A19" s="61" t="s">
        <v>50</v>
      </c>
      <c r="B19" s="62">
        <v>366841</v>
      </c>
      <c r="C19" s="62">
        <v>0</v>
      </c>
      <c r="D19" s="62">
        <v>366841</v>
      </c>
      <c r="E19" s="61" t="s">
        <v>50</v>
      </c>
      <c r="F19" s="62">
        <v>244346</v>
      </c>
      <c r="G19" s="62">
        <v>561</v>
      </c>
      <c r="H19" s="62">
        <v>244907</v>
      </c>
    </row>
    <row r="20" spans="1:8" ht="15" customHeight="1" x14ac:dyDescent="0.3">
      <c r="A20" s="61" t="s">
        <v>51</v>
      </c>
      <c r="B20" s="62">
        <v>348717</v>
      </c>
      <c r="C20" s="62">
        <v>0</v>
      </c>
      <c r="D20" s="62">
        <v>348717</v>
      </c>
      <c r="E20" s="61" t="s">
        <v>51</v>
      </c>
      <c r="F20" s="62">
        <v>249853</v>
      </c>
      <c r="G20" s="62">
        <v>785</v>
      </c>
      <c r="H20" s="62">
        <v>250638</v>
      </c>
    </row>
    <row r="21" spans="1:8" ht="15" customHeight="1" x14ac:dyDescent="0.3">
      <c r="A21" s="61" t="s">
        <v>52</v>
      </c>
      <c r="B21" s="62">
        <v>448784</v>
      </c>
      <c r="C21" s="62">
        <v>0</v>
      </c>
      <c r="D21" s="62">
        <v>448784</v>
      </c>
      <c r="E21" s="61" t="s">
        <v>52</v>
      </c>
      <c r="F21" s="62">
        <v>293669</v>
      </c>
      <c r="G21" s="62">
        <v>676</v>
      </c>
      <c r="H21" s="62">
        <v>294345</v>
      </c>
    </row>
    <row r="22" spans="1:8" ht="15" customHeight="1" x14ac:dyDescent="0.3">
      <c r="A22" s="61" t="s">
        <v>53</v>
      </c>
      <c r="B22" s="62">
        <v>629145</v>
      </c>
      <c r="C22" s="62">
        <v>0</v>
      </c>
      <c r="D22" s="62">
        <v>629145</v>
      </c>
      <c r="E22" s="61" t="s">
        <v>53</v>
      </c>
      <c r="F22" s="62">
        <v>328436</v>
      </c>
      <c r="G22" s="62">
        <v>1004</v>
      </c>
      <c r="H22" s="62">
        <v>329440</v>
      </c>
    </row>
    <row r="23" spans="1:8" ht="15" customHeight="1" x14ac:dyDescent="0.3">
      <c r="A23" s="61" t="s">
        <v>54</v>
      </c>
      <c r="B23" s="62">
        <v>810083</v>
      </c>
      <c r="C23" s="62">
        <v>0</v>
      </c>
      <c r="D23" s="62">
        <v>810083</v>
      </c>
      <c r="E23" s="61" t="s">
        <v>54</v>
      </c>
      <c r="F23" s="62">
        <v>445501</v>
      </c>
      <c r="G23" s="62">
        <v>1482</v>
      </c>
      <c r="H23" s="62">
        <v>446983</v>
      </c>
    </row>
    <row r="24" spans="1:8" ht="15" customHeight="1" x14ac:dyDescent="0.3">
      <c r="A24" s="61" t="s">
        <v>55</v>
      </c>
      <c r="B24" s="62">
        <v>884893</v>
      </c>
      <c r="C24" s="62">
        <v>103</v>
      </c>
      <c r="D24" s="62">
        <v>884996</v>
      </c>
      <c r="E24" s="61" t="s">
        <v>55</v>
      </c>
      <c r="F24" s="62">
        <v>492103</v>
      </c>
      <c r="G24" s="62">
        <v>2481</v>
      </c>
      <c r="H24" s="62">
        <v>494584</v>
      </c>
    </row>
    <row r="25" spans="1:8" ht="15" customHeight="1" x14ac:dyDescent="0.3">
      <c r="A25" s="61" t="s">
        <v>56</v>
      </c>
      <c r="B25" s="62">
        <v>1009462</v>
      </c>
      <c r="C25" s="62">
        <v>161</v>
      </c>
      <c r="D25" s="62">
        <v>1009623</v>
      </c>
      <c r="E25" s="61" t="s">
        <v>56</v>
      </c>
      <c r="F25" s="62">
        <v>538115</v>
      </c>
      <c r="G25" s="62">
        <v>2864</v>
      </c>
      <c r="H25" s="62">
        <v>540979</v>
      </c>
    </row>
    <row r="26" spans="1:8" ht="15" customHeight="1" x14ac:dyDescent="0.3">
      <c r="A26" s="61" t="s">
        <v>57</v>
      </c>
      <c r="B26" s="62">
        <v>972929</v>
      </c>
      <c r="C26" s="62">
        <v>145</v>
      </c>
      <c r="D26" s="62">
        <v>973074</v>
      </c>
      <c r="E26" s="61" t="s">
        <v>57</v>
      </c>
      <c r="F26" s="62">
        <v>564813</v>
      </c>
      <c r="G26" s="62">
        <v>2588</v>
      </c>
      <c r="H26" s="62">
        <v>567401</v>
      </c>
    </row>
    <row r="27" spans="1:8" ht="15" customHeight="1" x14ac:dyDescent="0.3">
      <c r="A27" s="61" t="s">
        <v>58</v>
      </c>
      <c r="B27" s="62">
        <v>871020</v>
      </c>
      <c r="C27" s="62">
        <v>60</v>
      </c>
      <c r="D27" s="62">
        <v>871080</v>
      </c>
      <c r="E27" s="61" t="s">
        <v>58</v>
      </c>
      <c r="F27" s="62">
        <v>517461</v>
      </c>
      <c r="G27" s="62">
        <v>2197</v>
      </c>
      <c r="H27" s="62">
        <v>519658</v>
      </c>
    </row>
    <row r="28" spans="1:8" ht="15" customHeight="1" x14ac:dyDescent="0.3">
      <c r="A28" s="61" t="s">
        <v>59</v>
      </c>
      <c r="B28" s="62">
        <v>747246</v>
      </c>
      <c r="C28" s="62">
        <v>0</v>
      </c>
      <c r="D28" s="62">
        <v>747246</v>
      </c>
      <c r="E28" s="61" t="s">
        <v>59</v>
      </c>
      <c r="F28" s="62">
        <v>472621</v>
      </c>
      <c r="G28" s="62">
        <v>1005</v>
      </c>
      <c r="H28" s="62">
        <v>473626</v>
      </c>
    </row>
    <row r="29" spans="1:8" ht="15" customHeight="1" x14ac:dyDescent="0.3">
      <c r="A29" s="61" t="s">
        <v>60</v>
      </c>
      <c r="B29" s="62">
        <v>449914</v>
      </c>
      <c r="C29" s="62">
        <v>0</v>
      </c>
      <c r="D29" s="62">
        <v>449914</v>
      </c>
      <c r="E29" s="61" t="s">
        <v>60</v>
      </c>
      <c r="F29" s="62">
        <v>342125</v>
      </c>
      <c r="G29" s="62">
        <v>662</v>
      </c>
      <c r="H29" s="62">
        <v>342787</v>
      </c>
    </row>
    <row r="30" spans="1:8" ht="15" customHeight="1" x14ac:dyDescent="0.3">
      <c r="A30" s="61" t="s">
        <v>61</v>
      </c>
      <c r="B30" s="62">
        <v>380966</v>
      </c>
      <c r="C30" s="62">
        <v>0</v>
      </c>
      <c r="D30" s="62">
        <v>380966</v>
      </c>
      <c r="E30" s="61" t="s">
        <v>61</v>
      </c>
      <c r="F30" s="62">
        <v>308007</v>
      </c>
      <c r="G30" s="62">
        <v>575</v>
      </c>
      <c r="H30" s="62">
        <v>308582</v>
      </c>
    </row>
    <row r="31" spans="1:8" ht="15" customHeight="1" x14ac:dyDescent="0.3">
      <c r="A31" s="103">
        <v>2023</v>
      </c>
      <c r="B31" s="102">
        <v>7072820</v>
      </c>
      <c r="C31" s="102">
        <v>805</v>
      </c>
      <c r="D31" s="102">
        <v>7073625</v>
      </c>
      <c r="E31" s="103">
        <v>2023</v>
      </c>
      <c r="F31" s="102">
        <v>4485632</v>
      </c>
      <c r="G31" s="102">
        <v>16991</v>
      </c>
      <c r="H31" s="102">
        <v>4502623</v>
      </c>
    </row>
    <row r="32" spans="1:8" ht="15" customHeight="1" x14ac:dyDescent="0.3">
      <c r="A32" s="61" t="s">
        <v>50</v>
      </c>
      <c r="B32" s="62">
        <v>280360</v>
      </c>
      <c r="C32" s="62">
        <v>0</v>
      </c>
      <c r="D32" s="62">
        <v>280360</v>
      </c>
      <c r="E32" s="61" t="s">
        <v>50</v>
      </c>
      <c r="F32" s="62">
        <v>230020</v>
      </c>
      <c r="G32" s="62">
        <v>550</v>
      </c>
      <c r="H32" s="62">
        <v>230570</v>
      </c>
    </row>
    <row r="33" spans="1:8" ht="15" customHeight="1" x14ac:dyDescent="0.3">
      <c r="A33" s="61" t="s">
        <v>51</v>
      </c>
      <c r="B33" s="62">
        <v>285175</v>
      </c>
      <c r="C33" s="62">
        <v>0</v>
      </c>
      <c r="D33" s="62">
        <v>285175</v>
      </c>
      <c r="E33" s="61" t="s">
        <v>51</v>
      </c>
      <c r="F33" s="62">
        <v>223115</v>
      </c>
      <c r="G33" s="62">
        <v>633</v>
      </c>
      <c r="H33" s="62">
        <v>223748</v>
      </c>
    </row>
    <row r="34" spans="1:8" ht="15" customHeight="1" x14ac:dyDescent="0.3">
      <c r="A34" s="61" t="s">
        <v>52</v>
      </c>
      <c r="B34" s="62">
        <v>401898</v>
      </c>
      <c r="C34" s="62">
        <v>0</v>
      </c>
      <c r="D34" s="62">
        <v>401898</v>
      </c>
      <c r="E34" s="61" t="s">
        <v>52</v>
      </c>
      <c r="F34" s="62">
        <v>262171</v>
      </c>
      <c r="G34" s="62">
        <v>698</v>
      </c>
      <c r="H34" s="62">
        <v>262869</v>
      </c>
    </row>
    <row r="35" spans="1:8" ht="15" customHeight="1" x14ac:dyDescent="0.3">
      <c r="A35" s="61" t="s">
        <v>53</v>
      </c>
      <c r="B35" s="62">
        <v>571533</v>
      </c>
      <c r="C35" s="62">
        <v>0</v>
      </c>
      <c r="D35" s="62">
        <v>571533</v>
      </c>
      <c r="E35" s="61" t="s">
        <v>53</v>
      </c>
      <c r="F35" s="62">
        <v>321963</v>
      </c>
      <c r="G35" s="62">
        <v>1018</v>
      </c>
      <c r="H35" s="62">
        <v>322981</v>
      </c>
    </row>
    <row r="36" spans="1:8" ht="15" customHeight="1" x14ac:dyDescent="0.3">
      <c r="A36" s="61" t="s">
        <v>54</v>
      </c>
      <c r="B36" s="62">
        <v>697660</v>
      </c>
      <c r="C36" s="62">
        <v>0</v>
      </c>
      <c r="D36" s="62">
        <v>697660</v>
      </c>
      <c r="E36" s="61" t="s">
        <v>54</v>
      </c>
      <c r="F36" s="62">
        <v>401379</v>
      </c>
      <c r="G36" s="62">
        <v>1336</v>
      </c>
      <c r="H36" s="62">
        <v>402715</v>
      </c>
    </row>
    <row r="37" spans="1:8" ht="15" customHeight="1" x14ac:dyDescent="0.3">
      <c r="A37" s="61" t="s">
        <v>55</v>
      </c>
      <c r="B37" s="62">
        <v>825667</v>
      </c>
      <c r="C37" s="62">
        <v>193</v>
      </c>
      <c r="D37" s="62">
        <v>825860</v>
      </c>
      <c r="E37" s="61" t="s">
        <v>55</v>
      </c>
      <c r="F37" s="62">
        <v>460744</v>
      </c>
      <c r="G37" s="62">
        <v>2943</v>
      </c>
      <c r="H37" s="62">
        <v>463687</v>
      </c>
    </row>
    <row r="38" spans="1:8" ht="15" customHeight="1" x14ac:dyDescent="0.3">
      <c r="A38" s="61" t="s">
        <v>56</v>
      </c>
      <c r="B38" s="62">
        <v>935884</v>
      </c>
      <c r="C38" s="62">
        <v>215</v>
      </c>
      <c r="D38" s="62">
        <v>936099</v>
      </c>
      <c r="E38" s="61" t="s">
        <v>56</v>
      </c>
      <c r="F38" s="62">
        <v>512533</v>
      </c>
      <c r="G38" s="62">
        <v>2735</v>
      </c>
      <c r="H38" s="62">
        <v>515268</v>
      </c>
    </row>
    <row r="39" spans="1:8" ht="15" customHeight="1" x14ac:dyDescent="0.3">
      <c r="A39" s="61" t="s">
        <v>57</v>
      </c>
      <c r="B39" s="62">
        <v>832491</v>
      </c>
      <c r="C39" s="62">
        <v>229</v>
      </c>
      <c r="D39" s="62">
        <v>832720</v>
      </c>
      <c r="E39" s="61" t="s">
        <v>57</v>
      </c>
      <c r="F39" s="62">
        <v>528662</v>
      </c>
      <c r="G39" s="62">
        <v>2680</v>
      </c>
      <c r="H39" s="62">
        <v>531342</v>
      </c>
    </row>
    <row r="40" spans="1:8" ht="15" customHeight="1" x14ac:dyDescent="0.3">
      <c r="A40" s="61" t="s">
        <v>58</v>
      </c>
      <c r="B40" s="62">
        <v>773971</v>
      </c>
      <c r="C40" s="62">
        <v>168</v>
      </c>
      <c r="D40" s="62">
        <v>774139</v>
      </c>
      <c r="E40" s="61" t="s">
        <v>58</v>
      </c>
      <c r="F40" s="62">
        <v>495668</v>
      </c>
      <c r="G40" s="62">
        <v>2194</v>
      </c>
      <c r="H40" s="62">
        <v>497862</v>
      </c>
    </row>
    <row r="41" spans="1:8" ht="15" customHeight="1" x14ac:dyDescent="0.3">
      <c r="A41" s="61" t="s">
        <v>59</v>
      </c>
      <c r="B41" s="62">
        <v>689588</v>
      </c>
      <c r="C41" s="62">
        <v>0</v>
      </c>
      <c r="D41" s="62">
        <v>689588</v>
      </c>
      <c r="E41" s="61" t="s">
        <v>59</v>
      </c>
      <c r="F41" s="62">
        <v>442722</v>
      </c>
      <c r="G41" s="62">
        <v>971</v>
      </c>
      <c r="H41" s="62">
        <v>443693</v>
      </c>
    </row>
    <row r="42" spans="1:8" ht="15" customHeight="1" x14ac:dyDescent="0.3">
      <c r="A42" s="61" t="s">
        <v>60</v>
      </c>
      <c r="B42" s="62">
        <v>401678</v>
      </c>
      <c r="C42" s="62">
        <v>0</v>
      </c>
      <c r="D42" s="62">
        <v>401678</v>
      </c>
      <c r="E42" s="61" t="s">
        <v>60</v>
      </c>
      <c r="F42" s="62">
        <v>316196</v>
      </c>
      <c r="G42" s="62">
        <v>655</v>
      </c>
      <c r="H42" s="62">
        <v>316851</v>
      </c>
    </row>
    <row r="43" spans="1:8" ht="15" customHeight="1" x14ac:dyDescent="0.3">
      <c r="A43" s="61" t="s">
        <v>61</v>
      </c>
      <c r="B43" s="62">
        <v>376915</v>
      </c>
      <c r="C43" s="62">
        <v>0</v>
      </c>
      <c r="D43" s="62">
        <v>376915</v>
      </c>
      <c r="E43" s="61" t="s">
        <v>61</v>
      </c>
      <c r="F43" s="62">
        <v>290459</v>
      </c>
      <c r="G43" s="62">
        <v>578</v>
      </c>
      <c r="H43" s="62">
        <v>291037</v>
      </c>
    </row>
    <row r="44" spans="1:8" ht="15" customHeight="1" x14ac:dyDescent="0.3">
      <c r="A44" s="103">
        <v>2022</v>
      </c>
      <c r="B44" s="102">
        <v>5552227</v>
      </c>
      <c r="C44" s="102">
        <v>0</v>
      </c>
      <c r="D44" s="102">
        <v>5552227</v>
      </c>
      <c r="E44" s="103">
        <v>2022</v>
      </c>
      <c r="F44" s="102">
        <v>3769645</v>
      </c>
      <c r="G44" s="102">
        <v>12882</v>
      </c>
      <c r="H44" s="102">
        <v>3782527</v>
      </c>
    </row>
    <row r="45" spans="1:8" ht="15" customHeight="1" x14ac:dyDescent="0.3">
      <c r="A45" s="61" t="s">
        <v>50</v>
      </c>
      <c r="B45" s="62">
        <v>123665</v>
      </c>
      <c r="C45" s="62">
        <v>0</v>
      </c>
      <c r="D45" s="62">
        <v>123665</v>
      </c>
      <c r="E45" s="61" t="s">
        <v>50</v>
      </c>
      <c r="F45" s="62">
        <v>145795</v>
      </c>
      <c r="G45" s="62">
        <v>375</v>
      </c>
      <c r="H45" s="62">
        <v>146170</v>
      </c>
    </row>
    <row r="46" spans="1:8" ht="15" customHeight="1" x14ac:dyDescent="0.3">
      <c r="A46" s="61" t="s">
        <v>51</v>
      </c>
      <c r="B46" s="62">
        <v>158186</v>
      </c>
      <c r="C46" s="62">
        <v>0</v>
      </c>
      <c r="D46" s="62">
        <v>158186</v>
      </c>
      <c r="E46" s="61" t="s">
        <v>51</v>
      </c>
      <c r="F46" s="62">
        <v>164268</v>
      </c>
      <c r="G46" s="62">
        <v>560</v>
      </c>
      <c r="H46" s="62">
        <v>164828</v>
      </c>
    </row>
    <row r="47" spans="1:8" ht="15" customHeight="1" x14ac:dyDescent="0.3">
      <c r="A47" s="61" t="s">
        <v>52</v>
      </c>
      <c r="B47" s="62">
        <v>216194</v>
      </c>
      <c r="C47" s="62">
        <v>0</v>
      </c>
      <c r="D47" s="62">
        <v>216194</v>
      </c>
      <c r="E47" s="61" t="s">
        <v>52</v>
      </c>
      <c r="F47" s="62">
        <v>201525</v>
      </c>
      <c r="G47" s="62">
        <v>582</v>
      </c>
      <c r="H47" s="62">
        <v>202107</v>
      </c>
    </row>
    <row r="48" spans="1:8" ht="15" customHeight="1" x14ac:dyDescent="0.3">
      <c r="A48" s="61" t="s">
        <v>53</v>
      </c>
      <c r="B48" s="62">
        <v>400590</v>
      </c>
      <c r="C48" s="62">
        <v>0</v>
      </c>
      <c r="D48" s="62">
        <v>400590</v>
      </c>
      <c r="E48" s="61" t="s">
        <v>53</v>
      </c>
      <c r="F48" s="62">
        <v>264828</v>
      </c>
      <c r="G48" s="62">
        <v>929</v>
      </c>
      <c r="H48" s="62">
        <v>265757</v>
      </c>
    </row>
    <row r="49" spans="1:8" ht="15" customHeight="1" x14ac:dyDescent="0.3">
      <c r="A49" s="61" t="s">
        <v>54</v>
      </c>
      <c r="B49" s="62">
        <v>521373</v>
      </c>
      <c r="C49" s="62">
        <v>0</v>
      </c>
      <c r="D49" s="62">
        <v>521373</v>
      </c>
      <c r="E49" s="61" t="s">
        <v>54</v>
      </c>
      <c r="F49" s="62">
        <v>333924</v>
      </c>
      <c r="G49" s="62">
        <v>1107</v>
      </c>
      <c r="H49" s="62">
        <v>335031</v>
      </c>
    </row>
    <row r="50" spans="1:8" ht="15" customHeight="1" x14ac:dyDescent="0.3">
      <c r="A50" s="61" t="s">
        <v>55</v>
      </c>
      <c r="B50" s="62">
        <v>647279</v>
      </c>
      <c r="C50" s="62">
        <v>0</v>
      </c>
      <c r="D50" s="62">
        <v>647279</v>
      </c>
      <c r="E50" s="61" t="s">
        <v>55</v>
      </c>
      <c r="F50" s="62">
        <v>393165</v>
      </c>
      <c r="G50" s="62">
        <v>2759</v>
      </c>
      <c r="H50" s="62">
        <v>395924</v>
      </c>
    </row>
    <row r="51" spans="1:8" ht="15" customHeight="1" x14ac:dyDescent="0.3">
      <c r="A51" s="61" t="s">
        <v>56</v>
      </c>
      <c r="B51" s="62">
        <v>819152</v>
      </c>
      <c r="C51" s="62">
        <v>0</v>
      </c>
      <c r="D51" s="62">
        <v>819152</v>
      </c>
      <c r="E51" s="61" t="s">
        <v>56</v>
      </c>
      <c r="F51" s="62">
        <v>454413</v>
      </c>
      <c r="G51" s="62">
        <v>0</v>
      </c>
      <c r="H51" s="62">
        <v>454413</v>
      </c>
    </row>
    <row r="52" spans="1:8" ht="15" customHeight="1" x14ac:dyDescent="0.3">
      <c r="A52" s="61" t="s">
        <v>57</v>
      </c>
      <c r="B52" s="62">
        <v>762294</v>
      </c>
      <c r="C52" s="62">
        <v>0</v>
      </c>
      <c r="D52" s="62">
        <v>762294</v>
      </c>
      <c r="E52" s="61" t="s">
        <v>57</v>
      </c>
      <c r="F52" s="62">
        <v>471121</v>
      </c>
      <c r="G52" s="62">
        <v>2930</v>
      </c>
      <c r="H52" s="62">
        <v>474051</v>
      </c>
    </row>
    <row r="53" spans="1:8" ht="15" customHeight="1" x14ac:dyDescent="0.3">
      <c r="A53" s="61" t="s">
        <v>58</v>
      </c>
      <c r="B53" s="62">
        <v>679064</v>
      </c>
      <c r="C53" s="62">
        <v>0</v>
      </c>
      <c r="D53" s="62">
        <v>679064</v>
      </c>
      <c r="E53" s="61" t="s">
        <v>58</v>
      </c>
      <c r="F53" s="62">
        <v>431646</v>
      </c>
      <c r="G53" s="62">
        <v>1975</v>
      </c>
      <c r="H53" s="62">
        <v>433621</v>
      </c>
    </row>
    <row r="54" spans="1:8" ht="15" customHeight="1" x14ac:dyDescent="0.3">
      <c r="A54" s="61" t="s">
        <v>59</v>
      </c>
      <c r="B54" s="62">
        <v>574397</v>
      </c>
      <c r="C54" s="62">
        <v>0</v>
      </c>
      <c r="D54" s="62">
        <v>574397</v>
      </c>
      <c r="E54" s="61" t="s">
        <v>59</v>
      </c>
      <c r="F54" s="62">
        <v>374045</v>
      </c>
      <c r="G54" s="62">
        <v>1031</v>
      </c>
      <c r="H54" s="62">
        <v>375076</v>
      </c>
    </row>
    <row r="55" spans="1:8" ht="15" customHeight="1" x14ac:dyDescent="0.3">
      <c r="A55" s="61" t="s">
        <v>60</v>
      </c>
      <c r="B55" s="62">
        <v>346180</v>
      </c>
      <c r="C55" s="62">
        <v>0</v>
      </c>
      <c r="D55" s="62">
        <v>346180</v>
      </c>
      <c r="E55" s="61" t="s">
        <v>60</v>
      </c>
      <c r="F55" s="62">
        <v>273031</v>
      </c>
      <c r="G55" s="62">
        <v>634</v>
      </c>
      <c r="H55" s="62">
        <v>273665</v>
      </c>
    </row>
    <row r="56" spans="1:8" ht="15" customHeight="1" x14ac:dyDescent="0.3">
      <c r="A56" s="61" t="s">
        <v>61</v>
      </c>
      <c r="B56" s="62">
        <v>303853</v>
      </c>
      <c r="C56" s="62">
        <v>0</v>
      </c>
      <c r="D56" s="62">
        <v>303853</v>
      </c>
      <c r="E56" s="61" t="s">
        <v>61</v>
      </c>
      <c r="F56" s="62">
        <v>261884</v>
      </c>
      <c r="G56" s="62">
        <v>0</v>
      </c>
      <c r="H56" s="62">
        <v>261884</v>
      </c>
    </row>
    <row r="57" spans="1:8" ht="15" customHeight="1" x14ac:dyDescent="0.3">
      <c r="A57" s="103">
        <v>2021</v>
      </c>
      <c r="B57" s="102">
        <f>SUM(B58:B69)</f>
        <v>2921550</v>
      </c>
      <c r="C57" s="102">
        <f t="shared" ref="C57:D57" si="0">SUM(C58:C69)</f>
        <v>0</v>
      </c>
      <c r="D57" s="102">
        <f t="shared" si="0"/>
        <v>2921550</v>
      </c>
      <c r="E57" s="103">
        <v>2021</v>
      </c>
      <c r="F57" s="102">
        <f>SUM(F58:F69)</f>
        <v>2358470</v>
      </c>
      <c r="G57" s="102">
        <f t="shared" ref="G57:H57" si="1">SUM(G58:G69)</f>
        <v>11873</v>
      </c>
      <c r="H57" s="102">
        <f t="shared" si="1"/>
        <v>2370343</v>
      </c>
    </row>
    <row r="58" spans="1:8" ht="15" customHeight="1" x14ac:dyDescent="0.3">
      <c r="A58" s="61" t="s">
        <v>50</v>
      </c>
      <c r="B58" s="62">
        <v>33648</v>
      </c>
      <c r="C58" s="62">
        <v>0</v>
      </c>
      <c r="D58" s="62">
        <f>SUM(B58:C58)</f>
        <v>33648</v>
      </c>
      <c r="E58" s="61" t="s">
        <v>50</v>
      </c>
      <c r="F58" s="62">
        <v>58768</v>
      </c>
      <c r="G58" s="62">
        <v>203</v>
      </c>
      <c r="H58" s="62">
        <f>SUM(F58:G58)</f>
        <v>58971</v>
      </c>
    </row>
    <row r="59" spans="1:8" ht="15" customHeight="1" x14ac:dyDescent="0.3">
      <c r="A59" s="61" t="s">
        <v>51</v>
      </c>
      <c r="B59" s="62">
        <v>28463</v>
      </c>
      <c r="C59" s="62">
        <v>0</v>
      </c>
      <c r="D59" s="62">
        <f t="shared" ref="D59:D69" si="2">SUM(B59:C59)</f>
        <v>28463</v>
      </c>
      <c r="E59" s="61" t="s">
        <v>51</v>
      </c>
      <c r="F59" s="62">
        <v>51897</v>
      </c>
      <c r="G59" s="62">
        <v>216</v>
      </c>
      <c r="H59" s="62">
        <f t="shared" ref="H59:H69" si="3">SUM(F59:G59)</f>
        <v>52113</v>
      </c>
    </row>
    <row r="60" spans="1:8" ht="15" customHeight="1" x14ac:dyDescent="0.3">
      <c r="A60" s="61" t="s">
        <v>52</v>
      </c>
      <c r="B60" s="62">
        <v>32224</v>
      </c>
      <c r="C60" s="62">
        <v>0</v>
      </c>
      <c r="D60" s="62">
        <f t="shared" si="2"/>
        <v>32224</v>
      </c>
      <c r="E60" s="61" t="s">
        <v>52</v>
      </c>
      <c r="F60" s="62">
        <v>61832</v>
      </c>
      <c r="G60" s="62">
        <v>241</v>
      </c>
      <c r="H60" s="62">
        <f t="shared" si="3"/>
        <v>62073</v>
      </c>
    </row>
    <row r="61" spans="1:8" ht="15" customHeight="1" x14ac:dyDescent="0.3">
      <c r="A61" s="61" t="s">
        <v>53</v>
      </c>
      <c r="B61" s="62">
        <v>45847</v>
      </c>
      <c r="C61" s="62">
        <v>0</v>
      </c>
      <c r="D61" s="62">
        <f t="shared" si="2"/>
        <v>45847</v>
      </c>
      <c r="E61" s="61" t="s">
        <v>53</v>
      </c>
      <c r="F61" s="62">
        <v>77018</v>
      </c>
      <c r="G61" s="62">
        <v>554</v>
      </c>
      <c r="H61" s="62">
        <f t="shared" si="3"/>
        <v>77572</v>
      </c>
    </row>
    <row r="62" spans="1:8" ht="15" customHeight="1" x14ac:dyDescent="0.3">
      <c r="A62" s="61" t="s">
        <v>54</v>
      </c>
      <c r="B62" s="62">
        <v>115481</v>
      </c>
      <c r="C62" s="62">
        <v>0</v>
      </c>
      <c r="D62" s="62">
        <f t="shared" si="2"/>
        <v>115481</v>
      </c>
      <c r="E62" s="61" t="s">
        <v>54</v>
      </c>
      <c r="F62" s="62">
        <v>136085</v>
      </c>
      <c r="G62" s="62">
        <v>630</v>
      </c>
      <c r="H62" s="62">
        <f t="shared" si="3"/>
        <v>136715</v>
      </c>
    </row>
    <row r="63" spans="1:8" ht="15" customHeight="1" x14ac:dyDescent="0.3">
      <c r="A63" s="61" t="s">
        <v>55</v>
      </c>
      <c r="B63" s="62">
        <v>275686</v>
      </c>
      <c r="C63" s="62">
        <v>0</v>
      </c>
      <c r="D63" s="62">
        <f t="shared" si="2"/>
        <v>275686</v>
      </c>
      <c r="E63" s="61" t="s">
        <v>55</v>
      </c>
      <c r="F63" s="62">
        <v>218363</v>
      </c>
      <c r="G63" s="62">
        <v>1421</v>
      </c>
      <c r="H63" s="62">
        <f t="shared" si="3"/>
        <v>219784</v>
      </c>
    </row>
    <row r="64" spans="1:8" ht="15" customHeight="1" x14ac:dyDescent="0.3">
      <c r="A64" s="61" t="s">
        <v>56</v>
      </c>
      <c r="B64" s="62">
        <v>552254</v>
      </c>
      <c r="C64" s="62">
        <v>0</v>
      </c>
      <c r="D64" s="62">
        <f t="shared" si="2"/>
        <v>552254</v>
      </c>
      <c r="E64" s="61" t="s">
        <v>56</v>
      </c>
      <c r="F64" s="62">
        <v>321261</v>
      </c>
      <c r="G64" s="62">
        <v>2584</v>
      </c>
      <c r="H64" s="62">
        <f t="shared" si="3"/>
        <v>323845</v>
      </c>
    </row>
    <row r="65" spans="1:8" ht="15" customHeight="1" x14ac:dyDescent="0.3">
      <c r="A65" s="61" t="s">
        <v>57</v>
      </c>
      <c r="B65" s="62">
        <v>545347</v>
      </c>
      <c r="C65" s="62">
        <v>0</v>
      </c>
      <c r="D65" s="62">
        <f t="shared" si="2"/>
        <v>545347</v>
      </c>
      <c r="E65" s="61" t="s">
        <v>57</v>
      </c>
      <c r="F65" s="62">
        <v>387509</v>
      </c>
      <c r="G65" s="62">
        <v>2689</v>
      </c>
      <c r="H65" s="62">
        <f t="shared" si="3"/>
        <v>390198</v>
      </c>
    </row>
    <row r="66" spans="1:8" ht="15" customHeight="1" x14ac:dyDescent="0.3">
      <c r="A66" s="61" t="s">
        <v>58</v>
      </c>
      <c r="B66" s="62">
        <v>465141</v>
      </c>
      <c r="C66" s="62">
        <v>0</v>
      </c>
      <c r="D66" s="62">
        <f t="shared" si="2"/>
        <v>465141</v>
      </c>
      <c r="E66" s="61" t="s">
        <v>58</v>
      </c>
      <c r="F66" s="62">
        <v>326811</v>
      </c>
      <c r="G66" s="62">
        <v>1586</v>
      </c>
      <c r="H66" s="62">
        <f t="shared" si="3"/>
        <v>328397</v>
      </c>
    </row>
    <row r="67" spans="1:8" ht="15" customHeight="1" x14ac:dyDescent="0.3">
      <c r="A67" s="61" t="s">
        <v>59</v>
      </c>
      <c r="B67" s="62">
        <v>396603</v>
      </c>
      <c r="C67" s="62">
        <v>0</v>
      </c>
      <c r="D67" s="62">
        <f t="shared" si="2"/>
        <v>396603</v>
      </c>
      <c r="E67" s="61" t="s">
        <v>59</v>
      </c>
      <c r="F67" s="62">
        <v>284154</v>
      </c>
      <c r="G67" s="62">
        <v>840</v>
      </c>
      <c r="H67" s="62">
        <f t="shared" si="3"/>
        <v>284994</v>
      </c>
    </row>
    <row r="68" spans="1:8" ht="15" customHeight="1" x14ac:dyDescent="0.3">
      <c r="A68" s="61" t="s">
        <v>60</v>
      </c>
      <c r="B68" s="62">
        <v>239167</v>
      </c>
      <c r="C68" s="62">
        <v>0</v>
      </c>
      <c r="D68" s="62">
        <f t="shared" si="2"/>
        <v>239167</v>
      </c>
      <c r="E68" s="61" t="s">
        <v>60</v>
      </c>
      <c r="F68" s="62">
        <v>223910</v>
      </c>
      <c r="G68" s="62">
        <v>464</v>
      </c>
      <c r="H68" s="62">
        <f t="shared" si="3"/>
        <v>224374</v>
      </c>
    </row>
    <row r="69" spans="1:8" ht="15" customHeight="1" x14ac:dyDescent="0.3">
      <c r="A69" s="61" t="s">
        <v>61</v>
      </c>
      <c r="B69" s="62">
        <v>191689</v>
      </c>
      <c r="C69" s="62">
        <v>0</v>
      </c>
      <c r="D69" s="62">
        <f t="shared" si="2"/>
        <v>191689</v>
      </c>
      <c r="E69" s="61" t="s">
        <v>61</v>
      </c>
      <c r="F69" s="62">
        <v>210862</v>
      </c>
      <c r="G69" s="62">
        <v>445</v>
      </c>
      <c r="H69" s="62">
        <f t="shared" si="3"/>
        <v>211307</v>
      </c>
    </row>
    <row r="70" spans="1:8" ht="15" customHeight="1" x14ac:dyDescent="0.3">
      <c r="A70" s="103">
        <v>2020</v>
      </c>
      <c r="B70" s="102">
        <f>SUM(B71:B82)</f>
        <v>1642218</v>
      </c>
      <c r="C70" s="102">
        <f t="shared" ref="C70:D70" si="4">SUM(C71:C82)</f>
        <v>108</v>
      </c>
      <c r="D70" s="102">
        <f t="shared" si="4"/>
        <v>1642326</v>
      </c>
      <c r="E70" s="103">
        <v>2020</v>
      </c>
      <c r="F70" s="102">
        <f>SUM(F71:F82)</f>
        <v>1502084</v>
      </c>
      <c r="G70" s="102">
        <f t="shared" ref="G70:H70" si="5">SUM(G71:G82)</f>
        <v>6215</v>
      </c>
      <c r="H70" s="102">
        <f t="shared" si="5"/>
        <v>1508299</v>
      </c>
    </row>
    <row r="71" spans="1:8" ht="15" customHeight="1" x14ac:dyDescent="0.3">
      <c r="A71" s="61" t="s">
        <v>50</v>
      </c>
      <c r="B71" s="62">
        <v>286928</v>
      </c>
      <c r="C71" s="62">
        <v>0</v>
      </c>
      <c r="D71" s="62">
        <f>SUM(B71:C71)</f>
        <v>286928</v>
      </c>
      <c r="E71" s="61" t="s">
        <v>50</v>
      </c>
      <c r="F71" s="62">
        <v>220541</v>
      </c>
      <c r="G71" s="62">
        <v>497</v>
      </c>
      <c r="H71" s="62">
        <f>SUM(F71:G71)</f>
        <v>221038</v>
      </c>
    </row>
    <row r="72" spans="1:8" ht="15" customHeight="1" x14ac:dyDescent="0.3">
      <c r="A72" s="61" t="s">
        <v>51</v>
      </c>
      <c r="B72" s="62">
        <v>244095</v>
      </c>
      <c r="C72" s="62">
        <v>0</v>
      </c>
      <c r="D72" s="62">
        <f t="shared" ref="D72:D82" si="6">SUM(B72:C72)</f>
        <v>244095</v>
      </c>
      <c r="E72" s="61" t="s">
        <v>51</v>
      </c>
      <c r="F72" s="62">
        <v>213756</v>
      </c>
      <c r="G72" s="62">
        <v>518</v>
      </c>
      <c r="H72" s="62">
        <f t="shared" ref="H72:H82" si="7">SUM(F72:G72)</f>
        <v>214274</v>
      </c>
    </row>
    <row r="73" spans="1:8" ht="15" customHeight="1" x14ac:dyDescent="0.3">
      <c r="A73" s="61" t="s">
        <v>52</v>
      </c>
      <c r="B73" s="62">
        <v>143657</v>
      </c>
      <c r="C73" s="62">
        <v>0</v>
      </c>
      <c r="D73" s="62">
        <f t="shared" si="6"/>
        <v>143657</v>
      </c>
      <c r="E73" s="61" t="s">
        <v>52</v>
      </c>
      <c r="F73" s="62">
        <v>103917</v>
      </c>
      <c r="G73" s="62">
        <v>303</v>
      </c>
      <c r="H73" s="62">
        <f t="shared" si="7"/>
        <v>104220</v>
      </c>
    </row>
    <row r="74" spans="1:8" ht="15" customHeight="1" x14ac:dyDescent="0.3">
      <c r="A74" s="61" t="s">
        <v>53</v>
      </c>
      <c r="B74" s="62"/>
      <c r="C74" s="62">
        <v>0</v>
      </c>
      <c r="D74" s="62">
        <f t="shared" si="6"/>
        <v>0</v>
      </c>
      <c r="E74" s="61" t="s">
        <v>53</v>
      </c>
      <c r="F74" s="62"/>
      <c r="G74" s="62">
        <v>20</v>
      </c>
      <c r="H74" s="62">
        <f t="shared" si="7"/>
        <v>20</v>
      </c>
    </row>
    <row r="75" spans="1:8" ht="15" customHeight="1" x14ac:dyDescent="0.3">
      <c r="A75" s="61" t="s">
        <v>54</v>
      </c>
      <c r="B75" s="62"/>
      <c r="C75" s="62">
        <v>0</v>
      </c>
      <c r="D75" s="62">
        <f t="shared" si="6"/>
        <v>0</v>
      </c>
      <c r="E75" s="61" t="s">
        <v>54</v>
      </c>
      <c r="F75" s="62"/>
      <c r="G75" s="62">
        <v>124</v>
      </c>
      <c r="H75" s="62">
        <f t="shared" si="7"/>
        <v>124</v>
      </c>
    </row>
    <row r="76" spans="1:8" ht="15" customHeight="1" x14ac:dyDescent="0.3">
      <c r="A76" s="61" t="s">
        <v>55</v>
      </c>
      <c r="B76" s="62"/>
      <c r="C76" s="62">
        <v>0</v>
      </c>
      <c r="D76" s="62">
        <f t="shared" si="6"/>
        <v>0</v>
      </c>
      <c r="E76" s="61" t="s">
        <v>55</v>
      </c>
      <c r="F76" s="62">
        <v>94574</v>
      </c>
      <c r="G76" s="62">
        <v>480</v>
      </c>
      <c r="H76" s="62">
        <f t="shared" si="7"/>
        <v>95054</v>
      </c>
    </row>
    <row r="77" spans="1:8" ht="15" customHeight="1" x14ac:dyDescent="0.3">
      <c r="A77" s="61" t="s">
        <v>56</v>
      </c>
      <c r="B77" s="62">
        <v>201322</v>
      </c>
      <c r="C77" s="62">
        <v>38</v>
      </c>
      <c r="D77" s="62">
        <f t="shared" si="6"/>
        <v>201360</v>
      </c>
      <c r="E77" s="61" t="s">
        <v>56</v>
      </c>
      <c r="F77" s="62">
        <v>183009</v>
      </c>
      <c r="G77" s="62">
        <v>1124</v>
      </c>
      <c r="H77" s="62">
        <f t="shared" si="7"/>
        <v>184133</v>
      </c>
    </row>
    <row r="78" spans="1:8" ht="15" customHeight="1" x14ac:dyDescent="0.3">
      <c r="A78" s="61" t="s">
        <v>57</v>
      </c>
      <c r="B78" s="62">
        <v>301720</v>
      </c>
      <c r="C78" s="62">
        <v>70</v>
      </c>
      <c r="D78" s="62">
        <f t="shared" si="6"/>
        <v>301790</v>
      </c>
      <c r="E78" s="61" t="s">
        <v>57</v>
      </c>
      <c r="F78" s="62">
        <v>256095</v>
      </c>
      <c r="G78" s="62">
        <v>1431</v>
      </c>
      <c r="H78" s="62">
        <f t="shared" si="7"/>
        <v>257526</v>
      </c>
    </row>
    <row r="79" spans="1:8" ht="15" customHeight="1" x14ac:dyDescent="0.3">
      <c r="A79" s="61" t="s">
        <v>58</v>
      </c>
      <c r="B79" s="62">
        <v>203042</v>
      </c>
      <c r="C79" s="62">
        <v>0</v>
      </c>
      <c r="D79" s="62">
        <f t="shared" si="6"/>
        <v>203042</v>
      </c>
      <c r="E79" s="61" t="s">
        <v>58</v>
      </c>
      <c r="F79" s="62">
        <v>183678</v>
      </c>
      <c r="G79" s="62">
        <v>832</v>
      </c>
      <c r="H79" s="62">
        <f t="shared" si="7"/>
        <v>184510</v>
      </c>
    </row>
    <row r="80" spans="1:8" ht="15" customHeight="1" x14ac:dyDescent="0.3">
      <c r="A80" s="61" t="s">
        <v>59</v>
      </c>
      <c r="B80" s="62">
        <v>173114</v>
      </c>
      <c r="C80" s="62">
        <v>0</v>
      </c>
      <c r="D80" s="62">
        <f t="shared" si="6"/>
        <v>173114</v>
      </c>
      <c r="E80" s="61" t="s">
        <v>59</v>
      </c>
      <c r="F80" s="62">
        <v>142222</v>
      </c>
      <c r="G80" s="62">
        <v>489</v>
      </c>
      <c r="H80" s="62">
        <f t="shared" si="7"/>
        <v>142711</v>
      </c>
    </row>
    <row r="81" spans="1:8" ht="15" customHeight="1" x14ac:dyDescent="0.3">
      <c r="A81" s="61" t="s">
        <v>60</v>
      </c>
      <c r="B81" s="62">
        <v>45311</v>
      </c>
      <c r="C81" s="62">
        <v>0</v>
      </c>
      <c r="D81" s="62">
        <f t="shared" si="6"/>
        <v>45311</v>
      </c>
      <c r="E81" s="61" t="s">
        <v>60</v>
      </c>
      <c r="F81" s="62">
        <v>56045</v>
      </c>
      <c r="G81" s="62">
        <v>207</v>
      </c>
      <c r="H81" s="62">
        <f t="shared" si="7"/>
        <v>56252</v>
      </c>
    </row>
    <row r="82" spans="1:8" ht="15" customHeight="1" x14ac:dyDescent="0.3">
      <c r="A82" s="61" t="s">
        <v>61</v>
      </c>
      <c r="B82" s="62">
        <v>43029</v>
      </c>
      <c r="C82" s="62">
        <v>0</v>
      </c>
      <c r="D82" s="62">
        <f t="shared" si="6"/>
        <v>43029</v>
      </c>
      <c r="E82" s="61" t="s">
        <v>61</v>
      </c>
      <c r="F82" s="62">
        <v>48247</v>
      </c>
      <c r="G82" s="62">
        <v>190</v>
      </c>
      <c r="H82" s="62">
        <f t="shared" si="7"/>
        <v>48437</v>
      </c>
    </row>
    <row r="83" spans="1:8" ht="15" customHeight="1" x14ac:dyDescent="0.3">
      <c r="A83" s="103">
        <v>2019</v>
      </c>
      <c r="B83" s="102">
        <f>SUM(B84:B95)</f>
        <v>6412593</v>
      </c>
      <c r="C83" s="102">
        <f t="shared" ref="C83:D83" si="8">SUM(C84:C95)</f>
        <v>2116</v>
      </c>
      <c r="D83" s="102">
        <f t="shared" si="8"/>
        <v>6414709</v>
      </c>
      <c r="E83" s="103">
        <v>2019</v>
      </c>
      <c r="F83" s="102">
        <f>SUM(F84:F95)</f>
        <v>3973656</v>
      </c>
      <c r="G83" s="102">
        <f t="shared" ref="G83:H83" si="9">SUM(G84:G95)</f>
        <v>16186</v>
      </c>
      <c r="H83" s="102">
        <f t="shared" si="9"/>
        <v>3989842</v>
      </c>
    </row>
    <row r="84" spans="1:8" ht="15" customHeight="1" x14ac:dyDescent="0.3">
      <c r="A84" s="61" t="s">
        <v>50</v>
      </c>
      <c r="B84" s="62">
        <v>271630</v>
      </c>
      <c r="C84" s="62">
        <v>0</v>
      </c>
      <c r="D84" s="62">
        <f>SUM(B84:C84)</f>
        <v>271630</v>
      </c>
      <c r="E84" s="61" t="s">
        <v>50</v>
      </c>
      <c r="F84" s="62">
        <v>228675</v>
      </c>
      <c r="G84" s="62">
        <v>456</v>
      </c>
      <c r="H84" s="62">
        <f>SUM(F84:G84)</f>
        <v>229131</v>
      </c>
    </row>
    <row r="85" spans="1:8" ht="15" customHeight="1" x14ac:dyDescent="0.3">
      <c r="A85" s="61" t="s">
        <v>51</v>
      </c>
      <c r="B85" s="62">
        <v>251571</v>
      </c>
      <c r="C85" s="62">
        <v>0</v>
      </c>
      <c r="D85" s="62">
        <f t="shared" ref="D85:D95" si="10">SUM(B85:C85)</f>
        <v>251571</v>
      </c>
      <c r="E85" s="61" t="s">
        <v>51</v>
      </c>
      <c r="F85" s="62">
        <v>224973</v>
      </c>
      <c r="G85" s="62">
        <v>465</v>
      </c>
      <c r="H85" s="62">
        <f t="shared" ref="H85:H95" si="11">SUM(F85:G85)</f>
        <v>225438</v>
      </c>
    </row>
    <row r="86" spans="1:8" ht="15" customHeight="1" x14ac:dyDescent="0.3">
      <c r="A86" s="61" t="s">
        <v>52</v>
      </c>
      <c r="B86" s="62">
        <v>356299</v>
      </c>
      <c r="C86" s="62">
        <v>0</v>
      </c>
      <c r="D86" s="62">
        <f t="shared" si="10"/>
        <v>356299</v>
      </c>
      <c r="E86" s="61" t="s">
        <v>52</v>
      </c>
      <c r="F86" s="62">
        <v>259746</v>
      </c>
      <c r="G86" s="62">
        <v>549</v>
      </c>
      <c r="H86" s="62">
        <f t="shared" si="11"/>
        <v>260295</v>
      </c>
    </row>
    <row r="87" spans="1:8" ht="15" customHeight="1" x14ac:dyDescent="0.3">
      <c r="A87" s="61" t="s">
        <v>53</v>
      </c>
      <c r="B87" s="62">
        <v>511163</v>
      </c>
      <c r="C87" s="62">
        <v>45</v>
      </c>
      <c r="D87" s="62">
        <f t="shared" si="10"/>
        <v>511208</v>
      </c>
      <c r="E87" s="61" t="s">
        <v>53</v>
      </c>
      <c r="F87" s="62">
        <v>276237</v>
      </c>
      <c r="G87" s="62">
        <v>988</v>
      </c>
      <c r="H87" s="62">
        <f t="shared" si="11"/>
        <v>277225</v>
      </c>
    </row>
    <row r="88" spans="1:8" ht="15" customHeight="1" x14ac:dyDescent="0.3">
      <c r="A88" s="61" t="s">
        <v>54</v>
      </c>
      <c r="B88" s="62">
        <v>593359</v>
      </c>
      <c r="C88" s="62">
        <v>300</v>
      </c>
      <c r="D88" s="62">
        <f t="shared" si="10"/>
        <v>593659</v>
      </c>
      <c r="E88" s="61" t="s">
        <v>54</v>
      </c>
      <c r="F88" s="62">
        <v>353056</v>
      </c>
      <c r="G88" s="62">
        <v>1191</v>
      </c>
      <c r="H88" s="62">
        <f t="shared" si="11"/>
        <v>354247</v>
      </c>
    </row>
    <row r="89" spans="1:8" ht="15" customHeight="1" x14ac:dyDescent="0.3">
      <c r="A89" s="61" t="s">
        <v>55</v>
      </c>
      <c r="B89" s="62">
        <v>699035</v>
      </c>
      <c r="C89" s="62">
        <v>395</v>
      </c>
      <c r="D89" s="62">
        <f t="shared" si="10"/>
        <v>699430</v>
      </c>
      <c r="E89" s="61" t="s">
        <v>55</v>
      </c>
      <c r="F89" s="62">
        <v>399476</v>
      </c>
      <c r="G89" s="62">
        <v>2376</v>
      </c>
      <c r="H89" s="62">
        <f t="shared" si="11"/>
        <v>401852</v>
      </c>
    </row>
    <row r="90" spans="1:8" ht="15" customHeight="1" x14ac:dyDescent="0.3">
      <c r="A90" s="61" t="s">
        <v>56</v>
      </c>
      <c r="B90" s="62">
        <v>864861</v>
      </c>
      <c r="C90" s="62">
        <v>435</v>
      </c>
      <c r="D90" s="62">
        <f t="shared" si="10"/>
        <v>865296</v>
      </c>
      <c r="E90" s="61" t="s">
        <v>56</v>
      </c>
      <c r="F90" s="62">
        <v>456239</v>
      </c>
      <c r="G90" s="62">
        <v>3419</v>
      </c>
      <c r="H90" s="62">
        <f t="shared" si="11"/>
        <v>459658</v>
      </c>
    </row>
    <row r="91" spans="1:8" ht="15" customHeight="1" x14ac:dyDescent="0.3">
      <c r="A91" s="61" t="s">
        <v>57</v>
      </c>
      <c r="B91" s="62">
        <v>876070</v>
      </c>
      <c r="C91" s="62">
        <v>528</v>
      </c>
      <c r="D91" s="62">
        <f t="shared" si="10"/>
        <v>876598</v>
      </c>
      <c r="E91" s="61" t="s">
        <v>57</v>
      </c>
      <c r="F91" s="62">
        <v>478408</v>
      </c>
      <c r="G91" s="62">
        <v>3172</v>
      </c>
      <c r="H91" s="62">
        <f t="shared" si="11"/>
        <v>481580</v>
      </c>
    </row>
    <row r="92" spans="1:8" ht="15" customHeight="1" x14ac:dyDescent="0.3">
      <c r="A92" s="61" t="s">
        <v>58</v>
      </c>
      <c r="B92" s="62">
        <v>734112</v>
      </c>
      <c r="C92" s="62">
        <v>413</v>
      </c>
      <c r="D92" s="62">
        <f t="shared" si="10"/>
        <v>734525</v>
      </c>
      <c r="E92" s="61" t="s">
        <v>58</v>
      </c>
      <c r="F92" s="62">
        <v>429909</v>
      </c>
      <c r="G92" s="62">
        <v>1862</v>
      </c>
      <c r="H92" s="62">
        <f t="shared" si="11"/>
        <v>431771</v>
      </c>
    </row>
    <row r="93" spans="1:8" ht="15" customHeight="1" x14ac:dyDescent="0.3">
      <c r="A93" s="61" t="s">
        <v>59</v>
      </c>
      <c r="B93" s="62">
        <v>563672</v>
      </c>
      <c r="C93" s="62">
        <v>0</v>
      </c>
      <c r="D93" s="62">
        <f t="shared" si="10"/>
        <v>563672</v>
      </c>
      <c r="E93" s="61" t="s">
        <v>59</v>
      </c>
      <c r="F93" s="62">
        <v>361969</v>
      </c>
      <c r="G93" s="62">
        <v>813</v>
      </c>
      <c r="H93" s="62">
        <f t="shared" si="11"/>
        <v>362782</v>
      </c>
    </row>
    <row r="94" spans="1:8" ht="15" customHeight="1" x14ac:dyDescent="0.3">
      <c r="A94" s="61" t="s">
        <v>60</v>
      </c>
      <c r="B94" s="62">
        <v>390904</v>
      </c>
      <c r="C94" s="62">
        <v>0</v>
      </c>
      <c r="D94" s="62">
        <f t="shared" si="10"/>
        <v>390904</v>
      </c>
      <c r="E94" s="61" t="s">
        <v>60</v>
      </c>
      <c r="F94" s="62">
        <v>262558</v>
      </c>
      <c r="G94" s="62">
        <v>428</v>
      </c>
      <c r="H94" s="62">
        <f t="shared" si="11"/>
        <v>262986</v>
      </c>
    </row>
    <row r="95" spans="1:8" ht="15" customHeight="1" x14ac:dyDescent="0.3">
      <c r="A95" s="61" t="s">
        <v>61</v>
      </c>
      <c r="B95" s="62">
        <v>299917</v>
      </c>
      <c r="C95" s="62">
        <v>0</v>
      </c>
      <c r="D95" s="62">
        <f t="shared" si="10"/>
        <v>299917</v>
      </c>
      <c r="E95" s="61" t="s">
        <v>61</v>
      </c>
      <c r="F95" s="62">
        <v>242410</v>
      </c>
      <c r="G95" s="62">
        <v>467</v>
      </c>
      <c r="H95" s="62">
        <f t="shared" si="11"/>
        <v>242877</v>
      </c>
    </row>
    <row r="96" spans="1:8" ht="15" customHeight="1" x14ac:dyDescent="0.3">
      <c r="A96" s="103">
        <v>2018</v>
      </c>
      <c r="B96" s="102">
        <f>SUM(B97:B108)</f>
        <v>5727439</v>
      </c>
      <c r="C96" s="102">
        <f t="shared" ref="C96:D96" si="12">SUM(C97:C108)</f>
        <v>1964</v>
      </c>
      <c r="D96" s="102">
        <f t="shared" si="12"/>
        <v>5729403</v>
      </c>
      <c r="E96" s="103">
        <v>2018</v>
      </c>
      <c r="F96" s="102">
        <f>SUM(F97:F108)</f>
        <v>3961147</v>
      </c>
      <c r="G96" s="102">
        <f t="shared" ref="G96:H96" si="13">SUM(G97:G108)</f>
        <v>15554</v>
      </c>
      <c r="H96" s="102">
        <f t="shared" si="13"/>
        <v>3976701</v>
      </c>
    </row>
    <row r="97" spans="1:8" ht="15" customHeight="1" x14ac:dyDescent="0.3">
      <c r="A97" s="61" t="s">
        <v>50</v>
      </c>
      <c r="B97" s="62">
        <v>250039</v>
      </c>
      <c r="C97" s="62">
        <v>0</v>
      </c>
      <c r="D97" s="62">
        <f>SUM(B97:C97)</f>
        <v>250039</v>
      </c>
      <c r="E97" s="61" t="s">
        <v>50</v>
      </c>
      <c r="F97" s="62">
        <v>211772</v>
      </c>
      <c r="G97" s="62">
        <v>389</v>
      </c>
      <c r="H97" s="62">
        <f>SUM(F97:G97)</f>
        <v>212161</v>
      </c>
    </row>
    <row r="98" spans="1:8" ht="15" customHeight="1" x14ac:dyDescent="0.3">
      <c r="A98" s="61" t="s">
        <v>51</v>
      </c>
      <c r="B98" s="62">
        <v>214954</v>
      </c>
      <c r="C98" s="62">
        <v>0</v>
      </c>
      <c r="D98" s="62">
        <f t="shared" ref="D98:D108" si="14">SUM(B98:C98)</f>
        <v>214954</v>
      </c>
      <c r="E98" s="61" t="s">
        <v>51</v>
      </c>
      <c r="F98" s="62">
        <v>203564</v>
      </c>
      <c r="G98" s="62">
        <v>455</v>
      </c>
      <c r="H98" s="62">
        <f t="shared" ref="H98:H108" si="15">SUM(F98:G98)</f>
        <v>204019</v>
      </c>
    </row>
    <row r="99" spans="1:8" ht="15" customHeight="1" x14ac:dyDescent="0.3">
      <c r="A99" s="61" t="s">
        <v>52</v>
      </c>
      <c r="B99" s="62">
        <v>304157</v>
      </c>
      <c r="C99" s="62">
        <v>0</v>
      </c>
      <c r="D99" s="62">
        <f t="shared" si="14"/>
        <v>304157</v>
      </c>
      <c r="E99" s="61" t="s">
        <v>52</v>
      </c>
      <c r="F99" s="62">
        <v>237847</v>
      </c>
      <c r="G99" s="62">
        <v>495</v>
      </c>
      <c r="H99" s="62">
        <f t="shared" si="15"/>
        <v>238342</v>
      </c>
    </row>
    <row r="100" spans="1:8" ht="15" customHeight="1" x14ac:dyDescent="0.3">
      <c r="A100" s="61" t="s">
        <v>53</v>
      </c>
      <c r="B100" s="62">
        <v>424237</v>
      </c>
      <c r="C100" s="62">
        <v>61</v>
      </c>
      <c r="D100" s="62">
        <f t="shared" si="14"/>
        <v>424298</v>
      </c>
      <c r="E100" s="61" t="s">
        <v>53</v>
      </c>
      <c r="F100" s="62">
        <v>282673</v>
      </c>
      <c r="G100" s="62">
        <v>790</v>
      </c>
      <c r="H100" s="62">
        <f t="shared" si="15"/>
        <v>283463</v>
      </c>
    </row>
    <row r="101" spans="1:8" ht="15" customHeight="1" x14ac:dyDescent="0.3">
      <c r="A101" s="61" t="s">
        <v>54</v>
      </c>
      <c r="B101" s="62">
        <v>541125</v>
      </c>
      <c r="C101" s="62">
        <v>238</v>
      </c>
      <c r="D101" s="62">
        <f t="shared" si="14"/>
        <v>541363</v>
      </c>
      <c r="E101" s="61" t="s">
        <v>54</v>
      </c>
      <c r="F101" s="62">
        <v>351675</v>
      </c>
      <c r="G101" s="62">
        <v>1038</v>
      </c>
      <c r="H101" s="62">
        <f t="shared" si="15"/>
        <v>352713</v>
      </c>
    </row>
    <row r="102" spans="1:8" ht="15" customHeight="1" x14ac:dyDescent="0.3">
      <c r="A102" s="61" t="s">
        <v>55</v>
      </c>
      <c r="B102" s="62">
        <v>659908</v>
      </c>
      <c r="C102" s="62">
        <v>398</v>
      </c>
      <c r="D102" s="62">
        <f t="shared" si="14"/>
        <v>660306</v>
      </c>
      <c r="E102" s="61" t="s">
        <v>55</v>
      </c>
      <c r="F102" s="62">
        <v>388800</v>
      </c>
      <c r="G102" s="62">
        <v>2337</v>
      </c>
      <c r="H102" s="62">
        <f t="shared" si="15"/>
        <v>391137</v>
      </c>
    </row>
    <row r="103" spans="1:8" ht="15" customHeight="1" x14ac:dyDescent="0.3">
      <c r="A103" s="61" t="s">
        <v>56</v>
      </c>
      <c r="B103" s="62">
        <v>797192</v>
      </c>
      <c r="C103" s="62">
        <v>436</v>
      </c>
      <c r="D103" s="62">
        <f t="shared" si="14"/>
        <v>797628</v>
      </c>
      <c r="E103" s="61" t="s">
        <v>56</v>
      </c>
      <c r="F103" s="62">
        <v>459323</v>
      </c>
      <c r="G103" s="62">
        <v>3351</v>
      </c>
      <c r="H103" s="62">
        <f t="shared" si="15"/>
        <v>462674</v>
      </c>
    </row>
    <row r="104" spans="1:8" ht="15" customHeight="1" x14ac:dyDescent="0.3">
      <c r="A104" s="61" t="s">
        <v>57</v>
      </c>
      <c r="B104" s="62">
        <v>767984</v>
      </c>
      <c r="C104" s="62">
        <v>502</v>
      </c>
      <c r="D104" s="62">
        <f t="shared" si="14"/>
        <v>768486</v>
      </c>
      <c r="E104" s="61" t="s">
        <v>57</v>
      </c>
      <c r="F104" s="62">
        <v>482072</v>
      </c>
      <c r="G104" s="62">
        <v>2896</v>
      </c>
      <c r="H104" s="62">
        <f t="shared" si="15"/>
        <v>484968</v>
      </c>
    </row>
    <row r="105" spans="1:8" ht="15" customHeight="1" x14ac:dyDescent="0.3">
      <c r="A105" s="61" t="s">
        <v>58</v>
      </c>
      <c r="B105" s="62">
        <v>655189</v>
      </c>
      <c r="C105" s="62">
        <v>329</v>
      </c>
      <c r="D105" s="62">
        <f t="shared" si="14"/>
        <v>655518</v>
      </c>
      <c r="E105" s="61" t="s">
        <v>58</v>
      </c>
      <c r="F105" s="62">
        <v>436333</v>
      </c>
      <c r="G105" s="62">
        <v>1919</v>
      </c>
      <c r="H105" s="62">
        <f t="shared" si="15"/>
        <v>438252</v>
      </c>
    </row>
    <row r="106" spans="1:8" ht="15" customHeight="1" x14ac:dyDescent="0.3">
      <c r="A106" s="61" t="s">
        <v>59</v>
      </c>
      <c r="B106" s="62">
        <v>514107</v>
      </c>
      <c r="C106" s="62">
        <v>0</v>
      </c>
      <c r="D106" s="62">
        <f t="shared" si="14"/>
        <v>514107</v>
      </c>
      <c r="E106" s="61" t="s">
        <v>59</v>
      </c>
      <c r="F106" s="62">
        <v>369517</v>
      </c>
      <c r="G106" s="62">
        <v>792</v>
      </c>
      <c r="H106" s="62">
        <f t="shared" si="15"/>
        <v>370309</v>
      </c>
    </row>
    <row r="107" spans="1:8" ht="15" customHeight="1" x14ac:dyDescent="0.3">
      <c r="A107" s="61" t="s">
        <v>60</v>
      </c>
      <c r="B107" s="62">
        <v>318976</v>
      </c>
      <c r="C107" s="62">
        <v>0</v>
      </c>
      <c r="D107" s="62">
        <f t="shared" si="14"/>
        <v>318976</v>
      </c>
      <c r="E107" s="61" t="s">
        <v>60</v>
      </c>
      <c r="F107" s="62">
        <v>277342</v>
      </c>
      <c r="G107" s="62">
        <v>538</v>
      </c>
      <c r="H107" s="62">
        <f t="shared" si="15"/>
        <v>277880</v>
      </c>
    </row>
    <row r="108" spans="1:8" ht="15" customHeight="1" x14ac:dyDescent="0.3">
      <c r="A108" s="61" t="s">
        <v>61</v>
      </c>
      <c r="B108" s="62">
        <v>279571</v>
      </c>
      <c r="C108" s="62">
        <v>0</v>
      </c>
      <c r="D108" s="62">
        <f t="shared" si="14"/>
        <v>279571</v>
      </c>
      <c r="E108" s="61" t="s">
        <v>61</v>
      </c>
      <c r="F108" s="62">
        <v>260229</v>
      </c>
      <c r="G108" s="62">
        <v>554</v>
      </c>
      <c r="H108" s="62">
        <f t="shared" si="15"/>
        <v>260783</v>
      </c>
    </row>
    <row r="109" spans="1:8" ht="15" customHeight="1" x14ac:dyDescent="0.3">
      <c r="A109" s="103">
        <v>2017</v>
      </c>
      <c r="B109" s="102">
        <f>SUM(B110:B121)</f>
        <v>4797365</v>
      </c>
      <c r="C109" s="102">
        <f t="shared" ref="C109:D109" si="16">SUM(C110:C121)</f>
        <v>1792</v>
      </c>
      <c r="D109" s="102">
        <f t="shared" si="16"/>
        <v>4799157</v>
      </c>
      <c r="E109" s="103">
        <v>2017</v>
      </c>
      <c r="F109" s="102">
        <f>SUM(F110:F121)</f>
        <v>3744745</v>
      </c>
      <c r="G109" s="102">
        <f t="shared" ref="G109:H109" si="17">SUM(G110:G121)</f>
        <v>13384</v>
      </c>
      <c r="H109" s="102">
        <f t="shared" si="17"/>
        <v>3758129</v>
      </c>
    </row>
    <row r="110" spans="1:8" ht="15" customHeight="1" x14ac:dyDescent="0.3">
      <c r="A110" s="61" t="s">
        <v>50</v>
      </c>
      <c r="B110" s="62">
        <v>205391</v>
      </c>
      <c r="C110" s="62">
        <v>0</v>
      </c>
      <c r="D110" s="62">
        <f>SUM(B110:C110)</f>
        <v>205391</v>
      </c>
      <c r="E110" s="61" t="s">
        <v>50</v>
      </c>
      <c r="F110" s="62">
        <v>217071</v>
      </c>
      <c r="G110" s="62">
        <v>380</v>
      </c>
      <c r="H110" s="62">
        <f>SUM(F110:G110)</f>
        <v>217451</v>
      </c>
    </row>
    <row r="111" spans="1:8" s="20" customFormat="1" ht="15" customHeight="1" x14ac:dyDescent="0.3">
      <c r="A111" s="61" t="s">
        <v>51</v>
      </c>
      <c r="B111" s="62">
        <v>163412</v>
      </c>
      <c r="C111" s="62">
        <v>0</v>
      </c>
      <c r="D111" s="62">
        <f t="shared" ref="D111:D121" si="18">SUM(B111:C111)</f>
        <v>163412</v>
      </c>
      <c r="E111" s="61" t="s">
        <v>51</v>
      </c>
      <c r="F111" s="62">
        <v>222039</v>
      </c>
      <c r="G111" s="62">
        <v>411</v>
      </c>
      <c r="H111" s="62">
        <f t="shared" ref="H111:H121" si="19">SUM(F111:G111)</f>
        <v>222450</v>
      </c>
    </row>
    <row r="112" spans="1:8" s="20" customFormat="1" ht="15" customHeight="1" x14ac:dyDescent="0.3">
      <c r="A112" s="61" t="s">
        <v>52</v>
      </c>
      <c r="B112" s="62">
        <v>242291</v>
      </c>
      <c r="C112" s="62">
        <v>0</v>
      </c>
      <c r="D112" s="62">
        <f t="shared" si="18"/>
        <v>242291</v>
      </c>
      <c r="E112" s="61" t="s">
        <v>52</v>
      </c>
      <c r="F112" s="62">
        <v>251390</v>
      </c>
      <c r="G112" s="62">
        <v>440</v>
      </c>
      <c r="H112" s="62">
        <f t="shared" si="19"/>
        <v>251830</v>
      </c>
    </row>
    <row r="113" spans="1:8" s="20" customFormat="1" ht="15" customHeight="1" x14ac:dyDescent="0.3">
      <c r="A113" s="61" t="s">
        <v>53</v>
      </c>
      <c r="B113" s="62">
        <v>382015</v>
      </c>
      <c r="C113" s="62">
        <v>75</v>
      </c>
      <c r="D113" s="62">
        <f t="shared" si="18"/>
        <v>382090</v>
      </c>
      <c r="E113" s="61" t="s">
        <v>53</v>
      </c>
      <c r="F113" s="62">
        <v>259296</v>
      </c>
      <c r="G113" s="62">
        <v>775</v>
      </c>
      <c r="H113" s="62">
        <f t="shared" si="19"/>
        <v>260071</v>
      </c>
    </row>
    <row r="114" spans="1:8" s="20" customFormat="1" ht="15" customHeight="1" x14ac:dyDescent="0.3">
      <c r="A114" s="61" t="s">
        <v>54</v>
      </c>
      <c r="B114" s="62">
        <v>433515</v>
      </c>
      <c r="C114" s="62">
        <v>143</v>
      </c>
      <c r="D114" s="62">
        <f t="shared" si="18"/>
        <v>433658</v>
      </c>
      <c r="E114" s="61" t="s">
        <v>54</v>
      </c>
      <c r="F114" s="62">
        <v>317472</v>
      </c>
      <c r="G114" s="62">
        <v>920</v>
      </c>
      <c r="H114" s="62">
        <f t="shared" si="19"/>
        <v>318392</v>
      </c>
    </row>
    <row r="115" spans="1:8" ht="15" customHeight="1" x14ac:dyDescent="0.3">
      <c r="A115" s="61" t="s">
        <v>55</v>
      </c>
      <c r="B115" s="62">
        <v>519704</v>
      </c>
      <c r="C115" s="62">
        <v>201</v>
      </c>
      <c r="D115" s="62">
        <f t="shared" si="18"/>
        <v>519905</v>
      </c>
      <c r="E115" s="61" t="s">
        <v>55</v>
      </c>
      <c r="F115" s="62">
        <v>364059</v>
      </c>
      <c r="G115" s="62">
        <v>1963</v>
      </c>
      <c r="H115" s="62">
        <f t="shared" si="19"/>
        <v>366022</v>
      </c>
    </row>
    <row r="116" spans="1:8" ht="15" customHeight="1" x14ac:dyDescent="0.3">
      <c r="A116" s="61" t="s">
        <v>56</v>
      </c>
      <c r="B116" s="62">
        <v>675219</v>
      </c>
      <c r="C116" s="62">
        <v>479</v>
      </c>
      <c r="D116" s="62">
        <f t="shared" si="18"/>
        <v>675698</v>
      </c>
      <c r="E116" s="61" t="s">
        <v>56</v>
      </c>
      <c r="F116" s="62">
        <v>421005</v>
      </c>
      <c r="G116" s="62">
        <v>2966</v>
      </c>
      <c r="H116" s="62">
        <f t="shared" si="19"/>
        <v>423971</v>
      </c>
    </row>
    <row r="117" spans="1:8" ht="15" customHeight="1" x14ac:dyDescent="0.3">
      <c r="A117" s="61" t="s">
        <v>57</v>
      </c>
      <c r="B117" s="62">
        <v>671237</v>
      </c>
      <c r="C117" s="62">
        <v>739</v>
      </c>
      <c r="D117" s="62">
        <f t="shared" si="18"/>
        <v>671976</v>
      </c>
      <c r="E117" s="61" t="s">
        <v>57</v>
      </c>
      <c r="F117" s="62">
        <v>430509</v>
      </c>
      <c r="G117" s="62">
        <v>2097</v>
      </c>
      <c r="H117" s="62">
        <f t="shared" si="19"/>
        <v>432606</v>
      </c>
    </row>
    <row r="118" spans="1:8" ht="15" customHeight="1" x14ac:dyDescent="0.3">
      <c r="A118" s="61" t="s">
        <v>58</v>
      </c>
      <c r="B118" s="62">
        <v>580119</v>
      </c>
      <c r="C118" s="62">
        <v>155</v>
      </c>
      <c r="D118" s="62">
        <f t="shared" si="18"/>
        <v>580274</v>
      </c>
      <c r="E118" s="61" t="s">
        <v>58</v>
      </c>
      <c r="F118" s="62">
        <v>399926</v>
      </c>
      <c r="G118" s="62">
        <v>1706</v>
      </c>
      <c r="H118" s="62">
        <f t="shared" si="19"/>
        <v>401632</v>
      </c>
    </row>
    <row r="119" spans="1:8" ht="15" customHeight="1" x14ac:dyDescent="0.3">
      <c r="A119" s="61" t="s">
        <v>59</v>
      </c>
      <c r="B119" s="62">
        <v>442337</v>
      </c>
      <c r="C119" s="62">
        <v>0</v>
      </c>
      <c r="D119" s="62">
        <f t="shared" si="18"/>
        <v>442337</v>
      </c>
      <c r="E119" s="61" t="s">
        <v>59</v>
      </c>
      <c r="F119" s="62">
        <v>372753</v>
      </c>
      <c r="G119" s="62">
        <v>901</v>
      </c>
      <c r="H119" s="62">
        <f t="shared" si="19"/>
        <v>373654</v>
      </c>
    </row>
    <row r="120" spans="1:8" ht="15" customHeight="1" x14ac:dyDescent="0.3">
      <c r="A120" s="61" t="s">
        <v>60</v>
      </c>
      <c r="B120" s="62">
        <v>250250</v>
      </c>
      <c r="C120" s="62">
        <v>0</v>
      </c>
      <c r="D120" s="62">
        <f t="shared" si="18"/>
        <v>250250</v>
      </c>
      <c r="E120" s="61" t="s">
        <v>60</v>
      </c>
      <c r="F120" s="62">
        <v>252955</v>
      </c>
      <c r="G120" s="62">
        <v>421</v>
      </c>
      <c r="H120" s="62">
        <f t="shared" si="19"/>
        <v>253376</v>
      </c>
    </row>
    <row r="121" spans="1:8" ht="15" customHeight="1" x14ac:dyDescent="0.3">
      <c r="A121" s="61" t="s">
        <v>61</v>
      </c>
      <c r="B121" s="62">
        <v>231875</v>
      </c>
      <c r="C121" s="62">
        <v>0</v>
      </c>
      <c r="D121" s="62">
        <f t="shared" si="18"/>
        <v>231875</v>
      </c>
      <c r="E121" s="61" t="s">
        <v>61</v>
      </c>
      <c r="F121" s="62">
        <v>236270</v>
      </c>
      <c r="G121" s="62">
        <v>404</v>
      </c>
      <c r="H121" s="62">
        <f t="shared" si="19"/>
        <v>236674</v>
      </c>
    </row>
    <row r="122" spans="1:8" ht="15" customHeight="1" x14ac:dyDescent="0.3">
      <c r="A122" s="103">
        <v>2016</v>
      </c>
      <c r="B122" s="102">
        <f>SUM(B123:B134)</f>
        <v>4521127</v>
      </c>
      <c r="C122" s="102">
        <f t="shared" ref="C122:D122" si="20">SUM(C123:C134)</f>
        <v>3817</v>
      </c>
      <c r="D122" s="102">
        <f t="shared" si="20"/>
        <v>4524944</v>
      </c>
      <c r="E122" s="103">
        <v>2016</v>
      </c>
      <c r="F122" s="102">
        <f>SUM(F123:F134)</f>
        <v>3626207</v>
      </c>
      <c r="G122" s="102">
        <f t="shared" ref="G122:H122" si="21">SUM(G123:G134)</f>
        <v>14203</v>
      </c>
      <c r="H122" s="102">
        <f t="shared" si="21"/>
        <v>3640410</v>
      </c>
    </row>
    <row r="123" spans="1:8" ht="15" customHeight="1" x14ac:dyDescent="0.3">
      <c r="A123" s="61" t="s">
        <v>50</v>
      </c>
      <c r="B123" s="62">
        <v>197376</v>
      </c>
      <c r="C123" s="62">
        <v>0</v>
      </c>
      <c r="D123" s="62">
        <f>SUM(B123:C123)</f>
        <v>197376</v>
      </c>
      <c r="E123" s="61" t="s">
        <v>50</v>
      </c>
      <c r="F123" s="62">
        <v>220881</v>
      </c>
      <c r="G123" s="62">
        <v>316</v>
      </c>
      <c r="H123" s="62">
        <f>SUM(F123:G123)</f>
        <v>221197</v>
      </c>
    </row>
    <row r="124" spans="1:8" s="20" customFormat="1" ht="15" customHeight="1" x14ac:dyDescent="0.3">
      <c r="A124" s="61" t="s">
        <v>51</v>
      </c>
      <c r="B124" s="62">
        <v>175791</v>
      </c>
      <c r="C124" s="62">
        <v>0</v>
      </c>
      <c r="D124" s="62">
        <f t="shared" ref="D124:D134" si="22">SUM(B124:C124)</f>
        <v>175791</v>
      </c>
      <c r="E124" s="61" t="s">
        <v>51</v>
      </c>
      <c r="F124" s="62">
        <v>226269</v>
      </c>
      <c r="G124" s="62">
        <v>352</v>
      </c>
      <c r="H124" s="62">
        <f t="shared" ref="H124:H134" si="23">SUM(F124:G124)</f>
        <v>226621</v>
      </c>
    </row>
    <row r="125" spans="1:8" s="20" customFormat="1" ht="15" customHeight="1" x14ac:dyDescent="0.3">
      <c r="A125" s="61" t="s">
        <v>52</v>
      </c>
      <c r="B125" s="62">
        <v>241694</v>
      </c>
      <c r="C125" s="62">
        <v>0</v>
      </c>
      <c r="D125" s="62">
        <f t="shared" si="22"/>
        <v>241694</v>
      </c>
      <c r="E125" s="61" t="s">
        <v>52</v>
      </c>
      <c r="F125" s="62">
        <v>253967</v>
      </c>
      <c r="G125" s="62">
        <v>459</v>
      </c>
      <c r="H125" s="62">
        <f t="shared" si="23"/>
        <v>254426</v>
      </c>
    </row>
    <row r="126" spans="1:8" s="20" customFormat="1" ht="15" customHeight="1" x14ac:dyDescent="0.3">
      <c r="A126" s="61" t="s">
        <v>53</v>
      </c>
      <c r="B126" s="62">
        <v>309548</v>
      </c>
      <c r="C126" s="62">
        <v>147</v>
      </c>
      <c r="D126" s="62">
        <f t="shared" si="22"/>
        <v>309695</v>
      </c>
      <c r="E126" s="61" t="s">
        <v>53</v>
      </c>
      <c r="F126" s="62">
        <v>250468</v>
      </c>
      <c r="G126" s="62">
        <v>987</v>
      </c>
      <c r="H126" s="62">
        <f t="shared" si="23"/>
        <v>251455</v>
      </c>
    </row>
    <row r="127" spans="1:8" s="20" customFormat="1" ht="15" customHeight="1" x14ac:dyDescent="0.3">
      <c r="A127" s="61" t="s">
        <v>54</v>
      </c>
      <c r="B127" s="62">
        <v>422460</v>
      </c>
      <c r="C127" s="62">
        <v>621</v>
      </c>
      <c r="D127" s="62">
        <f t="shared" si="22"/>
        <v>423081</v>
      </c>
      <c r="E127" s="61" t="s">
        <v>54</v>
      </c>
      <c r="F127" s="62">
        <v>331737</v>
      </c>
      <c r="G127" s="62">
        <v>864</v>
      </c>
      <c r="H127" s="62">
        <f t="shared" si="23"/>
        <v>332601</v>
      </c>
    </row>
    <row r="128" spans="1:8" ht="15" customHeight="1" x14ac:dyDescent="0.3">
      <c r="A128" s="61" t="s">
        <v>55</v>
      </c>
      <c r="B128" s="62">
        <v>512696</v>
      </c>
      <c r="C128" s="62">
        <v>683</v>
      </c>
      <c r="D128" s="62">
        <f t="shared" si="22"/>
        <v>513379</v>
      </c>
      <c r="E128" s="61" t="s">
        <v>55</v>
      </c>
      <c r="F128" s="62">
        <v>337446</v>
      </c>
      <c r="G128" s="62">
        <v>1699</v>
      </c>
      <c r="H128" s="62">
        <f t="shared" si="23"/>
        <v>339145</v>
      </c>
    </row>
    <row r="129" spans="1:8" ht="15" customHeight="1" x14ac:dyDescent="0.3">
      <c r="A129" s="61" t="s">
        <v>56</v>
      </c>
      <c r="B129" s="62">
        <v>665159</v>
      </c>
      <c r="C129" s="62">
        <v>1158</v>
      </c>
      <c r="D129" s="62">
        <f t="shared" si="22"/>
        <v>666317</v>
      </c>
      <c r="E129" s="61" t="s">
        <v>56</v>
      </c>
      <c r="F129" s="62">
        <v>388595</v>
      </c>
      <c r="G129" s="62">
        <v>3480</v>
      </c>
      <c r="H129" s="62">
        <f t="shared" si="23"/>
        <v>392075</v>
      </c>
    </row>
    <row r="130" spans="1:8" ht="15" customHeight="1" x14ac:dyDescent="0.3">
      <c r="A130" s="61" t="s">
        <v>57</v>
      </c>
      <c r="B130" s="62">
        <v>619151</v>
      </c>
      <c r="C130" s="62">
        <v>670</v>
      </c>
      <c r="D130" s="62">
        <f t="shared" si="22"/>
        <v>619821</v>
      </c>
      <c r="E130" s="61" t="s">
        <v>57</v>
      </c>
      <c r="F130" s="62">
        <v>414342</v>
      </c>
      <c r="G130" s="62">
        <v>3157</v>
      </c>
      <c r="H130" s="62">
        <f t="shared" si="23"/>
        <v>417499</v>
      </c>
    </row>
    <row r="131" spans="1:8" ht="15" customHeight="1" x14ac:dyDescent="0.3">
      <c r="A131" s="61" t="s">
        <v>58</v>
      </c>
      <c r="B131" s="62">
        <v>545329</v>
      </c>
      <c r="C131" s="62">
        <v>447</v>
      </c>
      <c r="D131" s="62">
        <f t="shared" si="22"/>
        <v>545776</v>
      </c>
      <c r="E131" s="61" t="s">
        <v>58</v>
      </c>
      <c r="F131" s="62">
        <v>381274</v>
      </c>
      <c r="G131" s="62">
        <v>1496</v>
      </c>
      <c r="H131" s="62">
        <f t="shared" si="23"/>
        <v>382770</v>
      </c>
    </row>
    <row r="132" spans="1:8" ht="15" customHeight="1" x14ac:dyDescent="0.3">
      <c r="A132" s="61" t="s">
        <v>59</v>
      </c>
      <c r="B132" s="62">
        <v>386326</v>
      </c>
      <c r="C132" s="62">
        <v>91</v>
      </c>
      <c r="D132" s="62">
        <f t="shared" si="22"/>
        <v>386417</v>
      </c>
      <c r="E132" s="61" t="s">
        <v>59</v>
      </c>
      <c r="F132" s="62">
        <v>314483</v>
      </c>
      <c r="G132" s="62">
        <v>480</v>
      </c>
      <c r="H132" s="62">
        <f t="shared" si="23"/>
        <v>314963</v>
      </c>
    </row>
    <row r="133" spans="1:8" ht="15" customHeight="1" x14ac:dyDescent="0.3">
      <c r="A133" s="61" t="s">
        <v>60</v>
      </c>
      <c r="B133" s="62">
        <v>236597</v>
      </c>
      <c r="C133" s="62">
        <v>0</v>
      </c>
      <c r="D133" s="62">
        <f t="shared" si="22"/>
        <v>236597</v>
      </c>
      <c r="E133" s="61" t="s">
        <v>60</v>
      </c>
      <c r="F133" s="62">
        <v>253843</v>
      </c>
      <c r="G133" s="62">
        <v>490</v>
      </c>
      <c r="H133" s="62">
        <f t="shared" si="23"/>
        <v>254333</v>
      </c>
    </row>
    <row r="134" spans="1:8" ht="15" customHeight="1" x14ac:dyDescent="0.3">
      <c r="A134" s="61" t="s">
        <v>61</v>
      </c>
      <c r="B134" s="62">
        <v>209000</v>
      </c>
      <c r="C134" s="62">
        <v>0</v>
      </c>
      <c r="D134" s="62">
        <f t="shared" si="22"/>
        <v>209000</v>
      </c>
      <c r="E134" s="61" t="s">
        <v>61</v>
      </c>
      <c r="F134" s="62">
        <v>252902</v>
      </c>
      <c r="G134" s="62">
        <v>423</v>
      </c>
      <c r="H134" s="62">
        <f t="shared" si="23"/>
        <v>253325</v>
      </c>
    </row>
    <row r="135" spans="1:8" ht="15" customHeight="1" x14ac:dyDescent="0.3">
      <c r="A135" s="88">
        <v>2015</v>
      </c>
      <c r="B135" s="102">
        <f>SUM(B136:B147)</f>
        <v>4152275</v>
      </c>
      <c r="C135" s="102">
        <f t="shared" ref="C135:D135" si="24">SUM(C136:C147)</f>
        <v>6739</v>
      </c>
      <c r="D135" s="102">
        <f t="shared" si="24"/>
        <v>4159014</v>
      </c>
      <c r="E135" s="88">
        <v>2015</v>
      </c>
      <c r="F135" s="102">
        <f>SUM(F136:F147)</f>
        <v>3268575</v>
      </c>
      <c r="G135" s="102">
        <f>SUM(G136:G147)</f>
        <v>13969</v>
      </c>
      <c r="H135" s="102">
        <f>SUM(H136:H147)</f>
        <v>3282544</v>
      </c>
    </row>
    <row r="136" spans="1:8" ht="15" customHeight="1" x14ac:dyDescent="0.3">
      <c r="A136" s="61" t="s">
        <v>50</v>
      </c>
      <c r="B136" s="62">
        <v>186658</v>
      </c>
      <c r="C136" s="62">
        <v>0</v>
      </c>
      <c r="D136" s="62">
        <f>SUM(B136:C136)</f>
        <v>186658</v>
      </c>
      <c r="E136" s="61" t="s">
        <v>50</v>
      </c>
      <c r="F136" s="62">
        <v>189609</v>
      </c>
      <c r="G136" s="62">
        <v>482</v>
      </c>
      <c r="H136" s="62">
        <f>SUM(F136:G136)</f>
        <v>190091</v>
      </c>
    </row>
    <row r="137" spans="1:8" ht="15" customHeight="1" x14ac:dyDescent="0.3">
      <c r="A137" s="61" t="s">
        <v>51</v>
      </c>
      <c r="B137" s="62">
        <v>150510</v>
      </c>
      <c r="C137" s="62">
        <v>0</v>
      </c>
      <c r="D137" s="62">
        <f t="shared" ref="D137:D147" si="25">SUM(B137:C137)</f>
        <v>150510</v>
      </c>
      <c r="E137" s="61" t="s">
        <v>51</v>
      </c>
      <c r="F137" s="62">
        <v>180059</v>
      </c>
      <c r="G137" s="62">
        <v>442</v>
      </c>
      <c r="H137" s="62">
        <f t="shared" ref="H137:H147" si="26">SUM(F137:G137)</f>
        <v>180501</v>
      </c>
    </row>
    <row r="138" spans="1:8" ht="15" customHeight="1" x14ac:dyDescent="0.3">
      <c r="A138" s="61" t="s">
        <v>52</v>
      </c>
      <c r="B138" s="62">
        <v>217759</v>
      </c>
      <c r="C138" s="62">
        <v>0</v>
      </c>
      <c r="D138" s="62">
        <f t="shared" si="25"/>
        <v>217759</v>
      </c>
      <c r="E138" s="61" t="s">
        <v>52</v>
      </c>
      <c r="F138" s="62">
        <v>199219</v>
      </c>
      <c r="G138" s="62">
        <v>416</v>
      </c>
      <c r="H138" s="62">
        <f t="shared" si="26"/>
        <v>199635</v>
      </c>
    </row>
    <row r="139" spans="1:8" ht="15" customHeight="1" x14ac:dyDescent="0.3">
      <c r="A139" s="61" t="s">
        <v>53</v>
      </c>
      <c r="B139" s="62">
        <v>312647</v>
      </c>
      <c r="C139" s="62">
        <v>202</v>
      </c>
      <c r="D139" s="62">
        <f t="shared" si="25"/>
        <v>312849</v>
      </c>
      <c r="E139" s="61" t="s">
        <v>53</v>
      </c>
      <c r="F139" s="62">
        <v>247939</v>
      </c>
      <c r="G139" s="62">
        <v>1081</v>
      </c>
      <c r="H139" s="62">
        <f t="shared" si="26"/>
        <v>249020</v>
      </c>
    </row>
    <row r="140" spans="1:8" ht="15" customHeight="1" x14ac:dyDescent="0.3">
      <c r="A140" s="61" t="s">
        <v>54</v>
      </c>
      <c r="B140" s="62">
        <v>406694</v>
      </c>
      <c r="C140" s="62">
        <v>889</v>
      </c>
      <c r="D140" s="62">
        <f t="shared" si="25"/>
        <v>407583</v>
      </c>
      <c r="E140" s="61" t="s">
        <v>54</v>
      </c>
      <c r="F140" s="62">
        <v>287114</v>
      </c>
      <c r="G140" s="62">
        <v>1066</v>
      </c>
      <c r="H140" s="62">
        <f>SUM(F140:G140)</f>
        <v>288180</v>
      </c>
    </row>
    <row r="141" spans="1:8" ht="15" customHeight="1" x14ac:dyDescent="0.3">
      <c r="A141" s="61" t="s">
        <v>55</v>
      </c>
      <c r="B141" s="62">
        <v>508215</v>
      </c>
      <c r="C141" s="62">
        <v>1275</v>
      </c>
      <c r="D141" s="62">
        <f t="shared" si="25"/>
        <v>509490</v>
      </c>
      <c r="E141" s="61" t="s">
        <v>55</v>
      </c>
      <c r="F141" s="62">
        <v>327943</v>
      </c>
      <c r="G141" s="62">
        <v>1789</v>
      </c>
      <c r="H141" s="62">
        <f t="shared" si="26"/>
        <v>329732</v>
      </c>
    </row>
    <row r="142" spans="1:8" ht="15" customHeight="1" x14ac:dyDescent="0.3">
      <c r="A142" s="61" t="s">
        <v>56</v>
      </c>
      <c r="B142" s="62">
        <v>603743</v>
      </c>
      <c r="C142" s="62">
        <v>1274</v>
      </c>
      <c r="D142" s="62">
        <f t="shared" si="25"/>
        <v>605017</v>
      </c>
      <c r="E142" s="61" t="s">
        <v>56</v>
      </c>
      <c r="F142" s="62">
        <v>355057</v>
      </c>
      <c r="G142" s="62">
        <v>2873</v>
      </c>
      <c r="H142" s="62">
        <f t="shared" si="26"/>
        <v>357930</v>
      </c>
    </row>
    <row r="143" spans="1:8" ht="15" customHeight="1" x14ac:dyDescent="0.3">
      <c r="A143" s="61" t="s">
        <v>57</v>
      </c>
      <c r="B143" s="62">
        <v>564678</v>
      </c>
      <c r="C143" s="62">
        <v>1468</v>
      </c>
      <c r="D143" s="62">
        <f t="shared" si="25"/>
        <v>566146</v>
      </c>
      <c r="E143" s="61" t="s">
        <v>57</v>
      </c>
      <c r="F143" s="62">
        <v>375288</v>
      </c>
      <c r="G143" s="62">
        <v>2673</v>
      </c>
      <c r="H143" s="62">
        <f t="shared" si="26"/>
        <v>377961</v>
      </c>
    </row>
    <row r="144" spans="1:8" ht="15" customHeight="1" x14ac:dyDescent="0.3">
      <c r="A144" s="61" t="s">
        <v>58</v>
      </c>
      <c r="B144" s="62">
        <v>472270</v>
      </c>
      <c r="C144" s="62">
        <v>1188</v>
      </c>
      <c r="D144" s="62">
        <f t="shared" si="25"/>
        <v>473458</v>
      </c>
      <c r="E144" s="61" t="s">
        <v>58</v>
      </c>
      <c r="F144" s="62">
        <v>336635</v>
      </c>
      <c r="G144" s="62">
        <v>1571</v>
      </c>
      <c r="H144" s="62">
        <f>SUM(F144:G144)</f>
        <v>338206</v>
      </c>
    </row>
    <row r="145" spans="1:8" ht="15" customHeight="1" x14ac:dyDescent="0.3">
      <c r="A145" s="61" t="s">
        <v>59</v>
      </c>
      <c r="B145" s="62">
        <v>336535</v>
      </c>
      <c r="C145" s="62">
        <v>443</v>
      </c>
      <c r="D145" s="62">
        <f t="shared" si="25"/>
        <v>336978</v>
      </c>
      <c r="E145" s="61" t="s">
        <v>59</v>
      </c>
      <c r="F145" s="62">
        <v>290299</v>
      </c>
      <c r="G145" s="62">
        <v>668</v>
      </c>
      <c r="H145" s="62">
        <f t="shared" si="26"/>
        <v>290967</v>
      </c>
    </row>
    <row r="146" spans="1:8" ht="15" customHeight="1" x14ac:dyDescent="0.3">
      <c r="A146" s="61" t="s">
        <v>60</v>
      </c>
      <c r="B146" s="62">
        <v>202728</v>
      </c>
      <c r="C146" s="62">
        <v>0</v>
      </c>
      <c r="D146" s="62">
        <f t="shared" si="25"/>
        <v>202728</v>
      </c>
      <c r="E146" s="61" t="s">
        <v>60</v>
      </c>
      <c r="F146" s="62">
        <v>246140</v>
      </c>
      <c r="G146" s="62">
        <v>446</v>
      </c>
      <c r="H146" s="62">
        <f t="shared" si="26"/>
        <v>246586</v>
      </c>
    </row>
    <row r="147" spans="1:8" ht="15" customHeight="1" x14ac:dyDescent="0.3">
      <c r="A147" s="61" t="s">
        <v>61</v>
      </c>
      <c r="B147" s="62">
        <v>189838</v>
      </c>
      <c r="C147" s="62">
        <v>0</v>
      </c>
      <c r="D147" s="62">
        <f t="shared" si="25"/>
        <v>189838</v>
      </c>
      <c r="E147" s="61" t="s">
        <v>61</v>
      </c>
      <c r="F147" s="62">
        <v>233273</v>
      </c>
      <c r="G147" s="62">
        <v>462</v>
      </c>
      <c r="H147" s="62">
        <f t="shared" si="26"/>
        <v>233735</v>
      </c>
    </row>
    <row r="148" spans="1:8" ht="15" customHeight="1" x14ac:dyDescent="0.3">
      <c r="A148" s="88">
        <v>2014</v>
      </c>
      <c r="B148" s="102">
        <f>SUM(B149:B160)</f>
        <v>3388639</v>
      </c>
      <c r="C148" s="102">
        <f t="shared" ref="C148:D148" si="27">SUM(C149:C160)</f>
        <v>5922</v>
      </c>
      <c r="D148" s="102">
        <f t="shared" si="27"/>
        <v>3394561</v>
      </c>
      <c r="E148" s="88">
        <v>2014</v>
      </c>
      <c r="F148" s="102">
        <f>SUM(F149:F160)</f>
        <v>2674843</v>
      </c>
      <c r="G148" s="102">
        <f t="shared" ref="G148:H148" si="28">SUM(G149:G160)</f>
        <v>14788</v>
      </c>
      <c r="H148" s="102">
        <f t="shared" si="28"/>
        <v>2689631</v>
      </c>
    </row>
    <row r="149" spans="1:8" ht="15" customHeight="1" x14ac:dyDescent="0.3">
      <c r="A149" s="61" t="s">
        <v>50</v>
      </c>
      <c r="B149" s="62">
        <v>142771</v>
      </c>
      <c r="C149" s="62">
        <v>0</v>
      </c>
      <c r="D149" s="62">
        <f>SUM(B149:C149)</f>
        <v>142771</v>
      </c>
      <c r="E149" s="61" t="s">
        <v>50</v>
      </c>
      <c r="F149" s="62">
        <v>132611</v>
      </c>
      <c r="G149" s="62">
        <v>466</v>
      </c>
      <c r="H149" s="62">
        <f>SUM(F149:G149)</f>
        <v>133077</v>
      </c>
    </row>
    <row r="150" spans="1:8" ht="15" customHeight="1" x14ac:dyDescent="0.3">
      <c r="A150" s="61" t="s">
        <v>51</v>
      </c>
      <c r="B150" s="62">
        <v>119287</v>
      </c>
      <c r="C150" s="62">
        <v>0</v>
      </c>
      <c r="D150" s="62">
        <f t="shared" ref="D150:D160" si="29">SUM(B150:C150)</f>
        <v>119287</v>
      </c>
      <c r="E150" s="61" t="s">
        <v>51</v>
      </c>
      <c r="F150" s="62">
        <v>132214</v>
      </c>
      <c r="G150" s="62">
        <v>476</v>
      </c>
      <c r="H150" s="62">
        <f t="shared" ref="H150:H160" si="30">SUM(F150:G150)</f>
        <v>132690</v>
      </c>
    </row>
    <row r="151" spans="1:8" ht="15" customHeight="1" x14ac:dyDescent="0.3">
      <c r="A151" s="61" t="s">
        <v>52</v>
      </c>
      <c r="B151" s="62">
        <v>164468</v>
      </c>
      <c r="C151" s="62">
        <v>0</v>
      </c>
      <c r="D151" s="62">
        <f t="shared" si="29"/>
        <v>164468</v>
      </c>
      <c r="E151" s="61" t="s">
        <v>52</v>
      </c>
      <c r="F151" s="62">
        <v>152241</v>
      </c>
      <c r="G151" s="62">
        <v>495</v>
      </c>
      <c r="H151" s="62">
        <f t="shared" si="30"/>
        <v>152736</v>
      </c>
    </row>
    <row r="152" spans="1:8" ht="15" customHeight="1" x14ac:dyDescent="0.3">
      <c r="A152" s="61" t="s">
        <v>53</v>
      </c>
      <c r="B152" s="62">
        <v>255382</v>
      </c>
      <c r="C152" s="62">
        <v>256</v>
      </c>
      <c r="D152" s="62">
        <f t="shared" si="29"/>
        <v>255638</v>
      </c>
      <c r="E152" s="61" t="s">
        <v>53</v>
      </c>
      <c r="F152" s="62">
        <v>208648</v>
      </c>
      <c r="G152" s="62">
        <v>1043</v>
      </c>
      <c r="H152" s="62">
        <f t="shared" si="30"/>
        <v>209691</v>
      </c>
    </row>
    <row r="153" spans="1:8" ht="15" customHeight="1" x14ac:dyDescent="0.3">
      <c r="A153" s="61" t="s">
        <v>54</v>
      </c>
      <c r="B153" s="62">
        <v>334468</v>
      </c>
      <c r="C153" s="62">
        <v>637</v>
      </c>
      <c r="D153" s="62">
        <f t="shared" si="29"/>
        <v>335105</v>
      </c>
      <c r="E153" s="61" t="s">
        <v>54</v>
      </c>
      <c r="F153" s="62">
        <v>237257</v>
      </c>
      <c r="G153" s="62">
        <v>997</v>
      </c>
      <c r="H153" s="62">
        <f t="shared" si="30"/>
        <v>238254</v>
      </c>
    </row>
    <row r="154" spans="1:8" ht="15" customHeight="1" x14ac:dyDescent="0.3">
      <c r="A154" s="61" t="s">
        <v>55</v>
      </c>
      <c r="B154" s="62">
        <v>403813</v>
      </c>
      <c r="C154" s="62">
        <v>1266</v>
      </c>
      <c r="D154" s="62">
        <f t="shared" si="29"/>
        <v>405079</v>
      </c>
      <c r="E154" s="61" t="s">
        <v>55</v>
      </c>
      <c r="F154" s="62">
        <v>262838</v>
      </c>
      <c r="G154" s="62">
        <v>1782</v>
      </c>
      <c r="H154" s="62">
        <f t="shared" si="30"/>
        <v>264620</v>
      </c>
    </row>
    <row r="155" spans="1:8" ht="15" customHeight="1" x14ac:dyDescent="0.3">
      <c r="A155" s="61" t="s">
        <v>56</v>
      </c>
      <c r="B155" s="62">
        <v>469466</v>
      </c>
      <c r="C155" s="62">
        <v>1173</v>
      </c>
      <c r="D155" s="62">
        <f t="shared" si="29"/>
        <v>470639</v>
      </c>
      <c r="E155" s="61" t="s">
        <v>56</v>
      </c>
      <c r="F155" s="62">
        <v>284793</v>
      </c>
      <c r="G155" s="62">
        <v>2928</v>
      </c>
      <c r="H155" s="62">
        <f t="shared" si="30"/>
        <v>287721</v>
      </c>
    </row>
    <row r="156" spans="1:8" ht="15" customHeight="1" x14ac:dyDescent="0.3">
      <c r="A156" s="61" t="s">
        <v>57</v>
      </c>
      <c r="B156" s="62">
        <v>458426</v>
      </c>
      <c r="C156" s="62">
        <v>930</v>
      </c>
      <c r="D156" s="62">
        <f t="shared" si="29"/>
        <v>459356</v>
      </c>
      <c r="E156" s="61" t="s">
        <v>57</v>
      </c>
      <c r="F156" s="62">
        <v>300985</v>
      </c>
      <c r="G156" s="62">
        <v>3253</v>
      </c>
      <c r="H156" s="62">
        <f t="shared" si="30"/>
        <v>304238</v>
      </c>
    </row>
    <row r="157" spans="1:8" ht="15" customHeight="1" x14ac:dyDescent="0.3">
      <c r="A157" s="61" t="s">
        <v>58</v>
      </c>
      <c r="B157" s="62">
        <v>381506</v>
      </c>
      <c r="C157" s="62">
        <v>1275</v>
      </c>
      <c r="D157" s="62">
        <f t="shared" si="29"/>
        <v>382781</v>
      </c>
      <c r="E157" s="61" t="s">
        <v>58</v>
      </c>
      <c r="F157" s="62">
        <v>290566</v>
      </c>
      <c r="G157" s="62">
        <v>1605</v>
      </c>
      <c r="H157" s="62">
        <f t="shared" si="30"/>
        <v>292171</v>
      </c>
    </row>
    <row r="158" spans="1:8" ht="15" customHeight="1" x14ac:dyDescent="0.3">
      <c r="A158" s="61" t="s">
        <v>59</v>
      </c>
      <c r="B158" s="62">
        <v>316592</v>
      </c>
      <c r="C158" s="62">
        <v>385</v>
      </c>
      <c r="D158" s="62">
        <f t="shared" si="29"/>
        <v>316977</v>
      </c>
      <c r="E158" s="61" t="s">
        <v>59</v>
      </c>
      <c r="F158" s="62">
        <v>266424</v>
      </c>
      <c r="G158" s="62">
        <v>797</v>
      </c>
      <c r="H158" s="62">
        <f t="shared" si="30"/>
        <v>267221</v>
      </c>
    </row>
    <row r="159" spans="1:8" ht="15" customHeight="1" x14ac:dyDescent="0.3">
      <c r="A159" s="61" t="s">
        <v>60</v>
      </c>
      <c r="B159" s="62">
        <v>179703</v>
      </c>
      <c r="C159" s="62">
        <v>0</v>
      </c>
      <c r="D159" s="62">
        <f t="shared" si="29"/>
        <v>179703</v>
      </c>
      <c r="E159" s="61" t="s">
        <v>60</v>
      </c>
      <c r="F159" s="62">
        <v>204774</v>
      </c>
      <c r="G159" s="62">
        <v>521</v>
      </c>
      <c r="H159" s="62">
        <f t="shared" si="30"/>
        <v>205295</v>
      </c>
    </row>
    <row r="160" spans="1:8" ht="15" customHeight="1" x14ac:dyDescent="0.3">
      <c r="A160" s="61" t="s">
        <v>61</v>
      </c>
      <c r="B160" s="62">
        <v>162757</v>
      </c>
      <c r="C160" s="62">
        <v>0</v>
      </c>
      <c r="D160" s="62">
        <f t="shared" si="29"/>
        <v>162757</v>
      </c>
      <c r="E160" s="61" t="s">
        <v>61</v>
      </c>
      <c r="F160" s="62">
        <v>201492</v>
      </c>
      <c r="G160" s="62">
        <v>425</v>
      </c>
      <c r="H160" s="62">
        <f t="shared" si="30"/>
        <v>201917</v>
      </c>
    </row>
    <row r="161" spans="1:8" ht="15" customHeight="1" x14ac:dyDescent="0.3">
      <c r="A161" s="88">
        <v>2013</v>
      </c>
      <c r="B161" s="102">
        <f>SUM(B162:B173)</f>
        <v>2618358</v>
      </c>
      <c r="C161" s="102">
        <f>SUM(C162:C173)</f>
        <v>4251</v>
      </c>
      <c r="D161" s="102">
        <f t="shared" ref="D161" si="31">SUM(D162:D173)</f>
        <v>2622609</v>
      </c>
      <c r="E161" s="88">
        <v>2013</v>
      </c>
      <c r="F161" s="102">
        <f>SUM(F162:F173)</f>
        <v>2202621</v>
      </c>
      <c r="G161" s="102">
        <f t="shared" ref="G161:H161" si="32">SUM(G162:G173)</f>
        <v>12758</v>
      </c>
      <c r="H161" s="102">
        <f t="shared" si="32"/>
        <v>2215379</v>
      </c>
    </row>
    <row r="162" spans="1:8" ht="15" customHeight="1" x14ac:dyDescent="0.3">
      <c r="A162" s="61" t="s">
        <v>50</v>
      </c>
      <c r="B162" s="62">
        <v>111861</v>
      </c>
      <c r="C162" s="62">
        <v>0</v>
      </c>
      <c r="D162" s="62">
        <f>SUM(B162:C162)</f>
        <v>111861</v>
      </c>
      <c r="E162" s="61" t="s">
        <v>50</v>
      </c>
      <c r="F162" s="62">
        <v>132708</v>
      </c>
      <c r="G162" s="62">
        <v>410</v>
      </c>
      <c r="H162" s="62">
        <f>SUM(F162:G162)</f>
        <v>133118</v>
      </c>
    </row>
    <row r="163" spans="1:8" ht="15" customHeight="1" x14ac:dyDescent="0.3">
      <c r="A163" s="61" t="s">
        <v>51</v>
      </c>
      <c r="B163" s="62">
        <v>90196</v>
      </c>
      <c r="C163" s="62">
        <v>0</v>
      </c>
      <c r="D163" s="62">
        <f t="shared" ref="D163:D173" si="33">SUM(B163:C163)</f>
        <v>90196</v>
      </c>
      <c r="E163" s="61" t="s">
        <v>51</v>
      </c>
      <c r="F163" s="62">
        <v>136080</v>
      </c>
      <c r="G163" s="62">
        <v>455</v>
      </c>
      <c r="H163" s="62">
        <f t="shared" ref="H163:H173" si="34">SUM(F163:G163)</f>
        <v>136535</v>
      </c>
    </row>
    <row r="164" spans="1:8" ht="15" customHeight="1" x14ac:dyDescent="0.3">
      <c r="A164" s="61" t="s">
        <v>52</v>
      </c>
      <c r="B164" s="62">
        <v>122577</v>
      </c>
      <c r="C164" s="62">
        <v>0</v>
      </c>
      <c r="D164" s="62">
        <f t="shared" si="33"/>
        <v>122577</v>
      </c>
      <c r="E164" s="61" t="s">
        <v>52</v>
      </c>
      <c r="F164" s="62">
        <v>148650</v>
      </c>
      <c r="G164" s="62">
        <v>508</v>
      </c>
      <c r="H164" s="62">
        <f t="shared" si="34"/>
        <v>149158</v>
      </c>
    </row>
    <row r="165" spans="1:8" ht="15" customHeight="1" x14ac:dyDescent="0.3">
      <c r="A165" s="61" t="s">
        <v>53</v>
      </c>
      <c r="B165" s="62">
        <v>174527</v>
      </c>
      <c r="C165" s="62">
        <v>81</v>
      </c>
      <c r="D165" s="62">
        <f t="shared" si="33"/>
        <v>174608</v>
      </c>
      <c r="E165" s="61" t="s">
        <v>53</v>
      </c>
      <c r="F165" s="62">
        <v>161497</v>
      </c>
      <c r="G165" s="62">
        <v>751</v>
      </c>
      <c r="H165" s="62">
        <f t="shared" si="34"/>
        <v>162248</v>
      </c>
    </row>
    <row r="166" spans="1:8" ht="15" customHeight="1" x14ac:dyDescent="0.3">
      <c r="A166" s="61" t="s">
        <v>54</v>
      </c>
      <c r="B166" s="62">
        <v>254554</v>
      </c>
      <c r="C166" s="62">
        <v>437</v>
      </c>
      <c r="D166" s="62">
        <f t="shared" si="33"/>
        <v>254991</v>
      </c>
      <c r="E166" s="61" t="s">
        <v>54</v>
      </c>
      <c r="F166" s="62">
        <v>197662</v>
      </c>
      <c r="G166" s="62">
        <v>1253</v>
      </c>
      <c r="H166" s="62">
        <f t="shared" si="34"/>
        <v>198915</v>
      </c>
    </row>
    <row r="167" spans="1:8" ht="15" customHeight="1" x14ac:dyDescent="0.3">
      <c r="A167" s="61" t="s">
        <v>55</v>
      </c>
      <c r="B167" s="62">
        <v>314171</v>
      </c>
      <c r="C167" s="62">
        <v>898</v>
      </c>
      <c r="D167" s="62">
        <f t="shared" si="33"/>
        <v>315069</v>
      </c>
      <c r="E167" s="61" t="s">
        <v>55</v>
      </c>
      <c r="F167" s="62">
        <v>214142</v>
      </c>
      <c r="G167" s="62">
        <v>1686</v>
      </c>
      <c r="H167" s="62">
        <f t="shared" si="34"/>
        <v>215828</v>
      </c>
    </row>
    <row r="168" spans="1:8" ht="15" customHeight="1" x14ac:dyDescent="0.3">
      <c r="A168" s="61" t="s">
        <v>56</v>
      </c>
      <c r="B168" s="62">
        <v>372980</v>
      </c>
      <c r="C168" s="62">
        <v>1029</v>
      </c>
      <c r="D168" s="62">
        <f t="shared" si="33"/>
        <v>374009</v>
      </c>
      <c r="E168" s="61" t="s">
        <v>56</v>
      </c>
      <c r="F168" s="62">
        <v>233918</v>
      </c>
      <c r="G168" s="62">
        <v>2350</v>
      </c>
      <c r="H168" s="62">
        <f t="shared" si="34"/>
        <v>236268</v>
      </c>
    </row>
    <row r="169" spans="1:8" ht="15" customHeight="1" x14ac:dyDescent="0.3">
      <c r="A169" s="61" t="s">
        <v>57</v>
      </c>
      <c r="B169" s="62">
        <v>379060</v>
      </c>
      <c r="C169" s="62">
        <v>680</v>
      </c>
      <c r="D169" s="62">
        <f t="shared" si="33"/>
        <v>379740</v>
      </c>
      <c r="E169" s="61" t="s">
        <v>57</v>
      </c>
      <c r="F169" s="62">
        <v>245588</v>
      </c>
      <c r="G169" s="62">
        <v>2270</v>
      </c>
      <c r="H169" s="62">
        <f t="shared" si="34"/>
        <v>247858</v>
      </c>
    </row>
    <row r="170" spans="1:8" ht="15" customHeight="1" x14ac:dyDescent="0.3">
      <c r="A170" s="61" t="s">
        <v>58</v>
      </c>
      <c r="B170" s="62">
        <v>307244</v>
      </c>
      <c r="C170" s="62">
        <v>969</v>
      </c>
      <c r="D170" s="62">
        <f t="shared" si="33"/>
        <v>308213</v>
      </c>
      <c r="E170" s="61" t="s">
        <v>58</v>
      </c>
      <c r="F170" s="62">
        <v>236250</v>
      </c>
      <c r="G170" s="62">
        <v>1360</v>
      </c>
      <c r="H170" s="62">
        <f t="shared" si="34"/>
        <v>237610</v>
      </c>
    </row>
    <row r="171" spans="1:8" ht="15" customHeight="1" x14ac:dyDescent="0.3">
      <c r="A171" s="61" t="s">
        <v>59</v>
      </c>
      <c r="B171" s="62">
        <v>229491</v>
      </c>
      <c r="C171" s="62">
        <v>157</v>
      </c>
      <c r="D171" s="62">
        <f t="shared" si="33"/>
        <v>229648</v>
      </c>
      <c r="E171" s="61" t="s">
        <v>59</v>
      </c>
      <c r="F171" s="62">
        <v>199641</v>
      </c>
      <c r="G171" s="62">
        <v>752</v>
      </c>
      <c r="H171" s="62">
        <f t="shared" si="34"/>
        <v>200393</v>
      </c>
    </row>
    <row r="172" spans="1:8" ht="15" customHeight="1" x14ac:dyDescent="0.3">
      <c r="A172" s="61" t="s">
        <v>60</v>
      </c>
      <c r="B172" s="62">
        <v>144394</v>
      </c>
      <c r="C172" s="62">
        <v>0</v>
      </c>
      <c r="D172" s="62">
        <f t="shared" si="33"/>
        <v>144394</v>
      </c>
      <c r="E172" s="61" t="s">
        <v>60</v>
      </c>
      <c r="F172" s="62">
        <v>150597</v>
      </c>
      <c r="G172" s="62">
        <v>481</v>
      </c>
      <c r="H172" s="62">
        <f t="shared" si="34"/>
        <v>151078</v>
      </c>
    </row>
    <row r="173" spans="1:8" ht="15" customHeight="1" x14ac:dyDescent="0.3">
      <c r="A173" s="61" t="s">
        <v>61</v>
      </c>
      <c r="B173" s="62">
        <v>117303</v>
      </c>
      <c r="C173" s="62">
        <v>0</v>
      </c>
      <c r="D173" s="62">
        <f t="shared" si="33"/>
        <v>117303</v>
      </c>
      <c r="E173" s="61" t="s">
        <v>61</v>
      </c>
      <c r="F173" s="62">
        <v>145888</v>
      </c>
      <c r="G173" s="62">
        <v>482</v>
      </c>
      <c r="H173" s="62">
        <f t="shared" si="34"/>
        <v>146370</v>
      </c>
    </row>
    <row r="174" spans="1:8" ht="15" customHeight="1" x14ac:dyDescent="0.3">
      <c r="A174" s="88">
        <v>2012</v>
      </c>
      <c r="B174" s="102">
        <f>SUM(B175:B186)</f>
        <v>2555355</v>
      </c>
      <c r="C174" s="102">
        <f t="shared" ref="C174:D174" si="35">SUM(C175:C186)</f>
        <v>2134</v>
      </c>
      <c r="D174" s="102">
        <f t="shared" si="35"/>
        <v>2557489</v>
      </c>
      <c r="E174" s="88">
        <v>2012</v>
      </c>
      <c r="F174" s="102">
        <f>SUM(F175:F186)</f>
        <v>2308711</v>
      </c>
      <c r="G174" s="102">
        <f>SUM(G175:G186)</f>
        <v>11271</v>
      </c>
      <c r="H174" s="102">
        <f t="shared" ref="H174" si="36">SUM(H175:H186)</f>
        <v>2319982</v>
      </c>
    </row>
    <row r="175" spans="1:8" ht="15" customHeight="1" x14ac:dyDescent="0.3">
      <c r="A175" s="61" t="s">
        <v>50</v>
      </c>
      <c r="B175" s="62">
        <v>127951</v>
      </c>
      <c r="C175" s="62">
        <v>0</v>
      </c>
      <c r="D175" s="62">
        <f>SUM(B175:C175)</f>
        <v>127951</v>
      </c>
      <c r="E175" s="61" t="s">
        <v>50</v>
      </c>
      <c r="F175" s="62">
        <v>145806</v>
      </c>
      <c r="G175" s="62">
        <v>409</v>
      </c>
      <c r="H175" s="62">
        <f>SUM(F175:G175)</f>
        <v>146215</v>
      </c>
    </row>
    <row r="176" spans="1:8" ht="15" customHeight="1" x14ac:dyDescent="0.3">
      <c r="A176" s="61" t="s">
        <v>51</v>
      </c>
      <c r="B176" s="62">
        <v>96416</v>
      </c>
      <c r="C176" s="62">
        <v>0</v>
      </c>
      <c r="D176" s="62">
        <f t="shared" ref="D176:D186" si="37">SUM(B176:C176)</f>
        <v>96416</v>
      </c>
      <c r="E176" s="61" t="s">
        <v>51</v>
      </c>
      <c r="F176" s="62">
        <v>142144</v>
      </c>
      <c r="G176" s="62">
        <v>505</v>
      </c>
      <c r="H176" s="62">
        <f t="shared" ref="H176:H186" si="38">SUM(F176:G176)</f>
        <v>142649</v>
      </c>
    </row>
    <row r="177" spans="1:8" ht="15" customHeight="1" x14ac:dyDescent="0.3">
      <c r="A177" s="61" t="s">
        <v>52</v>
      </c>
      <c r="B177" s="62">
        <v>132802</v>
      </c>
      <c r="C177" s="62">
        <v>0</v>
      </c>
      <c r="D177" s="62">
        <f t="shared" si="37"/>
        <v>132802</v>
      </c>
      <c r="E177" s="61" t="s">
        <v>52</v>
      </c>
      <c r="F177" s="62">
        <v>167873</v>
      </c>
      <c r="G177" s="62">
        <v>601</v>
      </c>
      <c r="H177" s="62">
        <f t="shared" si="38"/>
        <v>168474</v>
      </c>
    </row>
    <row r="178" spans="1:8" ht="15" customHeight="1" x14ac:dyDescent="0.3">
      <c r="A178" s="61" t="s">
        <v>53</v>
      </c>
      <c r="B178" s="62">
        <v>208847</v>
      </c>
      <c r="C178" s="62">
        <v>79</v>
      </c>
      <c r="D178" s="62">
        <f t="shared" si="37"/>
        <v>208926</v>
      </c>
      <c r="E178" s="61" t="s">
        <v>53</v>
      </c>
      <c r="F178" s="62">
        <v>195800</v>
      </c>
      <c r="G178" s="62">
        <v>863</v>
      </c>
      <c r="H178" s="62">
        <f t="shared" si="38"/>
        <v>196663</v>
      </c>
    </row>
    <row r="179" spans="1:8" ht="15" customHeight="1" x14ac:dyDescent="0.3">
      <c r="A179" s="61" t="s">
        <v>54</v>
      </c>
      <c r="B179" s="62">
        <v>228897</v>
      </c>
      <c r="C179" s="62">
        <v>415</v>
      </c>
      <c r="D179" s="62">
        <f t="shared" si="37"/>
        <v>229312</v>
      </c>
      <c r="E179" s="61" t="s">
        <v>54</v>
      </c>
      <c r="F179" s="62">
        <v>198541</v>
      </c>
      <c r="G179" s="62">
        <v>853</v>
      </c>
      <c r="H179" s="62">
        <f t="shared" si="38"/>
        <v>199394</v>
      </c>
    </row>
    <row r="180" spans="1:8" ht="15" customHeight="1" x14ac:dyDescent="0.3">
      <c r="A180" s="61" t="s">
        <v>55</v>
      </c>
      <c r="B180" s="62">
        <v>284701</v>
      </c>
      <c r="C180" s="62">
        <v>380</v>
      </c>
      <c r="D180" s="62">
        <f t="shared" si="37"/>
        <v>285081</v>
      </c>
      <c r="E180" s="61" t="s">
        <v>55</v>
      </c>
      <c r="F180" s="62">
        <v>213832</v>
      </c>
      <c r="G180" s="62">
        <v>1274</v>
      </c>
      <c r="H180" s="62">
        <f t="shared" si="38"/>
        <v>215106</v>
      </c>
    </row>
    <row r="181" spans="1:8" ht="15" customHeight="1" x14ac:dyDescent="0.3">
      <c r="A181" s="61" t="s">
        <v>56</v>
      </c>
      <c r="B181" s="62">
        <v>365485</v>
      </c>
      <c r="C181" s="62">
        <v>482</v>
      </c>
      <c r="D181" s="62">
        <f t="shared" si="37"/>
        <v>365967</v>
      </c>
      <c r="E181" s="61" t="s">
        <v>56</v>
      </c>
      <c r="F181" s="62">
        <v>242430</v>
      </c>
      <c r="G181" s="62">
        <v>1988</v>
      </c>
      <c r="H181" s="62">
        <f t="shared" si="38"/>
        <v>244418</v>
      </c>
    </row>
    <row r="182" spans="1:8" ht="15" customHeight="1" x14ac:dyDescent="0.3">
      <c r="A182" s="61" t="s">
        <v>57</v>
      </c>
      <c r="B182" s="62">
        <v>377979</v>
      </c>
      <c r="C182" s="62">
        <v>194</v>
      </c>
      <c r="D182" s="62">
        <f t="shared" si="37"/>
        <v>378173</v>
      </c>
      <c r="E182" s="61" t="s">
        <v>57</v>
      </c>
      <c r="F182" s="62">
        <v>251539</v>
      </c>
      <c r="G182" s="62">
        <v>2051</v>
      </c>
      <c r="H182" s="62">
        <f t="shared" si="38"/>
        <v>253590</v>
      </c>
    </row>
    <row r="183" spans="1:8" ht="15" customHeight="1" x14ac:dyDescent="0.3">
      <c r="A183" s="61" t="s">
        <v>58</v>
      </c>
      <c r="B183" s="62">
        <v>301732</v>
      </c>
      <c r="C183" s="62">
        <v>446</v>
      </c>
      <c r="D183" s="62">
        <f t="shared" si="37"/>
        <v>302178</v>
      </c>
      <c r="E183" s="61" t="s">
        <v>58</v>
      </c>
      <c r="F183" s="62">
        <v>246319</v>
      </c>
      <c r="G183" s="62">
        <v>1227</v>
      </c>
      <c r="H183" s="62">
        <f t="shared" si="38"/>
        <v>247546</v>
      </c>
    </row>
    <row r="184" spans="1:8" ht="15" customHeight="1" x14ac:dyDescent="0.3">
      <c r="A184" s="61" t="s">
        <v>59</v>
      </c>
      <c r="B184" s="62">
        <v>203550</v>
      </c>
      <c r="C184" s="62">
        <v>138</v>
      </c>
      <c r="D184" s="62">
        <f t="shared" si="37"/>
        <v>203688</v>
      </c>
      <c r="E184" s="61" t="s">
        <v>59</v>
      </c>
      <c r="F184" s="62">
        <v>204154</v>
      </c>
      <c r="G184" s="62">
        <v>652</v>
      </c>
      <c r="H184" s="62">
        <f t="shared" si="38"/>
        <v>204806</v>
      </c>
    </row>
    <row r="185" spans="1:8" ht="15" customHeight="1" x14ac:dyDescent="0.3">
      <c r="A185" s="61" t="s">
        <v>60</v>
      </c>
      <c r="B185" s="62">
        <v>123460</v>
      </c>
      <c r="C185" s="62">
        <v>0</v>
      </c>
      <c r="D185" s="62">
        <f t="shared" si="37"/>
        <v>123460</v>
      </c>
      <c r="E185" s="61" t="s">
        <v>60</v>
      </c>
      <c r="F185" s="62">
        <v>155412</v>
      </c>
      <c r="G185" s="62">
        <v>463</v>
      </c>
      <c r="H185" s="62">
        <f t="shared" si="38"/>
        <v>155875</v>
      </c>
    </row>
    <row r="186" spans="1:8" ht="15" customHeight="1" x14ac:dyDescent="0.3">
      <c r="A186" s="61" t="s">
        <v>61</v>
      </c>
      <c r="B186" s="62">
        <v>103535</v>
      </c>
      <c r="C186" s="62">
        <v>0</v>
      </c>
      <c r="D186" s="62">
        <f t="shared" si="37"/>
        <v>103535</v>
      </c>
      <c r="E186" s="61" t="s">
        <v>61</v>
      </c>
      <c r="F186" s="62">
        <v>144861</v>
      </c>
      <c r="G186" s="62">
        <v>385</v>
      </c>
      <c r="H186" s="62">
        <f t="shared" si="38"/>
        <v>145246</v>
      </c>
    </row>
    <row r="187" spans="1:8" ht="15" customHeight="1" x14ac:dyDescent="0.3">
      <c r="A187" s="88">
        <v>2011</v>
      </c>
      <c r="B187" s="102">
        <f>SUM(B188:B199)</f>
        <v>2871524</v>
      </c>
      <c r="C187" s="102">
        <f t="shared" ref="C187:D187" si="39">SUM(C188:C199)</f>
        <v>1202</v>
      </c>
      <c r="D187" s="102">
        <f t="shared" si="39"/>
        <v>2872726</v>
      </c>
      <c r="E187" s="88">
        <v>2011</v>
      </c>
      <c r="F187" s="102">
        <f>SUM(F188:F199)</f>
        <v>2499717</v>
      </c>
      <c r="G187" s="102">
        <f t="shared" ref="G187:H187" si="40">SUM(G188:G199)</f>
        <v>11953</v>
      </c>
      <c r="H187" s="102">
        <f t="shared" si="40"/>
        <v>2511670</v>
      </c>
    </row>
    <row r="188" spans="1:8" ht="15" customHeight="1" x14ac:dyDescent="0.3">
      <c r="A188" s="61" t="s">
        <v>50</v>
      </c>
      <c r="B188" s="62">
        <v>152460</v>
      </c>
      <c r="C188" s="62">
        <v>0</v>
      </c>
      <c r="D188" s="62">
        <f>SUM(B188:C188)</f>
        <v>152460</v>
      </c>
      <c r="E188" s="61" t="s">
        <v>50</v>
      </c>
      <c r="F188" s="62">
        <v>164163</v>
      </c>
      <c r="G188" s="62">
        <v>429</v>
      </c>
      <c r="H188" s="62">
        <f>SUM(F188:G188)</f>
        <v>164592</v>
      </c>
    </row>
    <row r="189" spans="1:8" ht="15" customHeight="1" x14ac:dyDescent="0.3">
      <c r="A189" s="61" t="s">
        <v>51</v>
      </c>
      <c r="B189" s="62">
        <v>120292</v>
      </c>
      <c r="C189" s="62">
        <v>0</v>
      </c>
      <c r="D189" s="62">
        <f t="shared" ref="D189:D199" si="41">SUM(B189:C189)</f>
        <v>120292</v>
      </c>
      <c r="E189" s="61" t="s">
        <v>51</v>
      </c>
      <c r="F189" s="62">
        <v>156192</v>
      </c>
      <c r="G189" s="62">
        <v>364</v>
      </c>
      <c r="H189" s="62">
        <f t="shared" ref="H189:H199" si="42">SUM(F189:G189)</f>
        <v>156556</v>
      </c>
    </row>
    <row r="190" spans="1:8" ht="15" customHeight="1" x14ac:dyDescent="0.3">
      <c r="A190" s="61" t="s">
        <v>52</v>
      </c>
      <c r="B190" s="62">
        <v>144523</v>
      </c>
      <c r="C190" s="62">
        <v>0</v>
      </c>
      <c r="D190" s="62">
        <f t="shared" si="41"/>
        <v>144523</v>
      </c>
      <c r="E190" s="61" t="s">
        <v>52</v>
      </c>
      <c r="F190" s="62">
        <v>177958</v>
      </c>
      <c r="G190" s="62">
        <v>558</v>
      </c>
      <c r="H190" s="62">
        <f t="shared" si="42"/>
        <v>178516</v>
      </c>
    </row>
    <row r="191" spans="1:8" ht="15" customHeight="1" x14ac:dyDescent="0.3">
      <c r="A191" s="61" t="s">
        <v>53</v>
      </c>
      <c r="B191" s="62">
        <v>223468</v>
      </c>
      <c r="C191" s="62">
        <v>47</v>
      </c>
      <c r="D191" s="62">
        <f t="shared" si="41"/>
        <v>223515</v>
      </c>
      <c r="E191" s="61" t="s">
        <v>53</v>
      </c>
      <c r="F191" s="62">
        <v>199266</v>
      </c>
      <c r="G191" s="62">
        <v>858</v>
      </c>
      <c r="H191" s="62">
        <f t="shared" si="42"/>
        <v>200124</v>
      </c>
    </row>
    <row r="192" spans="1:8" ht="15" customHeight="1" x14ac:dyDescent="0.3">
      <c r="A192" s="61" t="s">
        <v>54</v>
      </c>
      <c r="B192" s="62">
        <v>286925</v>
      </c>
      <c r="C192" s="62">
        <v>226</v>
      </c>
      <c r="D192" s="62">
        <f t="shared" si="41"/>
        <v>287151</v>
      </c>
      <c r="E192" s="61" t="s">
        <v>54</v>
      </c>
      <c r="F192" s="62">
        <v>223429</v>
      </c>
      <c r="G192" s="62">
        <v>819</v>
      </c>
      <c r="H192" s="62">
        <f t="shared" si="42"/>
        <v>224248</v>
      </c>
    </row>
    <row r="193" spans="1:8" ht="15" customHeight="1" x14ac:dyDescent="0.3">
      <c r="A193" s="61" t="s">
        <v>55</v>
      </c>
      <c r="B193" s="62">
        <v>332192</v>
      </c>
      <c r="C193" s="62">
        <v>184</v>
      </c>
      <c r="D193" s="62">
        <f t="shared" si="41"/>
        <v>332376</v>
      </c>
      <c r="E193" s="61" t="s">
        <v>55</v>
      </c>
      <c r="F193" s="62">
        <v>238565</v>
      </c>
      <c r="G193" s="62">
        <v>1664</v>
      </c>
      <c r="H193" s="62">
        <f t="shared" si="42"/>
        <v>240229</v>
      </c>
    </row>
    <row r="194" spans="1:8" ht="15" customHeight="1" x14ac:dyDescent="0.3">
      <c r="A194" s="61" t="s">
        <v>56</v>
      </c>
      <c r="B194" s="62">
        <v>429877</v>
      </c>
      <c r="C194" s="62">
        <v>179</v>
      </c>
      <c r="D194" s="62">
        <f t="shared" si="41"/>
        <v>430056</v>
      </c>
      <c r="E194" s="61" t="s">
        <v>56</v>
      </c>
      <c r="F194" s="62">
        <v>265026</v>
      </c>
      <c r="G194" s="62">
        <v>2331</v>
      </c>
      <c r="H194" s="62">
        <f t="shared" si="42"/>
        <v>267357</v>
      </c>
    </row>
    <row r="195" spans="1:8" ht="15" customHeight="1" x14ac:dyDescent="0.3">
      <c r="A195" s="61" t="s">
        <v>57</v>
      </c>
      <c r="B195" s="62">
        <v>398582</v>
      </c>
      <c r="C195" s="62">
        <v>319</v>
      </c>
      <c r="D195" s="62">
        <f t="shared" si="41"/>
        <v>398901</v>
      </c>
      <c r="E195" s="61" t="s">
        <v>57</v>
      </c>
      <c r="F195" s="62">
        <v>280628</v>
      </c>
      <c r="G195" s="62">
        <v>2061</v>
      </c>
      <c r="H195" s="62">
        <f t="shared" si="42"/>
        <v>282689</v>
      </c>
    </row>
    <row r="196" spans="1:8" ht="15" customHeight="1" x14ac:dyDescent="0.3">
      <c r="A196" s="61" t="s">
        <v>58</v>
      </c>
      <c r="B196" s="62">
        <v>329093</v>
      </c>
      <c r="C196" s="62">
        <v>180</v>
      </c>
      <c r="D196" s="62">
        <f t="shared" si="41"/>
        <v>329273</v>
      </c>
      <c r="E196" s="61" t="s">
        <v>58</v>
      </c>
      <c r="F196" s="62">
        <v>261613</v>
      </c>
      <c r="G196" s="62">
        <v>1138</v>
      </c>
      <c r="H196" s="62">
        <f t="shared" si="42"/>
        <v>262751</v>
      </c>
    </row>
    <row r="197" spans="1:8" ht="15" customHeight="1" x14ac:dyDescent="0.3">
      <c r="A197" s="61" t="s">
        <v>59</v>
      </c>
      <c r="B197" s="62">
        <v>229084</v>
      </c>
      <c r="C197" s="62">
        <v>67</v>
      </c>
      <c r="D197" s="62">
        <f t="shared" si="41"/>
        <v>229151</v>
      </c>
      <c r="E197" s="61" t="s">
        <v>59</v>
      </c>
      <c r="F197" s="62">
        <v>215623</v>
      </c>
      <c r="G197" s="62">
        <v>702</v>
      </c>
      <c r="H197" s="62">
        <f t="shared" si="42"/>
        <v>216325</v>
      </c>
    </row>
    <row r="198" spans="1:8" ht="15" customHeight="1" x14ac:dyDescent="0.3">
      <c r="A198" s="61" t="s">
        <v>60</v>
      </c>
      <c r="B198" s="62">
        <v>125074</v>
      </c>
      <c r="C198" s="62">
        <v>0</v>
      </c>
      <c r="D198" s="62">
        <f t="shared" si="41"/>
        <v>125074</v>
      </c>
      <c r="E198" s="61" t="s">
        <v>60</v>
      </c>
      <c r="F198" s="62">
        <v>159400</v>
      </c>
      <c r="G198" s="62">
        <v>576</v>
      </c>
      <c r="H198" s="62">
        <f t="shared" si="42"/>
        <v>159976</v>
      </c>
    </row>
    <row r="199" spans="1:8" ht="15" customHeight="1" x14ac:dyDescent="0.3">
      <c r="A199" s="61" t="s">
        <v>61</v>
      </c>
      <c r="B199" s="62">
        <v>99954</v>
      </c>
      <c r="C199" s="62">
        <v>0</v>
      </c>
      <c r="D199" s="62">
        <f t="shared" si="41"/>
        <v>99954</v>
      </c>
      <c r="E199" s="61" t="s">
        <v>61</v>
      </c>
      <c r="F199" s="62">
        <v>157854</v>
      </c>
      <c r="G199" s="62">
        <v>453</v>
      </c>
      <c r="H199" s="62">
        <f t="shared" si="42"/>
        <v>158307</v>
      </c>
    </row>
    <row r="200" spans="1:8" ht="15" customHeight="1" x14ac:dyDescent="0.3">
      <c r="A200" s="88">
        <v>2010</v>
      </c>
      <c r="B200" s="102">
        <f>SUM(B201:B212)</f>
        <v>2996573</v>
      </c>
      <c r="C200" s="102">
        <f t="shared" ref="C200:D200" si="43">SUM(C201:C212)</f>
        <v>1272</v>
      </c>
      <c r="D200" s="102">
        <f t="shared" si="43"/>
        <v>2997845</v>
      </c>
      <c r="E200" s="88">
        <v>2010</v>
      </c>
      <c r="F200" s="102">
        <f>SUM(F201:F212)</f>
        <v>2829476</v>
      </c>
      <c r="G200" s="102">
        <f t="shared" ref="G200" si="44">SUM(G201:G212)</f>
        <v>9424</v>
      </c>
      <c r="H200" s="102">
        <f>SUM(H201:H212)</f>
        <v>2838900</v>
      </c>
    </row>
    <row r="201" spans="1:8" ht="15" customHeight="1" x14ac:dyDescent="0.3">
      <c r="A201" s="61" t="s">
        <v>50</v>
      </c>
      <c r="B201" s="62">
        <v>159382</v>
      </c>
      <c r="C201" s="62">
        <v>0</v>
      </c>
      <c r="D201" s="62">
        <f>SUM(B201:C201)</f>
        <v>159382</v>
      </c>
      <c r="E201" s="61" t="s">
        <v>50</v>
      </c>
      <c r="F201" s="62">
        <v>229132</v>
      </c>
      <c r="G201" s="62">
        <v>383</v>
      </c>
      <c r="H201" s="62">
        <f>SUM(F201:G201)</f>
        <v>229515</v>
      </c>
    </row>
    <row r="202" spans="1:8" ht="15" customHeight="1" x14ac:dyDescent="0.3">
      <c r="A202" s="61" t="s">
        <v>51</v>
      </c>
      <c r="B202" s="62">
        <v>120687</v>
      </c>
      <c r="C202" s="62">
        <v>0</v>
      </c>
      <c r="D202" s="62">
        <f t="shared" ref="D202:D212" si="45">SUM(B202:C202)</f>
        <v>120687</v>
      </c>
      <c r="E202" s="61" t="s">
        <v>51</v>
      </c>
      <c r="F202" s="62">
        <v>211396</v>
      </c>
      <c r="G202" s="62">
        <v>411</v>
      </c>
      <c r="H202" s="62">
        <f t="shared" ref="H202:H212" si="46">SUM(F202:G202)</f>
        <v>211807</v>
      </c>
    </row>
    <row r="203" spans="1:8" ht="15" customHeight="1" x14ac:dyDescent="0.3">
      <c r="A203" s="61" t="s">
        <v>52</v>
      </c>
      <c r="B203" s="62">
        <v>175075</v>
      </c>
      <c r="C203" s="62">
        <v>0</v>
      </c>
      <c r="D203" s="62">
        <f t="shared" si="45"/>
        <v>175075</v>
      </c>
      <c r="E203" s="61" t="s">
        <v>52</v>
      </c>
      <c r="F203" s="62">
        <v>219239</v>
      </c>
      <c r="G203" s="62">
        <v>571</v>
      </c>
      <c r="H203" s="62">
        <f t="shared" si="46"/>
        <v>219810</v>
      </c>
    </row>
    <row r="204" spans="1:8" ht="15" customHeight="1" x14ac:dyDescent="0.3">
      <c r="A204" s="61" t="s">
        <v>53</v>
      </c>
      <c r="B204" s="62">
        <v>235026</v>
      </c>
      <c r="C204" s="62">
        <v>61</v>
      </c>
      <c r="D204" s="62">
        <f t="shared" si="45"/>
        <v>235087</v>
      </c>
      <c r="E204" s="61" t="s">
        <v>53</v>
      </c>
      <c r="F204" s="62">
        <v>241418</v>
      </c>
      <c r="G204" s="62">
        <v>624</v>
      </c>
      <c r="H204" s="62">
        <f t="shared" si="46"/>
        <v>242042</v>
      </c>
    </row>
    <row r="205" spans="1:8" ht="15" customHeight="1" x14ac:dyDescent="0.3">
      <c r="A205" s="61" t="s">
        <v>54</v>
      </c>
      <c r="B205" s="62">
        <v>286263</v>
      </c>
      <c r="C205" s="62">
        <v>289</v>
      </c>
      <c r="D205" s="62">
        <f t="shared" si="45"/>
        <v>286552</v>
      </c>
      <c r="E205" s="61" t="s">
        <v>54</v>
      </c>
      <c r="F205" s="62">
        <v>238431</v>
      </c>
      <c r="G205" s="62">
        <v>833</v>
      </c>
      <c r="H205" s="62">
        <f t="shared" si="46"/>
        <v>239264</v>
      </c>
    </row>
    <row r="206" spans="1:8" ht="15" customHeight="1" x14ac:dyDescent="0.3">
      <c r="A206" s="61" t="s">
        <v>55</v>
      </c>
      <c r="B206" s="62">
        <v>328410</v>
      </c>
      <c r="C206" s="62">
        <v>189</v>
      </c>
      <c r="D206" s="62">
        <f t="shared" si="45"/>
        <v>328599</v>
      </c>
      <c r="E206" s="61" t="s">
        <v>55</v>
      </c>
      <c r="F206" s="62">
        <v>241791</v>
      </c>
      <c r="G206" s="62">
        <v>993</v>
      </c>
      <c r="H206" s="62">
        <f t="shared" si="46"/>
        <v>242784</v>
      </c>
    </row>
    <row r="207" spans="1:8" ht="15" customHeight="1" x14ac:dyDescent="0.3">
      <c r="A207" s="61" t="s">
        <v>56</v>
      </c>
      <c r="B207" s="62">
        <v>406531</v>
      </c>
      <c r="C207" s="62">
        <v>228</v>
      </c>
      <c r="D207" s="62">
        <f t="shared" si="45"/>
        <v>406759</v>
      </c>
      <c r="E207" s="61" t="s">
        <v>56</v>
      </c>
      <c r="F207" s="62">
        <v>271591</v>
      </c>
      <c r="G207" s="62">
        <v>1388</v>
      </c>
      <c r="H207" s="62">
        <f t="shared" si="46"/>
        <v>272979</v>
      </c>
    </row>
    <row r="208" spans="1:8" ht="15" customHeight="1" x14ac:dyDescent="0.3">
      <c r="A208" s="61" t="s">
        <v>57</v>
      </c>
      <c r="B208" s="62">
        <v>412338</v>
      </c>
      <c r="C208" s="62">
        <v>268</v>
      </c>
      <c r="D208" s="62">
        <f t="shared" si="45"/>
        <v>412606</v>
      </c>
      <c r="E208" s="61" t="s">
        <v>57</v>
      </c>
      <c r="F208" s="62">
        <v>295808</v>
      </c>
      <c r="G208" s="62">
        <v>1434</v>
      </c>
      <c r="H208" s="62">
        <f t="shared" si="46"/>
        <v>297242</v>
      </c>
    </row>
    <row r="209" spans="1:8" ht="15" customHeight="1" x14ac:dyDescent="0.3">
      <c r="A209" s="61" t="s">
        <v>58</v>
      </c>
      <c r="B209" s="62">
        <v>334065</v>
      </c>
      <c r="C209" s="62">
        <v>196</v>
      </c>
      <c r="D209" s="62">
        <f t="shared" si="45"/>
        <v>334261</v>
      </c>
      <c r="E209" s="61" t="s">
        <v>58</v>
      </c>
      <c r="F209" s="62">
        <v>269948</v>
      </c>
      <c r="G209" s="62">
        <v>1039</v>
      </c>
      <c r="H209" s="62">
        <f t="shared" si="46"/>
        <v>270987</v>
      </c>
    </row>
    <row r="210" spans="1:8" ht="15" customHeight="1" x14ac:dyDescent="0.3">
      <c r="A210" s="61" t="s">
        <v>59</v>
      </c>
      <c r="B210" s="62">
        <v>270903</v>
      </c>
      <c r="C210" s="62">
        <v>41</v>
      </c>
      <c r="D210" s="62">
        <f t="shared" si="45"/>
        <v>270944</v>
      </c>
      <c r="E210" s="61" t="s">
        <v>59</v>
      </c>
      <c r="F210" s="62">
        <v>234413</v>
      </c>
      <c r="G210" s="62">
        <v>679</v>
      </c>
      <c r="H210" s="62">
        <f t="shared" si="46"/>
        <v>235092</v>
      </c>
    </row>
    <row r="211" spans="1:8" ht="15" customHeight="1" x14ac:dyDescent="0.3">
      <c r="A211" s="61" t="s">
        <v>60</v>
      </c>
      <c r="B211" s="62">
        <v>150174</v>
      </c>
      <c r="C211" s="62">
        <v>0</v>
      </c>
      <c r="D211" s="62">
        <f t="shared" si="45"/>
        <v>150174</v>
      </c>
      <c r="E211" s="61" t="s">
        <v>60</v>
      </c>
      <c r="F211" s="62">
        <v>198099</v>
      </c>
      <c r="G211" s="62">
        <v>603</v>
      </c>
      <c r="H211" s="62">
        <f t="shared" si="46"/>
        <v>198702</v>
      </c>
    </row>
    <row r="212" spans="1:8" ht="15" customHeight="1" x14ac:dyDescent="0.3">
      <c r="A212" s="61" t="s">
        <v>61</v>
      </c>
      <c r="B212" s="62">
        <v>117719</v>
      </c>
      <c r="C212" s="62">
        <v>0</v>
      </c>
      <c r="D212" s="62">
        <f t="shared" si="45"/>
        <v>117719</v>
      </c>
      <c r="E212" s="61" t="s">
        <v>61</v>
      </c>
      <c r="F212" s="62">
        <v>178210</v>
      </c>
      <c r="G212" s="62">
        <v>466</v>
      </c>
      <c r="H212" s="62">
        <f t="shared" si="46"/>
        <v>178676</v>
      </c>
    </row>
    <row r="213" spans="1:8" ht="15" customHeight="1" x14ac:dyDescent="0.3">
      <c r="A213" s="159" t="s">
        <v>137</v>
      </c>
      <c r="B213" s="159"/>
      <c r="C213" s="159"/>
      <c r="D213" s="159"/>
      <c r="E213" s="4"/>
      <c r="F213" s="4"/>
      <c r="G213" s="4"/>
      <c r="H213" s="4"/>
    </row>
    <row r="214" spans="1:8" ht="15" customHeight="1" x14ac:dyDescent="0.3">
      <c r="A214" s="177" t="s">
        <v>142</v>
      </c>
      <c r="B214" s="177"/>
      <c r="C214" s="177"/>
      <c r="D214" s="177"/>
      <c r="E214" s="177"/>
      <c r="F214" s="177"/>
      <c r="G214" s="177"/>
      <c r="H214" s="177"/>
    </row>
    <row r="215" spans="1:8" ht="15" customHeight="1" x14ac:dyDescent="0.3">
      <c r="A215" s="177"/>
      <c r="B215" s="177"/>
      <c r="C215" s="177"/>
      <c r="D215" s="177"/>
      <c r="E215" s="177"/>
      <c r="F215" s="177"/>
      <c r="G215" s="177"/>
      <c r="H215" s="177"/>
    </row>
  </sheetData>
  <mergeCells count="4">
    <mergeCell ref="E3:H3"/>
    <mergeCell ref="A3:D3"/>
    <mergeCell ref="A213:D213"/>
    <mergeCell ref="A214:H215"/>
  </mergeCells>
  <pageMargins left="0.70866141732283472" right="0.70866141732283472" top="0.74803149606299213" bottom="0.74803149606299213" header="0.31496062992125984" footer="0.31496062992125984"/>
  <pageSetup paperSize="9" fitToHeight="0" orientation="landscape" verticalDpi="597" r:id="rId1"/>
  <headerFooter>
    <oddHeader>&amp;R&amp;G</oddHeader>
    <oddFooter>&amp;L&amp;F&amp;C&amp;P / &amp;N&amp;R&amp;A</oddFooter>
  </headerFooter>
  <rowBreaks count="3" manualBreakCount="3">
    <brk id="134" max="7" man="1"/>
    <brk id="160" max="7" man="1"/>
    <brk id="186" max="7" man="1"/>
  </rowBreaks>
  <ignoredErrors>
    <ignoredError sqref="D109 H109 D70 H70 D83 H83 D96 H96" formula="1"/>
  </ignoredError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2:H311"/>
  <sheetViews>
    <sheetView showGridLines="0" zoomScaleNormal="100" workbookViewId="0">
      <selection activeCell="C5" sqref="C5:E25"/>
    </sheetView>
  </sheetViews>
  <sheetFormatPr defaultRowHeight="15" customHeight="1" x14ac:dyDescent="0.3"/>
  <cols>
    <col min="1" max="1" width="6.33203125" style="11" bestFit="1" customWidth="1"/>
    <col min="2" max="2" width="18.109375" style="11" bestFit="1" customWidth="1"/>
    <col min="3" max="4" width="20.77734375" style="11" bestFit="1" customWidth="1"/>
    <col min="5" max="5" width="18" style="11" customWidth="1"/>
    <col min="6" max="6" width="9.88671875" style="11" bestFit="1" customWidth="1"/>
    <col min="7" max="7" width="6.33203125" style="11" hidden="1" customWidth="1"/>
    <col min="8" max="8" width="19.33203125" style="11" hidden="1" customWidth="1"/>
    <col min="9" max="9" width="18.109375" style="11" bestFit="1" customWidth="1"/>
    <col min="10" max="10" width="5.5546875" style="11" bestFit="1" customWidth="1"/>
    <col min="11" max="13" width="5.5546875" style="11" customWidth="1"/>
    <col min="14" max="14" width="5.5546875" style="11" bestFit="1" customWidth="1"/>
    <col min="15" max="15" width="18.109375" style="11" bestFit="1" customWidth="1"/>
    <col min="16" max="16" width="16.44140625" style="11" bestFit="1" customWidth="1"/>
    <col min="17" max="17" width="22.109375" style="11" customWidth="1"/>
    <col min="18" max="18" width="20.109375" style="11" customWidth="1"/>
    <col min="19" max="19" width="16.109375" style="11" customWidth="1"/>
    <col min="20" max="16384" width="8.88671875" style="11"/>
  </cols>
  <sheetData>
    <row r="2" spans="1:5" ht="15" customHeight="1" x14ac:dyDescent="0.3">
      <c r="A2" s="185" t="s">
        <v>177</v>
      </c>
      <c r="B2" s="186"/>
      <c r="C2" s="186"/>
      <c r="D2" s="186"/>
      <c r="E2" s="186"/>
    </row>
    <row r="3" spans="1:5" ht="20.399999999999999" x14ac:dyDescent="0.3">
      <c r="A3" s="131"/>
      <c r="B3" s="132"/>
      <c r="C3" s="133" t="s">
        <v>66</v>
      </c>
      <c r="D3" s="133" t="s">
        <v>67</v>
      </c>
      <c r="E3" s="133" t="s">
        <v>25</v>
      </c>
    </row>
    <row r="4" spans="1:5" ht="21" thickBot="1" x14ac:dyDescent="0.35">
      <c r="A4" s="134" t="s">
        <v>27</v>
      </c>
      <c r="B4" s="135" t="s">
        <v>28</v>
      </c>
      <c r="C4" s="136" t="s">
        <v>26</v>
      </c>
      <c r="D4" s="136" t="s">
        <v>26</v>
      </c>
      <c r="E4" s="136" t="s">
        <v>26</v>
      </c>
    </row>
    <row r="5" spans="1:5" ht="15" customHeight="1" x14ac:dyDescent="0.3">
      <c r="A5" s="187">
        <v>2024</v>
      </c>
      <c r="B5" s="52" t="s">
        <v>167</v>
      </c>
      <c r="C5" s="53">
        <v>30002</v>
      </c>
      <c r="D5" s="54">
        <v>24854</v>
      </c>
      <c r="E5" s="55">
        <v>54856</v>
      </c>
    </row>
    <row r="6" spans="1:5" ht="15" customHeight="1" x14ac:dyDescent="0.3">
      <c r="A6" s="188"/>
      <c r="B6" s="104" t="s">
        <v>31</v>
      </c>
      <c r="C6" s="105">
        <v>213840</v>
      </c>
      <c r="D6" s="106">
        <v>202846</v>
      </c>
      <c r="E6" s="107">
        <v>416686</v>
      </c>
    </row>
    <row r="7" spans="1:5" ht="15" customHeight="1" x14ac:dyDescent="0.3">
      <c r="A7" s="188"/>
      <c r="B7" s="56" t="s">
        <v>32</v>
      </c>
      <c r="C7" s="57">
        <v>193079</v>
      </c>
      <c r="D7" s="58">
        <v>208154</v>
      </c>
      <c r="E7" s="59">
        <v>401233</v>
      </c>
    </row>
    <row r="8" spans="1:5" ht="15" customHeight="1" x14ac:dyDescent="0.3">
      <c r="A8" s="188"/>
      <c r="B8" s="104" t="s">
        <v>29</v>
      </c>
      <c r="C8" s="105">
        <v>977234</v>
      </c>
      <c r="D8" s="106">
        <v>954581</v>
      </c>
      <c r="E8" s="107">
        <v>1931815</v>
      </c>
    </row>
    <row r="9" spans="1:5" ht="15" customHeight="1" x14ac:dyDescent="0.3">
      <c r="A9" s="188"/>
      <c r="B9" s="56" t="s">
        <v>33</v>
      </c>
      <c r="C9" s="57">
        <v>255606</v>
      </c>
      <c r="D9" s="58">
        <v>219837</v>
      </c>
      <c r="E9" s="59">
        <v>475443</v>
      </c>
    </row>
    <row r="10" spans="1:5" ht="15" customHeight="1" x14ac:dyDescent="0.3">
      <c r="A10" s="188"/>
      <c r="B10" s="104" t="s">
        <v>40</v>
      </c>
      <c r="C10" s="105">
        <v>28372</v>
      </c>
      <c r="D10" s="106">
        <v>25149</v>
      </c>
      <c r="E10" s="107">
        <v>53521</v>
      </c>
    </row>
    <row r="11" spans="1:5" ht="15" customHeight="1" x14ac:dyDescent="0.3">
      <c r="A11" s="188"/>
      <c r="B11" s="56" t="s">
        <v>34</v>
      </c>
      <c r="C11" s="57">
        <v>319150</v>
      </c>
      <c r="D11" s="58">
        <v>321993</v>
      </c>
      <c r="E11" s="59">
        <v>641143</v>
      </c>
    </row>
    <row r="12" spans="1:5" ht="15" customHeight="1" x14ac:dyDescent="0.3">
      <c r="A12" s="188"/>
      <c r="B12" s="104" t="s">
        <v>35</v>
      </c>
      <c r="C12" s="105">
        <v>255702</v>
      </c>
      <c r="D12" s="106">
        <v>241659</v>
      </c>
      <c r="E12" s="107">
        <v>497361</v>
      </c>
    </row>
    <row r="13" spans="1:5" ht="15" customHeight="1" x14ac:dyDescent="0.3">
      <c r="A13" s="188"/>
      <c r="B13" s="56" t="s">
        <v>36</v>
      </c>
      <c r="C13" s="57">
        <v>16093</v>
      </c>
      <c r="D13" s="58">
        <v>16468</v>
      </c>
      <c r="E13" s="59">
        <v>32561</v>
      </c>
    </row>
    <row r="14" spans="1:5" ht="15" customHeight="1" x14ac:dyDescent="0.3">
      <c r="A14" s="188"/>
      <c r="B14" s="104" t="s">
        <v>38</v>
      </c>
      <c r="C14" s="105">
        <v>3885088</v>
      </c>
      <c r="D14" s="106">
        <v>3762872</v>
      </c>
      <c r="E14" s="107">
        <v>7647960</v>
      </c>
    </row>
    <row r="15" spans="1:5" ht="15" customHeight="1" x14ac:dyDescent="0.3">
      <c r="A15" s="188"/>
      <c r="B15" s="56" t="s">
        <v>7</v>
      </c>
      <c r="C15" s="57">
        <v>4431004</v>
      </c>
      <c r="D15" s="58">
        <v>4583527</v>
      </c>
      <c r="E15" s="59">
        <v>9014531</v>
      </c>
    </row>
    <row r="16" spans="1:5" ht="15" customHeight="1" x14ac:dyDescent="0.3">
      <c r="A16" s="188"/>
      <c r="B16" s="104" t="s">
        <v>37</v>
      </c>
      <c r="C16" s="105">
        <v>3762872</v>
      </c>
      <c r="D16" s="106">
        <v>3885088</v>
      </c>
      <c r="E16" s="107">
        <v>7647960</v>
      </c>
    </row>
    <row r="17" spans="1:5" ht="15" customHeight="1" x14ac:dyDescent="0.3">
      <c r="A17" s="188"/>
      <c r="B17" s="56" t="s">
        <v>41</v>
      </c>
      <c r="C17" s="57">
        <v>317580</v>
      </c>
      <c r="D17" s="58">
        <v>353168</v>
      </c>
      <c r="E17" s="59">
        <v>670748</v>
      </c>
    </row>
    <row r="18" spans="1:5" ht="15" customHeight="1" x14ac:dyDescent="0.3">
      <c r="A18" s="188"/>
      <c r="B18" s="104" t="s">
        <v>39</v>
      </c>
      <c r="C18" s="105">
        <v>1350</v>
      </c>
      <c r="D18" s="106">
        <v>1109</v>
      </c>
      <c r="E18" s="107">
        <v>2459</v>
      </c>
    </row>
    <row r="19" spans="1:5" ht="15" customHeight="1" x14ac:dyDescent="0.3">
      <c r="A19" s="188"/>
      <c r="B19" s="56" t="s">
        <v>42</v>
      </c>
      <c r="C19" s="57">
        <v>909918</v>
      </c>
      <c r="D19" s="58">
        <v>937055</v>
      </c>
      <c r="E19" s="59">
        <v>1846973</v>
      </c>
    </row>
    <row r="20" spans="1:5" ht="15" customHeight="1" x14ac:dyDescent="0.3">
      <c r="A20" s="188"/>
      <c r="B20" s="104" t="s">
        <v>44</v>
      </c>
      <c r="C20" s="105">
        <v>54935</v>
      </c>
      <c r="D20" s="106">
        <v>58935</v>
      </c>
      <c r="E20" s="107">
        <v>113870</v>
      </c>
    </row>
    <row r="21" spans="1:5" ht="15" customHeight="1" x14ac:dyDescent="0.3">
      <c r="A21" s="188"/>
      <c r="B21" s="56" t="s">
        <v>45</v>
      </c>
      <c r="C21" s="57">
        <v>153553</v>
      </c>
      <c r="D21" s="58">
        <v>158795</v>
      </c>
      <c r="E21" s="59">
        <v>312348</v>
      </c>
    </row>
    <row r="22" spans="1:5" ht="15" customHeight="1" x14ac:dyDescent="0.3">
      <c r="A22" s="188"/>
      <c r="B22" s="104" t="s">
        <v>46</v>
      </c>
      <c r="C22" s="105">
        <v>155691</v>
      </c>
      <c r="D22" s="106">
        <v>164609</v>
      </c>
      <c r="E22" s="107">
        <v>320300</v>
      </c>
    </row>
    <row r="23" spans="1:5" ht="15" customHeight="1" x14ac:dyDescent="0.3">
      <c r="A23" s="188"/>
      <c r="B23" s="56" t="s">
        <v>47</v>
      </c>
      <c r="C23" s="57">
        <v>241659</v>
      </c>
      <c r="D23" s="58">
        <v>255702</v>
      </c>
      <c r="E23" s="59">
        <v>497361</v>
      </c>
    </row>
    <row r="24" spans="1:5" ht="15" customHeight="1" x14ac:dyDescent="0.3">
      <c r="A24" s="188"/>
      <c r="B24" s="104" t="s">
        <v>48</v>
      </c>
      <c r="C24" s="105">
        <v>109667</v>
      </c>
      <c r="D24" s="106">
        <v>105620</v>
      </c>
      <c r="E24" s="107">
        <v>215287</v>
      </c>
    </row>
    <row r="25" spans="1:5" ht="15" customHeight="1" thickBot="1" x14ac:dyDescent="0.35">
      <c r="A25" s="189"/>
      <c r="B25" s="147" t="s">
        <v>128</v>
      </c>
      <c r="C25" s="109">
        <v>16312395</v>
      </c>
      <c r="D25" s="109">
        <v>16482021</v>
      </c>
      <c r="E25" s="109">
        <v>32794416</v>
      </c>
    </row>
    <row r="26" spans="1:5" ht="15" customHeight="1" x14ac:dyDescent="0.3">
      <c r="A26" s="187">
        <v>2023</v>
      </c>
      <c r="B26" s="52" t="s">
        <v>167</v>
      </c>
      <c r="C26" s="53">
        <v>7918</v>
      </c>
      <c r="D26" s="54">
        <v>8314</v>
      </c>
      <c r="E26" s="55">
        <v>16232</v>
      </c>
    </row>
    <row r="27" spans="1:5" ht="15" customHeight="1" x14ac:dyDescent="0.3">
      <c r="A27" s="188"/>
      <c r="B27" s="104" t="s">
        <v>31</v>
      </c>
      <c r="C27" s="105">
        <v>185019</v>
      </c>
      <c r="D27" s="106">
        <v>181473</v>
      </c>
      <c r="E27" s="107">
        <v>366492</v>
      </c>
    </row>
    <row r="28" spans="1:5" ht="15" customHeight="1" x14ac:dyDescent="0.3">
      <c r="A28" s="188"/>
      <c r="B28" s="56" t="s">
        <v>32</v>
      </c>
      <c r="C28" s="57">
        <v>172487</v>
      </c>
      <c r="D28" s="58">
        <v>172435</v>
      </c>
      <c r="E28" s="59">
        <v>344922</v>
      </c>
    </row>
    <row r="29" spans="1:5" ht="15" customHeight="1" x14ac:dyDescent="0.3">
      <c r="A29" s="188"/>
      <c r="B29" s="104" t="s">
        <v>29</v>
      </c>
      <c r="C29" s="105">
        <v>912891</v>
      </c>
      <c r="D29" s="106">
        <v>911886</v>
      </c>
      <c r="E29" s="107">
        <v>1824777</v>
      </c>
    </row>
    <row r="30" spans="1:5" ht="15" customHeight="1" x14ac:dyDescent="0.3">
      <c r="A30" s="188"/>
      <c r="B30" s="56" t="s">
        <v>33</v>
      </c>
      <c r="C30" s="57">
        <v>269374</v>
      </c>
      <c r="D30" s="58">
        <v>222805</v>
      </c>
      <c r="E30" s="59">
        <v>492179</v>
      </c>
    </row>
    <row r="31" spans="1:5" ht="15" customHeight="1" x14ac:dyDescent="0.3">
      <c r="A31" s="188"/>
      <c r="B31" s="104" t="s">
        <v>40</v>
      </c>
      <c r="C31" s="105">
        <v>34949</v>
      </c>
      <c r="D31" s="106">
        <v>35075</v>
      </c>
      <c r="E31" s="107">
        <v>70024</v>
      </c>
    </row>
    <row r="32" spans="1:5" ht="15" customHeight="1" x14ac:dyDescent="0.3">
      <c r="A32" s="188"/>
      <c r="B32" s="56" t="s">
        <v>34</v>
      </c>
      <c r="C32" s="57">
        <v>305754</v>
      </c>
      <c r="D32" s="58">
        <v>311827</v>
      </c>
      <c r="E32" s="59">
        <v>617581</v>
      </c>
    </row>
    <row r="33" spans="1:5" ht="15" customHeight="1" x14ac:dyDescent="0.3">
      <c r="A33" s="188"/>
      <c r="B33" s="104" t="s">
        <v>35</v>
      </c>
      <c r="C33" s="105">
        <v>245109</v>
      </c>
      <c r="D33" s="106">
        <v>222906</v>
      </c>
      <c r="E33" s="107">
        <v>468015</v>
      </c>
    </row>
    <row r="34" spans="1:5" ht="15" customHeight="1" x14ac:dyDescent="0.3">
      <c r="A34" s="188"/>
      <c r="B34" s="56" t="s">
        <v>36</v>
      </c>
      <c r="C34" s="57">
        <v>16055</v>
      </c>
      <c r="D34" s="58">
        <v>16934</v>
      </c>
      <c r="E34" s="59">
        <v>32989</v>
      </c>
    </row>
    <row r="35" spans="1:5" ht="15" customHeight="1" x14ac:dyDescent="0.3">
      <c r="A35" s="188"/>
      <c r="B35" s="104" t="s">
        <v>38</v>
      </c>
      <c r="C35" s="105">
        <v>3499094</v>
      </c>
      <c r="D35" s="106">
        <v>3219536</v>
      </c>
      <c r="E35" s="107">
        <v>6718630</v>
      </c>
    </row>
    <row r="36" spans="1:5" ht="15" customHeight="1" x14ac:dyDescent="0.3">
      <c r="A36" s="188"/>
      <c r="B36" s="56" t="s">
        <v>7</v>
      </c>
      <c r="C36" s="57">
        <v>4346228</v>
      </c>
      <c r="D36" s="58">
        <v>4435074</v>
      </c>
      <c r="E36" s="59">
        <v>8781302</v>
      </c>
    </row>
    <row r="37" spans="1:5" ht="15" customHeight="1" x14ac:dyDescent="0.3">
      <c r="A37" s="188"/>
      <c r="B37" s="104" t="s">
        <v>37</v>
      </c>
      <c r="C37" s="105">
        <v>3219536</v>
      </c>
      <c r="D37" s="106">
        <v>3499094</v>
      </c>
      <c r="E37" s="107">
        <v>6718630</v>
      </c>
    </row>
    <row r="38" spans="1:5" ht="15" customHeight="1" x14ac:dyDescent="0.3">
      <c r="A38" s="188"/>
      <c r="B38" s="56" t="s">
        <v>41</v>
      </c>
      <c r="C38" s="57">
        <v>328312</v>
      </c>
      <c r="D38" s="58">
        <v>375519</v>
      </c>
      <c r="E38" s="59">
        <v>703831</v>
      </c>
    </row>
    <row r="39" spans="1:5" ht="15" customHeight="1" x14ac:dyDescent="0.3">
      <c r="A39" s="188"/>
      <c r="B39" s="104" t="s">
        <v>39</v>
      </c>
      <c r="C39" s="105">
        <v>1527</v>
      </c>
      <c r="D39" s="106">
        <v>1419</v>
      </c>
      <c r="E39" s="107">
        <v>2946</v>
      </c>
    </row>
    <row r="40" spans="1:5" ht="15" customHeight="1" x14ac:dyDescent="0.3">
      <c r="A40" s="188"/>
      <c r="B40" s="56" t="s">
        <v>42</v>
      </c>
      <c r="C40" s="57">
        <v>893221</v>
      </c>
      <c r="D40" s="58">
        <v>929124</v>
      </c>
      <c r="E40" s="59">
        <v>1822345</v>
      </c>
    </row>
    <row r="41" spans="1:5" ht="15" customHeight="1" x14ac:dyDescent="0.3">
      <c r="A41" s="188"/>
      <c r="B41" s="104" t="s">
        <v>44</v>
      </c>
      <c r="C41" s="105">
        <v>59331</v>
      </c>
      <c r="D41" s="106">
        <v>54898</v>
      </c>
      <c r="E41" s="107">
        <v>114229</v>
      </c>
    </row>
    <row r="42" spans="1:5" ht="15" customHeight="1" x14ac:dyDescent="0.3">
      <c r="A42" s="188"/>
      <c r="B42" s="56" t="s">
        <v>45</v>
      </c>
      <c r="C42" s="57">
        <v>147634</v>
      </c>
      <c r="D42" s="58">
        <v>148913</v>
      </c>
      <c r="E42" s="59">
        <v>296547</v>
      </c>
    </row>
    <row r="43" spans="1:5" ht="15" customHeight="1" x14ac:dyDescent="0.3">
      <c r="A43" s="188"/>
      <c r="B43" s="104" t="s">
        <v>46</v>
      </c>
      <c r="C43" s="105">
        <v>164205</v>
      </c>
      <c r="D43" s="106">
        <v>165418</v>
      </c>
      <c r="E43" s="107">
        <v>329623</v>
      </c>
    </row>
    <row r="44" spans="1:5" ht="15" customHeight="1" x14ac:dyDescent="0.3">
      <c r="A44" s="188"/>
      <c r="B44" s="56" t="s">
        <v>47</v>
      </c>
      <c r="C44" s="57">
        <v>222906</v>
      </c>
      <c r="D44" s="58">
        <v>245109</v>
      </c>
      <c r="E44" s="59">
        <v>468015</v>
      </c>
    </row>
    <row r="45" spans="1:5" ht="15" customHeight="1" x14ac:dyDescent="0.3">
      <c r="A45" s="188"/>
      <c r="B45" s="104" t="s">
        <v>48</v>
      </c>
      <c r="C45" s="105">
        <v>89209</v>
      </c>
      <c r="D45" s="106">
        <v>83992</v>
      </c>
      <c r="E45" s="107">
        <v>173201</v>
      </c>
    </row>
    <row r="46" spans="1:5" ht="15" customHeight="1" thickBot="1" x14ac:dyDescent="0.35">
      <c r="A46" s="189"/>
      <c r="B46" s="147" t="s">
        <v>128</v>
      </c>
      <c r="C46" s="109">
        <f>SUM(C26:C45)</f>
        <v>15120759</v>
      </c>
      <c r="D46" s="109">
        <f>SUM(D26:D45)</f>
        <v>15241751</v>
      </c>
      <c r="E46" s="109">
        <f>SUM(E26:E45)</f>
        <v>30362510</v>
      </c>
    </row>
    <row r="47" spans="1:5" ht="15" customHeight="1" x14ac:dyDescent="0.3">
      <c r="A47" s="182">
        <v>2022</v>
      </c>
      <c r="B47" s="52" t="s">
        <v>31</v>
      </c>
      <c r="C47" s="53">
        <v>176216</v>
      </c>
      <c r="D47" s="54">
        <v>170600</v>
      </c>
      <c r="E47" s="55">
        <v>346816</v>
      </c>
    </row>
    <row r="48" spans="1:5" ht="15" customHeight="1" x14ac:dyDescent="0.3">
      <c r="A48" s="183"/>
      <c r="B48" s="104" t="s">
        <v>32</v>
      </c>
      <c r="C48" s="105">
        <v>139597</v>
      </c>
      <c r="D48" s="106">
        <v>146213</v>
      </c>
      <c r="E48" s="107">
        <v>285810</v>
      </c>
    </row>
    <row r="49" spans="1:5" ht="15" customHeight="1" x14ac:dyDescent="0.3">
      <c r="A49" s="183"/>
      <c r="B49" s="56" t="s">
        <v>29</v>
      </c>
      <c r="C49" s="57">
        <v>691882</v>
      </c>
      <c r="D49" s="58">
        <v>672192</v>
      </c>
      <c r="E49" s="59">
        <v>1364074</v>
      </c>
    </row>
    <row r="50" spans="1:5" ht="15" customHeight="1" x14ac:dyDescent="0.3">
      <c r="A50" s="183"/>
      <c r="B50" s="104" t="s">
        <v>33</v>
      </c>
      <c r="C50" s="105">
        <v>254675</v>
      </c>
      <c r="D50" s="106">
        <v>218432</v>
      </c>
      <c r="E50" s="107">
        <v>473107</v>
      </c>
    </row>
    <row r="51" spans="1:5" ht="15" customHeight="1" x14ac:dyDescent="0.3">
      <c r="A51" s="183"/>
      <c r="B51" s="56" t="s">
        <v>40</v>
      </c>
      <c r="C51" s="57">
        <v>27896</v>
      </c>
      <c r="D51" s="58">
        <v>28244</v>
      </c>
      <c r="E51" s="59">
        <v>56140</v>
      </c>
    </row>
    <row r="52" spans="1:5" ht="15" customHeight="1" x14ac:dyDescent="0.3">
      <c r="A52" s="183"/>
      <c r="B52" s="104" t="s">
        <v>34</v>
      </c>
      <c r="C52" s="105">
        <v>292332</v>
      </c>
      <c r="D52" s="106">
        <v>297046</v>
      </c>
      <c r="E52" s="107">
        <v>589378</v>
      </c>
    </row>
    <row r="53" spans="1:5" ht="15" customHeight="1" x14ac:dyDescent="0.3">
      <c r="A53" s="183"/>
      <c r="B53" s="56" t="s">
        <v>35</v>
      </c>
      <c r="C53" s="57">
        <v>249489</v>
      </c>
      <c r="D53" s="58">
        <v>234050</v>
      </c>
      <c r="E53" s="59">
        <v>483539</v>
      </c>
    </row>
    <row r="54" spans="1:5" ht="15" customHeight="1" x14ac:dyDescent="0.3">
      <c r="A54" s="183"/>
      <c r="B54" s="104" t="s">
        <v>36</v>
      </c>
      <c r="C54" s="105">
        <v>14514</v>
      </c>
      <c r="D54" s="106">
        <v>15909</v>
      </c>
      <c r="E54" s="107">
        <v>30423</v>
      </c>
    </row>
    <row r="55" spans="1:5" ht="15" customHeight="1" x14ac:dyDescent="0.3">
      <c r="A55" s="183"/>
      <c r="B55" s="56" t="s">
        <v>38</v>
      </c>
      <c r="C55" s="57">
        <v>3698865</v>
      </c>
      <c r="D55" s="58">
        <v>3393660</v>
      </c>
      <c r="E55" s="59">
        <v>7092525</v>
      </c>
    </row>
    <row r="56" spans="1:5" ht="15" customHeight="1" x14ac:dyDescent="0.3">
      <c r="A56" s="183"/>
      <c r="B56" s="104" t="s">
        <v>7</v>
      </c>
      <c r="C56" s="105">
        <v>3876478</v>
      </c>
      <c r="D56" s="106">
        <v>4018691</v>
      </c>
      <c r="E56" s="107">
        <v>7895169</v>
      </c>
    </row>
    <row r="57" spans="1:5" ht="15" customHeight="1" x14ac:dyDescent="0.3">
      <c r="A57" s="183"/>
      <c r="B57" s="56" t="s">
        <v>37</v>
      </c>
      <c r="C57" s="57">
        <v>3393660</v>
      </c>
      <c r="D57" s="58">
        <v>3698865</v>
      </c>
      <c r="E57" s="59">
        <v>7092525</v>
      </c>
    </row>
    <row r="58" spans="1:5" ht="15" customHeight="1" x14ac:dyDescent="0.3">
      <c r="A58" s="183"/>
      <c r="B58" s="104" t="s">
        <v>41</v>
      </c>
      <c r="C58" s="105">
        <v>310598</v>
      </c>
      <c r="D58" s="106">
        <v>348091</v>
      </c>
      <c r="E58" s="107">
        <v>658689</v>
      </c>
    </row>
    <row r="59" spans="1:5" ht="15" customHeight="1" x14ac:dyDescent="0.3">
      <c r="A59" s="183"/>
      <c r="B59" s="56" t="s">
        <v>39</v>
      </c>
      <c r="C59" s="57">
        <v>1365</v>
      </c>
      <c r="D59" s="58">
        <v>1162</v>
      </c>
      <c r="E59" s="59">
        <v>2527</v>
      </c>
    </row>
    <row r="60" spans="1:5" ht="15" customHeight="1" x14ac:dyDescent="0.3">
      <c r="A60" s="183"/>
      <c r="B60" s="104" t="s">
        <v>42</v>
      </c>
      <c r="C60" s="105">
        <v>862808</v>
      </c>
      <c r="D60" s="106">
        <v>866327</v>
      </c>
      <c r="E60" s="107">
        <v>1729135</v>
      </c>
    </row>
    <row r="61" spans="1:5" ht="15" customHeight="1" x14ac:dyDescent="0.3">
      <c r="A61" s="183"/>
      <c r="B61" s="56" t="s">
        <v>44</v>
      </c>
      <c r="C61" s="57">
        <v>47390</v>
      </c>
      <c r="D61" s="58">
        <v>46771</v>
      </c>
      <c r="E61" s="59">
        <v>94161</v>
      </c>
    </row>
    <row r="62" spans="1:5" ht="15" customHeight="1" x14ac:dyDescent="0.3">
      <c r="A62" s="183"/>
      <c r="B62" s="104" t="s">
        <v>45</v>
      </c>
      <c r="C62" s="105">
        <v>133143</v>
      </c>
      <c r="D62" s="106">
        <v>129001</v>
      </c>
      <c r="E62" s="107">
        <v>262144</v>
      </c>
    </row>
    <row r="63" spans="1:5" ht="15" customHeight="1" x14ac:dyDescent="0.3">
      <c r="A63" s="183"/>
      <c r="B63" s="56" t="s">
        <v>46</v>
      </c>
      <c r="C63" s="57">
        <v>143202</v>
      </c>
      <c r="D63" s="58">
        <v>143024</v>
      </c>
      <c r="E63" s="59">
        <v>286226</v>
      </c>
    </row>
    <row r="64" spans="1:5" ht="15" customHeight="1" x14ac:dyDescent="0.3">
      <c r="A64" s="183"/>
      <c r="B64" s="104" t="s">
        <v>47</v>
      </c>
      <c r="C64" s="105">
        <v>234050</v>
      </c>
      <c r="D64" s="106">
        <v>249489</v>
      </c>
      <c r="E64" s="107">
        <v>483539</v>
      </c>
    </row>
    <row r="65" spans="1:8" ht="15" customHeight="1" x14ac:dyDescent="0.3">
      <c r="A65" s="183"/>
      <c r="B65" s="56" t="s">
        <v>48</v>
      </c>
      <c r="C65" s="57">
        <v>71519</v>
      </c>
      <c r="D65" s="58">
        <v>67786</v>
      </c>
      <c r="E65" s="59">
        <v>139305</v>
      </c>
    </row>
    <row r="66" spans="1:8" ht="15" customHeight="1" thickBot="1" x14ac:dyDescent="0.35">
      <c r="A66" s="184"/>
      <c r="B66" s="108" t="s">
        <v>128</v>
      </c>
      <c r="C66" s="109">
        <f>SUM(C47:C65)</f>
        <v>14619679</v>
      </c>
      <c r="D66" s="109">
        <f>SUM(D47:D65)</f>
        <v>14745553</v>
      </c>
      <c r="E66" s="109">
        <f>SUM(E47:E65)</f>
        <v>29365232</v>
      </c>
    </row>
    <row r="67" spans="1:8" ht="15" customHeight="1" x14ac:dyDescent="0.3">
      <c r="A67" s="182">
        <v>2021</v>
      </c>
      <c r="B67" s="52" t="s">
        <v>29</v>
      </c>
      <c r="C67" s="53">
        <v>532444</v>
      </c>
      <c r="D67" s="54">
        <v>529124</v>
      </c>
      <c r="E67" s="55">
        <f>SUM(C67:D67)</f>
        <v>1061568</v>
      </c>
    </row>
    <row r="68" spans="1:8" ht="15" customHeight="1" x14ac:dyDescent="0.3">
      <c r="A68" s="183"/>
      <c r="B68" s="104" t="s">
        <v>30</v>
      </c>
      <c r="C68" s="105">
        <v>0</v>
      </c>
      <c r="D68" s="106">
        <v>0</v>
      </c>
      <c r="E68" s="107">
        <f t="shared" ref="E68:E88" si="0">SUM(C68:D68)</f>
        <v>0</v>
      </c>
      <c r="G68" s="11" t="s">
        <v>143</v>
      </c>
      <c r="H68" s="60">
        <f>E76+E77</f>
        <v>11806165</v>
      </c>
    </row>
    <row r="69" spans="1:8" ht="15" customHeight="1" x14ac:dyDescent="0.3">
      <c r="A69" s="183"/>
      <c r="B69" s="56" t="s">
        <v>31</v>
      </c>
      <c r="C69" s="57">
        <v>165717</v>
      </c>
      <c r="D69" s="58">
        <v>153798</v>
      </c>
      <c r="E69" s="59">
        <f t="shared" si="0"/>
        <v>319515</v>
      </c>
      <c r="G69" s="11" t="s">
        <v>144</v>
      </c>
      <c r="H69" s="60" t="e">
        <f>E67+E68+E70+E71+E72+E79+E80+E84+E85+E86+E78+#REF!+E75</f>
        <v>#REF!</v>
      </c>
    </row>
    <row r="70" spans="1:8" ht="15" customHeight="1" x14ac:dyDescent="0.3">
      <c r="A70" s="183"/>
      <c r="B70" s="104" t="s">
        <v>32</v>
      </c>
      <c r="C70" s="105">
        <v>111405</v>
      </c>
      <c r="D70" s="106">
        <v>104242</v>
      </c>
      <c r="E70" s="107">
        <f t="shared" si="0"/>
        <v>215647</v>
      </c>
    </row>
    <row r="71" spans="1:8" ht="15" customHeight="1" x14ac:dyDescent="0.3">
      <c r="A71" s="183"/>
      <c r="B71" s="56" t="s">
        <v>33</v>
      </c>
      <c r="C71" s="57">
        <v>195359</v>
      </c>
      <c r="D71" s="58">
        <v>169710</v>
      </c>
      <c r="E71" s="59">
        <f t="shared" si="0"/>
        <v>365069</v>
      </c>
    </row>
    <row r="72" spans="1:8" ht="15" customHeight="1" x14ac:dyDescent="0.3">
      <c r="A72" s="183"/>
      <c r="B72" s="104" t="s">
        <v>40</v>
      </c>
      <c r="C72" s="105">
        <v>22782</v>
      </c>
      <c r="D72" s="106">
        <v>22489</v>
      </c>
      <c r="E72" s="107">
        <f t="shared" si="0"/>
        <v>45271</v>
      </c>
    </row>
    <row r="73" spans="1:8" ht="15" customHeight="1" x14ac:dyDescent="0.3">
      <c r="A73" s="183"/>
      <c r="B73" s="56" t="s">
        <v>34</v>
      </c>
      <c r="C73" s="57">
        <v>229029</v>
      </c>
      <c r="D73" s="58">
        <v>230206</v>
      </c>
      <c r="E73" s="59">
        <f t="shared" si="0"/>
        <v>459235</v>
      </c>
    </row>
    <row r="74" spans="1:8" ht="15" customHeight="1" x14ac:dyDescent="0.3">
      <c r="A74" s="183"/>
      <c r="B74" s="104" t="s">
        <v>35</v>
      </c>
      <c r="C74" s="105">
        <v>183028</v>
      </c>
      <c r="D74" s="106">
        <v>165823</v>
      </c>
      <c r="E74" s="107">
        <f t="shared" si="0"/>
        <v>348851</v>
      </c>
    </row>
    <row r="75" spans="1:8" ht="15" customHeight="1" x14ac:dyDescent="0.3">
      <c r="A75" s="183"/>
      <c r="B75" s="56" t="s">
        <v>36</v>
      </c>
      <c r="C75" s="57">
        <v>9927</v>
      </c>
      <c r="D75" s="58">
        <v>10556</v>
      </c>
      <c r="E75" s="59">
        <f t="shared" si="0"/>
        <v>20483</v>
      </c>
    </row>
    <row r="76" spans="1:8" ht="15" customHeight="1" x14ac:dyDescent="0.3">
      <c r="A76" s="183"/>
      <c r="B76" s="104" t="s">
        <v>37</v>
      </c>
      <c r="C76" s="105">
        <v>2931129</v>
      </c>
      <c r="D76" s="106">
        <v>3033158</v>
      </c>
      <c r="E76" s="107">
        <f t="shared" si="0"/>
        <v>5964287</v>
      </c>
    </row>
    <row r="77" spans="1:8" ht="15" customHeight="1" x14ac:dyDescent="0.3">
      <c r="A77" s="183"/>
      <c r="B77" s="56" t="s">
        <v>7</v>
      </c>
      <c r="C77" s="57">
        <v>2893336</v>
      </c>
      <c r="D77" s="58">
        <v>2948542</v>
      </c>
      <c r="E77" s="59">
        <f t="shared" si="0"/>
        <v>5841878</v>
      </c>
    </row>
    <row r="78" spans="1:8" ht="15" customHeight="1" x14ac:dyDescent="0.3">
      <c r="A78" s="183"/>
      <c r="B78" s="104" t="s">
        <v>38</v>
      </c>
      <c r="C78" s="105">
        <v>3033158</v>
      </c>
      <c r="D78" s="106">
        <v>2931129</v>
      </c>
      <c r="E78" s="107">
        <f t="shared" si="0"/>
        <v>5964287</v>
      </c>
    </row>
    <row r="79" spans="1:8" ht="15" customHeight="1" x14ac:dyDescent="0.3">
      <c r="A79" s="183"/>
      <c r="B79" s="56" t="s">
        <v>39</v>
      </c>
      <c r="C79" s="57">
        <v>1196</v>
      </c>
      <c r="D79" s="58">
        <v>1198</v>
      </c>
      <c r="E79" s="59">
        <f t="shared" si="0"/>
        <v>2394</v>
      </c>
    </row>
    <row r="80" spans="1:8" ht="15" customHeight="1" x14ac:dyDescent="0.3">
      <c r="A80" s="183"/>
      <c r="B80" s="104" t="s">
        <v>41</v>
      </c>
      <c r="C80" s="105">
        <v>227122</v>
      </c>
      <c r="D80" s="106">
        <v>256195</v>
      </c>
      <c r="E80" s="107">
        <f t="shared" si="0"/>
        <v>483317</v>
      </c>
    </row>
    <row r="81" spans="1:5" ht="15" customHeight="1" x14ac:dyDescent="0.3">
      <c r="A81" s="183"/>
      <c r="B81" s="56" t="s">
        <v>42</v>
      </c>
      <c r="C81" s="57">
        <v>627221</v>
      </c>
      <c r="D81" s="58">
        <v>623410</v>
      </c>
      <c r="E81" s="59">
        <f t="shared" si="0"/>
        <v>1250631</v>
      </c>
    </row>
    <row r="82" spans="1:5" ht="15" customHeight="1" x14ac:dyDescent="0.3">
      <c r="A82" s="183"/>
      <c r="B82" s="104" t="s">
        <v>43</v>
      </c>
      <c r="C82" s="105"/>
      <c r="D82" s="106"/>
      <c r="E82" s="107">
        <f t="shared" si="0"/>
        <v>0</v>
      </c>
    </row>
    <row r="83" spans="1:5" ht="15" customHeight="1" x14ac:dyDescent="0.3">
      <c r="A83" s="183"/>
      <c r="B83" s="56" t="s">
        <v>44</v>
      </c>
      <c r="C83" s="57"/>
      <c r="D83" s="58"/>
      <c r="E83" s="59">
        <f t="shared" si="0"/>
        <v>0</v>
      </c>
    </row>
    <row r="84" spans="1:5" ht="15" customHeight="1" x14ac:dyDescent="0.3">
      <c r="A84" s="183"/>
      <c r="B84" s="104" t="s">
        <v>45</v>
      </c>
      <c r="C84" s="105">
        <v>92455</v>
      </c>
      <c r="D84" s="106">
        <v>90876</v>
      </c>
      <c r="E84" s="107">
        <f t="shared" si="0"/>
        <v>183331</v>
      </c>
    </row>
    <row r="85" spans="1:5" ht="15" customHeight="1" x14ac:dyDescent="0.3">
      <c r="A85" s="183"/>
      <c r="B85" s="56" t="s">
        <v>46</v>
      </c>
      <c r="C85" s="57">
        <v>81419</v>
      </c>
      <c r="D85" s="58">
        <v>85390</v>
      </c>
      <c r="E85" s="59">
        <f t="shared" si="0"/>
        <v>166809</v>
      </c>
    </row>
    <row r="86" spans="1:5" ht="15" customHeight="1" x14ac:dyDescent="0.3">
      <c r="A86" s="183"/>
      <c r="B86" s="104" t="s">
        <v>47</v>
      </c>
      <c r="C86" s="105">
        <v>165823</v>
      </c>
      <c r="D86" s="106">
        <v>183028</v>
      </c>
      <c r="E86" s="107">
        <f t="shared" si="0"/>
        <v>348851</v>
      </c>
    </row>
    <row r="87" spans="1:5" ht="15" customHeight="1" x14ac:dyDescent="0.3">
      <c r="A87" s="183"/>
      <c r="B87" s="56" t="s">
        <v>48</v>
      </c>
      <c r="C87" s="57">
        <v>44369</v>
      </c>
      <c r="D87" s="58">
        <v>41506</v>
      </c>
      <c r="E87" s="59">
        <f t="shared" si="0"/>
        <v>85875</v>
      </c>
    </row>
    <row r="88" spans="1:5" ht="15" customHeight="1" thickBot="1" x14ac:dyDescent="0.35">
      <c r="A88" s="184"/>
      <c r="B88" s="108" t="s">
        <v>128</v>
      </c>
      <c r="C88" s="109">
        <f>SUM(C67:C87)</f>
        <v>11546919</v>
      </c>
      <c r="D88" s="109">
        <f>SUM(D67:D87)</f>
        <v>11580380</v>
      </c>
      <c r="E88" s="111">
        <f t="shared" si="0"/>
        <v>23127299</v>
      </c>
    </row>
    <row r="89" spans="1:5" ht="15" customHeight="1" x14ac:dyDescent="0.3">
      <c r="A89" s="182">
        <v>2020</v>
      </c>
      <c r="B89" s="52" t="s">
        <v>29</v>
      </c>
      <c r="C89" s="53">
        <v>437890</v>
      </c>
      <c r="D89" s="54">
        <v>432040</v>
      </c>
      <c r="E89" s="55">
        <v>1572518</v>
      </c>
    </row>
    <row r="90" spans="1:5" ht="15" customHeight="1" x14ac:dyDescent="0.3">
      <c r="A90" s="183"/>
      <c r="B90" s="104" t="s">
        <v>30</v>
      </c>
      <c r="C90" s="105"/>
      <c r="D90" s="106"/>
      <c r="E90" s="107">
        <v>33138</v>
      </c>
    </row>
    <row r="91" spans="1:5" ht="15" customHeight="1" x14ac:dyDescent="0.3">
      <c r="A91" s="183"/>
      <c r="B91" s="56" t="s">
        <v>31</v>
      </c>
      <c r="C91" s="57">
        <v>141214</v>
      </c>
      <c r="D91" s="58">
        <v>134946</v>
      </c>
      <c r="E91" s="59">
        <v>361193</v>
      </c>
    </row>
    <row r="92" spans="1:5" ht="15" customHeight="1" x14ac:dyDescent="0.3">
      <c r="A92" s="183"/>
      <c r="B92" s="104" t="s">
        <v>32</v>
      </c>
      <c r="C92" s="105">
        <v>100066</v>
      </c>
      <c r="D92" s="106">
        <v>101425</v>
      </c>
      <c r="E92" s="107">
        <v>302005</v>
      </c>
    </row>
    <row r="93" spans="1:5" ht="15" customHeight="1" x14ac:dyDescent="0.3">
      <c r="A93" s="183"/>
      <c r="B93" s="56" t="s">
        <v>33</v>
      </c>
      <c r="C93" s="57">
        <v>149241</v>
      </c>
      <c r="D93" s="58">
        <v>156593</v>
      </c>
      <c r="E93" s="59">
        <v>503081</v>
      </c>
    </row>
    <row r="94" spans="1:5" ht="15" customHeight="1" x14ac:dyDescent="0.3">
      <c r="A94" s="183"/>
      <c r="B94" s="104" t="s">
        <v>40</v>
      </c>
      <c r="C94" s="105">
        <v>18009</v>
      </c>
      <c r="D94" s="106">
        <v>15970</v>
      </c>
      <c r="E94" s="107">
        <v>47858</v>
      </c>
    </row>
    <row r="95" spans="1:5" ht="15" customHeight="1" x14ac:dyDescent="0.3">
      <c r="A95" s="183"/>
      <c r="B95" s="56" t="s">
        <v>34</v>
      </c>
      <c r="C95" s="57">
        <v>174713</v>
      </c>
      <c r="D95" s="58">
        <v>172916</v>
      </c>
      <c r="E95" s="59">
        <v>470787</v>
      </c>
    </row>
    <row r="96" spans="1:5" ht="15" customHeight="1" x14ac:dyDescent="0.3">
      <c r="A96" s="183"/>
      <c r="B96" s="104" t="s">
        <v>35</v>
      </c>
      <c r="C96" s="105">
        <v>179083</v>
      </c>
      <c r="D96" s="106">
        <v>163204</v>
      </c>
      <c r="E96" s="107">
        <v>461518</v>
      </c>
    </row>
    <row r="97" spans="1:5" ht="15" customHeight="1" x14ac:dyDescent="0.3">
      <c r="A97" s="183"/>
      <c r="B97" s="56" t="s">
        <v>36</v>
      </c>
      <c r="C97" s="57">
        <v>8444</v>
      </c>
      <c r="D97" s="58">
        <v>8680</v>
      </c>
      <c r="E97" s="59">
        <v>38276</v>
      </c>
    </row>
    <row r="98" spans="1:5" ht="15" customHeight="1" x14ac:dyDescent="0.3">
      <c r="A98" s="183"/>
      <c r="B98" s="104" t="s">
        <v>37</v>
      </c>
      <c r="C98" s="105">
        <v>2819034</v>
      </c>
      <c r="D98" s="106">
        <v>2911231</v>
      </c>
      <c r="E98" s="107">
        <v>6938693</v>
      </c>
    </row>
    <row r="99" spans="1:5" ht="15" customHeight="1" x14ac:dyDescent="0.3">
      <c r="A99" s="183"/>
      <c r="B99" s="56" t="s">
        <v>7</v>
      </c>
      <c r="C99" s="57">
        <v>2119642</v>
      </c>
      <c r="D99" s="58">
        <v>2227212</v>
      </c>
      <c r="E99" s="59">
        <v>8868803</v>
      </c>
    </row>
    <row r="100" spans="1:5" ht="15" customHeight="1" x14ac:dyDescent="0.3">
      <c r="A100" s="183"/>
      <c r="B100" s="104" t="s">
        <v>38</v>
      </c>
      <c r="C100" s="105">
        <v>2911231</v>
      </c>
      <c r="D100" s="106">
        <v>2819034</v>
      </c>
      <c r="E100" s="107">
        <v>6938693</v>
      </c>
    </row>
    <row r="101" spans="1:5" ht="15" customHeight="1" x14ac:dyDescent="0.3">
      <c r="A101" s="183"/>
      <c r="B101" s="56" t="s">
        <v>39</v>
      </c>
      <c r="C101" s="57">
        <v>1039</v>
      </c>
      <c r="D101" s="58">
        <v>1015</v>
      </c>
      <c r="E101" s="59">
        <v>2778</v>
      </c>
    </row>
    <row r="102" spans="1:5" ht="15" customHeight="1" x14ac:dyDescent="0.3">
      <c r="A102" s="183"/>
      <c r="B102" s="104" t="s">
        <v>41</v>
      </c>
      <c r="C102" s="105">
        <v>191274</v>
      </c>
      <c r="D102" s="106">
        <v>182833</v>
      </c>
      <c r="E102" s="107">
        <v>687953</v>
      </c>
    </row>
    <row r="103" spans="1:5" ht="15" customHeight="1" x14ac:dyDescent="0.3">
      <c r="A103" s="183"/>
      <c r="B103" s="56" t="s">
        <v>42</v>
      </c>
      <c r="C103" s="57">
        <v>428776</v>
      </c>
      <c r="D103" s="58">
        <v>434859</v>
      </c>
      <c r="E103" s="59">
        <v>2004392</v>
      </c>
    </row>
    <row r="104" spans="1:5" ht="15" customHeight="1" x14ac:dyDescent="0.3">
      <c r="A104" s="183"/>
      <c r="B104" s="104" t="s">
        <v>43</v>
      </c>
      <c r="C104" s="105"/>
      <c r="D104" s="106"/>
      <c r="E104" s="107">
        <v>0</v>
      </c>
    </row>
    <row r="105" spans="1:5" ht="15" customHeight="1" x14ac:dyDescent="0.3">
      <c r="A105" s="183"/>
      <c r="B105" s="56" t="s">
        <v>44</v>
      </c>
      <c r="C105" s="57"/>
      <c r="D105" s="58"/>
      <c r="E105" s="59">
        <v>78390</v>
      </c>
    </row>
    <row r="106" spans="1:5" ht="15" customHeight="1" x14ac:dyDescent="0.3">
      <c r="A106" s="183"/>
      <c r="B106" s="104" t="s">
        <v>45</v>
      </c>
      <c r="C106" s="105">
        <v>64845</v>
      </c>
      <c r="D106" s="106">
        <v>65436</v>
      </c>
      <c r="E106" s="107">
        <v>224247</v>
      </c>
    </row>
    <row r="107" spans="1:5" ht="15" customHeight="1" x14ac:dyDescent="0.3">
      <c r="A107" s="183"/>
      <c r="B107" s="56" t="s">
        <v>46</v>
      </c>
      <c r="C107" s="57">
        <v>48376</v>
      </c>
      <c r="D107" s="58">
        <v>49458</v>
      </c>
      <c r="E107" s="59">
        <v>228941</v>
      </c>
    </row>
    <row r="108" spans="1:5" ht="15" customHeight="1" x14ac:dyDescent="0.3">
      <c r="A108" s="183"/>
      <c r="B108" s="104" t="s">
        <v>47</v>
      </c>
      <c r="C108" s="105">
        <v>163204</v>
      </c>
      <c r="D108" s="106">
        <v>179083</v>
      </c>
      <c r="E108" s="107">
        <v>461518</v>
      </c>
    </row>
    <row r="109" spans="1:5" ht="15" customHeight="1" x14ac:dyDescent="0.3">
      <c r="A109" s="183"/>
      <c r="B109" s="56" t="s">
        <v>48</v>
      </c>
      <c r="C109" s="57">
        <v>42953</v>
      </c>
      <c r="D109" s="58">
        <v>39837</v>
      </c>
      <c r="E109" s="59">
        <v>109925</v>
      </c>
    </row>
    <row r="110" spans="1:5" ht="15" customHeight="1" thickBot="1" x14ac:dyDescent="0.35">
      <c r="A110" s="184"/>
      <c r="B110" s="108" t="s">
        <v>128</v>
      </c>
      <c r="C110" s="109">
        <f>SUM(C89:C109)</f>
        <v>9999034</v>
      </c>
      <c r="D110" s="110">
        <f>SUM(D89:D109)</f>
        <v>10095772</v>
      </c>
      <c r="E110" s="111">
        <f>SUM(C110:D110)</f>
        <v>20094806</v>
      </c>
    </row>
    <row r="111" spans="1:5" ht="15" customHeight="1" x14ac:dyDescent="0.3">
      <c r="A111" s="182">
        <v>2019</v>
      </c>
      <c r="B111" s="52" t="s">
        <v>29</v>
      </c>
      <c r="C111" s="53">
        <v>782118</v>
      </c>
      <c r="D111" s="54">
        <v>790400</v>
      </c>
      <c r="E111" s="55">
        <v>1572518</v>
      </c>
    </row>
    <row r="112" spans="1:5" ht="15" customHeight="1" x14ac:dyDescent="0.3">
      <c r="A112" s="183"/>
      <c r="B112" s="104" t="s">
        <v>30</v>
      </c>
      <c r="C112" s="105">
        <v>16814</v>
      </c>
      <c r="D112" s="106">
        <v>16324</v>
      </c>
      <c r="E112" s="107">
        <v>33138</v>
      </c>
    </row>
    <row r="113" spans="1:5" ht="15" customHeight="1" x14ac:dyDescent="0.3">
      <c r="A113" s="183"/>
      <c r="B113" s="56" t="s">
        <v>31</v>
      </c>
      <c r="C113" s="57">
        <v>185924</v>
      </c>
      <c r="D113" s="58">
        <v>175269</v>
      </c>
      <c r="E113" s="59">
        <v>361193</v>
      </c>
    </row>
    <row r="114" spans="1:5" ht="15" customHeight="1" x14ac:dyDescent="0.3">
      <c r="A114" s="183"/>
      <c r="B114" s="104" t="s">
        <v>32</v>
      </c>
      <c r="C114" s="105">
        <v>150781</v>
      </c>
      <c r="D114" s="106">
        <v>151224</v>
      </c>
      <c r="E114" s="107">
        <v>302005</v>
      </c>
    </row>
    <row r="115" spans="1:5" ht="15" customHeight="1" x14ac:dyDescent="0.3">
      <c r="A115" s="183"/>
      <c r="B115" s="56" t="s">
        <v>33</v>
      </c>
      <c r="C115" s="57">
        <v>254974</v>
      </c>
      <c r="D115" s="58">
        <v>248107</v>
      </c>
      <c r="E115" s="59">
        <v>503081</v>
      </c>
    </row>
    <row r="116" spans="1:5" ht="15" customHeight="1" x14ac:dyDescent="0.3">
      <c r="A116" s="183"/>
      <c r="B116" s="104" t="s">
        <v>40</v>
      </c>
      <c r="C116" s="105">
        <v>25308</v>
      </c>
      <c r="D116" s="106">
        <v>22550</v>
      </c>
      <c r="E116" s="107">
        <v>47858</v>
      </c>
    </row>
    <row r="117" spans="1:5" ht="15" customHeight="1" x14ac:dyDescent="0.3">
      <c r="A117" s="183"/>
      <c r="B117" s="56" t="s">
        <v>34</v>
      </c>
      <c r="C117" s="57">
        <v>236295</v>
      </c>
      <c r="D117" s="58">
        <v>234492</v>
      </c>
      <c r="E117" s="59">
        <v>470787</v>
      </c>
    </row>
    <row r="118" spans="1:5" ht="15" customHeight="1" x14ac:dyDescent="0.3">
      <c r="A118" s="183"/>
      <c r="B118" s="104" t="s">
        <v>35</v>
      </c>
      <c r="C118" s="105">
        <v>239333</v>
      </c>
      <c r="D118" s="106">
        <v>222185</v>
      </c>
      <c r="E118" s="107">
        <v>461518</v>
      </c>
    </row>
    <row r="119" spans="1:5" ht="15" customHeight="1" x14ac:dyDescent="0.3">
      <c r="A119" s="183"/>
      <c r="B119" s="56" t="s">
        <v>36</v>
      </c>
      <c r="C119" s="57">
        <v>19248</v>
      </c>
      <c r="D119" s="58">
        <v>19028</v>
      </c>
      <c r="E119" s="59">
        <v>38276</v>
      </c>
    </row>
    <row r="120" spans="1:5" ht="15" customHeight="1" x14ac:dyDescent="0.3">
      <c r="A120" s="183"/>
      <c r="B120" s="104" t="s">
        <v>37</v>
      </c>
      <c r="C120" s="105">
        <v>3412005</v>
      </c>
      <c r="D120" s="106">
        <v>3526688</v>
      </c>
      <c r="E120" s="107">
        <v>6938693</v>
      </c>
    </row>
    <row r="121" spans="1:5" ht="15" customHeight="1" x14ac:dyDescent="0.3">
      <c r="A121" s="183"/>
      <c r="B121" s="56" t="s">
        <v>7</v>
      </c>
      <c r="C121" s="57">
        <v>4389948</v>
      </c>
      <c r="D121" s="58">
        <v>4478855</v>
      </c>
      <c r="E121" s="59">
        <v>8868803</v>
      </c>
    </row>
    <row r="122" spans="1:5" ht="15" customHeight="1" x14ac:dyDescent="0.3">
      <c r="A122" s="183"/>
      <c r="B122" s="104" t="s">
        <v>38</v>
      </c>
      <c r="C122" s="105">
        <v>3526688</v>
      </c>
      <c r="D122" s="106">
        <v>3412005</v>
      </c>
      <c r="E122" s="107">
        <v>6938693</v>
      </c>
    </row>
    <row r="123" spans="1:5" ht="15" customHeight="1" x14ac:dyDescent="0.3">
      <c r="A123" s="183"/>
      <c r="B123" s="56" t="s">
        <v>39</v>
      </c>
      <c r="C123" s="57">
        <v>1515</v>
      </c>
      <c r="D123" s="58">
        <v>1263</v>
      </c>
      <c r="E123" s="59">
        <v>2778</v>
      </c>
    </row>
    <row r="124" spans="1:5" ht="15" customHeight="1" x14ac:dyDescent="0.3">
      <c r="A124" s="183"/>
      <c r="B124" s="104" t="s">
        <v>41</v>
      </c>
      <c r="C124" s="105">
        <v>339589</v>
      </c>
      <c r="D124" s="106">
        <v>348364</v>
      </c>
      <c r="E124" s="107">
        <v>687953</v>
      </c>
    </row>
    <row r="125" spans="1:5" ht="15" customHeight="1" x14ac:dyDescent="0.3">
      <c r="A125" s="183"/>
      <c r="B125" s="56" t="s">
        <v>42</v>
      </c>
      <c r="C125" s="57">
        <v>981946</v>
      </c>
      <c r="D125" s="58">
        <v>1022446</v>
      </c>
      <c r="E125" s="59">
        <v>2004392</v>
      </c>
    </row>
    <row r="126" spans="1:5" ht="15" customHeight="1" x14ac:dyDescent="0.3">
      <c r="A126" s="183"/>
      <c r="B126" s="104" t="s">
        <v>43</v>
      </c>
      <c r="C126" s="105">
        <v>0</v>
      </c>
      <c r="D126" s="106">
        <v>0</v>
      </c>
      <c r="E126" s="107">
        <v>0</v>
      </c>
    </row>
    <row r="127" spans="1:5" ht="15" customHeight="1" x14ac:dyDescent="0.3">
      <c r="A127" s="183"/>
      <c r="B127" s="56" t="s">
        <v>44</v>
      </c>
      <c r="C127" s="57">
        <v>39154</v>
      </c>
      <c r="D127" s="58">
        <v>39236</v>
      </c>
      <c r="E127" s="59">
        <v>78390</v>
      </c>
    </row>
    <row r="128" spans="1:5" ht="15" customHeight="1" x14ac:dyDescent="0.3">
      <c r="A128" s="183"/>
      <c r="B128" s="104" t="s">
        <v>45</v>
      </c>
      <c r="C128" s="105">
        <v>111955</v>
      </c>
      <c r="D128" s="106">
        <v>112292</v>
      </c>
      <c r="E128" s="107">
        <v>224247</v>
      </c>
    </row>
    <row r="129" spans="1:5" ht="15" customHeight="1" x14ac:dyDescent="0.3">
      <c r="A129" s="183"/>
      <c r="B129" s="56" t="s">
        <v>46</v>
      </c>
      <c r="C129" s="57">
        <v>113584</v>
      </c>
      <c r="D129" s="58">
        <v>115357</v>
      </c>
      <c r="E129" s="59">
        <v>228941</v>
      </c>
    </row>
    <row r="130" spans="1:5" ht="15" customHeight="1" x14ac:dyDescent="0.3">
      <c r="A130" s="183"/>
      <c r="B130" s="104" t="s">
        <v>47</v>
      </c>
      <c r="C130" s="105">
        <v>222185</v>
      </c>
      <c r="D130" s="106">
        <v>239333</v>
      </c>
      <c r="E130" s="107">
        <v>461518</v>
      </c>
    </row>
    <row r="131" spans="1:5" ht="15" customHeight="1" x14ac:dyDescent="0.3">
      <c r="A131" s="183"/>
      <c r="B131" s="56" t="s">
        <v>48</v>
      </c>
      <c r="C131" s="57">
        <v>56120</v>
      </c>
      <c r="D131" s="58">
        <v>53805</v>
      </c>
      <c r="E131" s="59">
        <v>109925</v>
      </c>
    </row>
    <row r="132" spans="1:5" ht="15" customHeight="1" thickBot="1" x14ac:dyDescent="0.35">
      <c r="A132" s="184"/>
      <c r="B132" s="108" t="s">
        <v>128</v>
      </c>
      <c r="C132" s="109">
        <f>SUM(C111:C131)</f>
        <v>15105484</v>
      </c>
      <c r="D132" s="109">
        <f t="shared" ref="D132:E132" si="1">SUM(D111:D131)</f>
        <v>15229223</v>
      </c>
      <c r="E132" s="109">
        <f t="shared" si="1"/>
        <v>30334707</v>
      </c>
    </row>
    <row r="133" spans="1:5" ht="15" customHeight="1" x14ac:dyDescent="0.3">
      <c r="A133" s="182">
        <v>2018</v>
      </c>
      <c r="B133" s="52" t="s">
        <v>29</v>
      </c>
      <c r="C133" s="53">
        <v>802770</v>
      </c>
      <c r="D133" s="54">
        <v>803874</v>
      </c>
      <c r="E133" s="55">
        <v>1606644</v>
      </c>
    </row>
    <row r="134" spans="1:5" ht="15" customHeight="1" x14ac:dyDescent="0.3">
      <c r="A134" s="183"/>
      <c r="B134" s="104" t="s">
        <v>30</v>
      </c>
      <c r="C134" s="105">
        <v>18794</v>
      </c>
      <c r="D134" s="106">
        <v>19008</v>
      </c>
      <c r="E134" s="107">
        <v>37802</v>
      </c>
    </row>
    <row r="135" spans="1:5" ht="15" customHeight="1" x14ac:dyDescent="0.3">
      <c r="A135" s="183"/>
      <c r="B135" s="56" t="s">
        <v>31</v>
      </c>
      <c r="C135" s="57">
        <v>178259</v>
      </c>
      <c r="D135" s="58">
        <v>169281</v>
      </c>
      <c r="E135" s="59">
        <v>347540</v>
      </c>
    </row>
    <row r="136" spans="1:5" ht="15" customHeight="1" x14ac:dyDescent="0.3">
      <c r="A136" s="183"/>
      <c r="B136" s="104" t="s">
        <v>32</v>
      </c>
      <c r="C136" s="105">
        <v>147505</v>
      </c>
      <c r="D136" s="106">
        <v>141426</v>
      </c>
      <c r="E136" s="107">
        <v>288931</v>
      </c>
    </row>
    <row r="137" spans="1:5" ht="15" customHeight="1" x14ac:dyDescent="0.3">
      <c r="A137" s="183"/>
      <c r="B137" s="56" t="s">
        <v>33</v>
      </c>
      <c r="C137" s="57">
        <v>260168</v>
      </c>
      <c r="D137" s="58">
        <v>251773</v>
      </c>
      <c r="E137" s="59">
        <v>511941</v>
      </c>
    </row>
    <row r="138" spans="1:5" ht="15" customHeight="1" x14ac:dyDescent="0.3">
      <c r="A138" s="183"/>
      <c r="B138" s="104" t="s">
        <v>40</v>
      </c>
      <c r="C138" s="105">
        <v>14207</v>
      </c>
      <c r="D138" s="106">
        <v>14513</v>
      </c>
      <c r="E138" s="107">
        <v>28720</v>
      </c>
    </row>
    <row r="139" spans="1:5" ht="15" customHeight="1" x14ac:dyDescent="0.3">
      <c r="A139" s="183"/>
      <c r="B139" s="56" t="s">
        <v>34</v>
      </c>
      <c r="C139" s="57">
        <v>234718</v>
      </c>
      <c r="D139" s="58">
        <v>234244</v>
      </c>
      <c r="E139" s="59">
        <v>468962</v>
      </c>
    </row>
    <row r="140" spans="1:5" ht="15" customHeight="1" x14ac:dyDescent="0.3">
      <c r="A140" s="183"/>
      <c r="B140" s="104" t="s">
        <v>35</v>
      </c>
      <c r="C140" s="105">
        <v>235750</v>
      </c>
      <c r="D140" s="106">
        <v>215912</v>
      </c>
      <c r="E140" s="107">
        <v>451662</v>
      </c>
    </row>
    <row r="141" spans="1:5" ht="15" customHeight="1" x14ac:dyDescent="0.3">
      <c r="A141" s="183"/>
      <c r="B141" s="56" t="s">
        <v>36</v>
      </c>
      <c r="C141" s="57">
        <v>17444</v>
      </c>
      <c r="D141" s="58">
        <v>17355</v>
      </c>
      <c r="E141" s="59">
        <v>34799</v>
      </c>
    </row>
    <row r="142" spans="1:5" ht="15" customHeight="1" x14ac:dyDescent="0.3">
      <c r="A142" s="183"/>
      <c r="B142" s="104" t="s">
        <v>37</v>
      </c>
      <c r="C142" s="105">
        <v>3318398</v>
      </c>
      <c r="D142" s="106">
        <v>3427329</v>
      </c>
      <c r="E142" s="107">
        <v>6745727</v>
      </c>
    </row>
    <row r="143" spans="1:5" ht="15" customHeight="1" x14ac:dyDescent="0.3">
      <c r="A143" s="183"/>
      <c r="B143" s="56" t="s">
        <v>7</v>
      </c>
      <c r="C143" s="57">
        <v>4229316</v>
      </c>
      <c r="D143" s="58">
        <v>4334337</v>
      </c>
      <c r="E143" s="59">
        <f>SUM(C143:D143)</f>
        <v>8563653</v>
      </c>
    </row>
    <row r="144" spans="1:5" ht="15" customHeight="1" x14ac:dyDescent="0.3">
      <c r="A144" s="183"/>
      <c r="B144" s="104" t="s">
        <v>38</v>
      </c>
      <c r="C144" s="105">
        <v>3427329</v>
      </c>
      <c r="D144" s="106">
        <v>3318398</v>
      </c>
      <c r="E144" s="107">
        <v>6745727</v>
      </c>
    </row>
    <row r="145" spans="1:6" ht="15" customHeight="1" x14ac:dyDescent="0.3">
      <c r="A145" s="183"/>
      <c r="B145" s="56" t="s">
        <v>39</v>
      </c>
      <c r="C145" s="57">
        <v>923</v>
      </c>
      <c r="D145" s="58">
        <v>929</v>
      </c>
      <c r="E145" s="59">
        <v>1852</v>
      </c>
    </row>
    <row r="146" spans="1:6" ht="15" customHeight="1" x14ac:dyDescent="0.3">
      <c r="A146" s="183"/>
      <c r="B146" s="104" t="s">
        <v>41</v>
      </c>
      <c r="C146" s="105">
        <v>343636</v>
      </c>
      <c r="D146" s="106">
        <v>352201</v>
      </c>
      <c r="E146" s="107">
        <v>695837</v>
      </c>
    </row>
    <row r="147" spans="1:6" ht="15" customHeight="1" x14ac:dyDescent="0.3">
      <c r="A147" s="183"/>
      <c r="B147" s="56" t="s">
        <v>42</v>
      </c>
      <c r="C147" s="57">
        <v>971863</v>
      </c>
      <c r="D147" s="58">
        <v>991800</v>
      </c>
      <c r="E147" s="59">
        <v>1963663</v>
      </c>
    </row>
    <row r="148" spans="1:6" ht="15" customHeight="1" x14ac:dyDescent="0.3">
      <c r="A148" s="183"/>
      <c r="B148" s="104" t="s">
        <v>43</v>
      </c>
      <c r="C148" s="105">
        <v>0</v>
      </c>
      <c r="D148" s="106">
        <v>0</v>
      </c>
      <c r="E148" s="107">
        <v>0</v>
      </c>
    </row>
    <row r="149" spans="1:6" ht="15" customHeight="1" x14ac:dyDescent="0.3">
      <c r="A149" s="183"/>
      <c r="B149" s="56" t="s">
        <v>44</v>
      </c>
      <c r="C149" s="57">
        <v>10017</v>
      </c>
      <c r="D149" s="58">
        <v>11739</v>
      </c>
      <c r="E149" s="59">
        <v>21756</v>
      </c>
    </row>
    <row r="150" spans="1:6" ht="15" customHeight="1" x14ac:dyDescent="0.3">
      <c r="A150" s="183"/>
      <c r="B150" s="104" t="s">
        <v>45</v>
      </c>
      <c r="C150" s="105">
        <v>129621</v>
      </c>
      <c r="D150" s="106">
        <v>129373</v>
      </c>
      <c r="E150" s="107">
        <v>258994</v>
      </c>
    </row>
    <row r="151" spans="1:6" ht="15" customHeight="1" x14ac:dyDescent="0.3">
      <c r="A151" s="183"/>
      <c r="B151" s="56" t="s">
        <v>46</v>
      </c>
      <c r="C151" s="57">
        <v>129940</v>
      </c>
      <c r="D151" s="58">
        <v>131593</v>
      </c>
      <c r="E151" s="59">
        <v>261533</v>
      </c>
    </row>
    <row r="152" spans="1:6" ht="15" customHeight="1" x14ac:dyDescent="0.3">
      <c r="A152" s="183"/>
      <c r="B152" s="104" t="s">
        <v>47</v>
      </c>
      <c r="C152" s="105">
        <v>215912</v>
      </c>
      <c r="D152" s="106">
        <v>235750</v>
      </c>
      <c r="E152" s="107">
        <v>451662</v>
      </c>
    </row>
    <row r="153" spans="1:6" ht="15" customHeight="1" x14ac:dyDescent="0.3">
      <c r="A153" s="183"/>
      <c r="B153" s="56" t="s">
        <v>48</v>
      </c>
      <c r="C153" s="57">
        <v>69121</v>
      </c>
      <c r="D153" s="58">
        <v>65416</v>
      </c>
      <c r="E153" s="59">
        <v>134537</v>
      </c>
    </row>
    <row r="154" spans="1:6" ht="15" customHeight="1" thickBot="1" x14ac:dyDescent="0.35">
      <c r="A154" s="184"/>
      <c r="B154" s="108" t="s">
        <v>128</v>
      </c>
      <c r="C154" s="109">
        <f>SUM(C133:C153)</f>
        <v>14755691</v>
      </c>
      <c r="D154" s="110">
        <f>SUM(D133:D153)</f>
        <v>14866251</v>
      </c>
      <c r="E154" s="111">
        <f>SUM(C154:D154)</f>
        <v>29621942</v>
      </c>
    </row>
    <row r="155" spans="1:6" ht="15" customHeight="1" x14ac:dyDescent="0.3">
      <c r="A155" s="182">
        <v>2017</v>
      </c>
      <c r="B155" s="52" t="s">
        <v>29</v>
      </c>
      <c r="C155" s="53">
        <v>745031</v>
      </c>
      <c r="D155" s="54">
        <v>744015</v>
      </c>
      <c r="E155" s="55">
        <f>SUM(C155:D155)</f>
        <v>1489046</v>
      </c>
      <c r="F155" s="60"/>
    </row>
    <row r="156" spans="1:6" ht="15" customHeight="1" x14ac:dyDescent="0.3">
      <c r="A156" s="183"/>
      <c r="B156" s="104" t="s">
        <v>30</v>
      </c>
      <c r="C156" s="105">
        <v>18595</v>
      </c>
      <c r="D156" s="106">
        <v>18892</v>
      </c>
      <c r="E156" s="107">
        <f>SUM(C156:D156)</f>
        <v>37487</v>
      </c>
      <c r="F156" s="60"/>
    </row>
    <row r="157" spans="1:6" ht="15" customHeight="1" x14ac:dyDescent="0.3">
      <c r="A157" s="183"/>
      <c r="B157" s="56" t="s">
        <v>31</v>
      </c>
      <c r="C157" s="57">
        <v>178281</v>
      </c>
      <c r="D157" s="58">
        <v>169781</v>
      </c>
      <c r="E157" s="59">
        <f t="shared" ref="E157:E175" si="2">SUM(C157:D157)</f>
        <v>348062</v>
      </c>
      <c r="F157" s="60"/>
    </row>
    <row r="158" spans="1:6" ht="15" customHeight="1" x14ac:dyDescent="0.3">
      <c r="A158" s="183"/>
      <c r="B158" s="104" t="s">
        <v>32</v>
      </c>
      <c r="C158" s="105">
        <v>133740</v>
      </c>
      <c r="D158" s="106">
        <v>131142</v>
      </c>
      <c r="E158" s="107">
        <f t="shared" si="2"/>
        <v>264882</v>
      </c>
      <c r="F158" s="60"/>
    </row>
    <row r="159" spans="1:6" ht="15" customHeight="1" x14ac:dyDescent="0.3">
      <c r="A159" s="183"/>
      <c r="B159" s="56" t="s">
        <v>33</v>
      </c>
      <c r="C159" s="57">
        <v>209091</v>
      </c>
      <c r="D159" s="58">
        <v>207441</v>
      </c>
      <c r="E159" s="59">
        <f t="shared" si="2"/>
        <v>416532</v>
      </c>
      <c r="F159" s="60"/>
    </row>
    <row r="160" spans="1:6" ht="15" customHeight="1" x14ac:dyDescent="0.3">
      <c r="A160" s="183"/>
      <c r="B160" s="104" t="s">
        <v>40</v>
      </c>
      <c r="C160" s="105">
        <v>5103</v>
      </c>
      <c r="D160" s="106">
        <v>3433</v>
      </c>
      <c r="E160" s="107">
        <f t="shared" si="2"/>
        <v>8536</v>
      </c>
      <c r="F160" s="60"/>
    </row>
    <row r="161" spans="1:6" ht="15" customHeight="1" x14ac:dyDescent="0.3">
      <c r="A161" s="183"/>
      <c r="B161" s="56" t="s">
        <v>34</v>
      </c>
      <c r="C161" s="57">
        <v>226291</v>
      </c>
      <c r="D161" s="58">
        <v>226833</v>
      </c>
      <c r="E161" s="59">
        <f t="shared" si="2"/>
        <v>453124</v>
      </c>
      <c r="F161" s="60"/>
    </row>
    <row r="162" spans="1:6" ht="15" customHeight="1" x14ac:dyDescent="0.3">
      <c r="A162" s="183"/>
      <c r="B162" s="104" t="s">
        <v>35</v>
      </c>
      <c r="C162" s="105">
        <v>216758</v>
      </c>
      <c r="D162" s="106">
        <v>235601</v>
      </c>
      <c r="E162" s="107">
        <f t="shared" si="2"/>
        <v>452359</v>
      </c>
      <c r="F162" s="60"/>
    </row>
    <row r="163" spans="1:6" ht="15" customHeight="1" x14ac:dyDescent="0.3">
      <c r="A163" s="183"/>
      <c r="B163" s="56" t="s">
        <v>36</v>
      </c>
      <c r="C163" s="57">
        <v>17419</v>
      </c>
      <c r="D163" s="58">
        <v>17130</v>
      </c>
      <c r="E163" s="59">
        <f t="shared" si="2"/>
        <v>34549</v>
      </c>
      <c r="F163" s="60"/>
    </row>
    <row r="164" spans="1:6" ht="15" customHeight="1" x14ac:dyDescent="0.3">
      <c r="A164" s="183"/>
      <c r="B164" s="104" t="s">
        <v>37</v>
      </c>
      <c r="C164" s="105">
        <v>3406418</v>
      </c>
      <c r="D164" s="106">
        <v>3474631</v>
      </c>
      <c r="E164" s="107">
        <f t="shared" si="2"/>
        <v>6881049</v>
      </c>
      <c r="F164" s="60"/>
    </row>
    <row r="165" spans="1:6" ht="15" customHeight="1" x14ac:dyDescent="0.3">
      <c r="A165" s="183"/>
      <c r="B165" s="56" t="s">
        <v>7</v>
      </c>
      <c r="C165" s="57">
        <v>4075026</v>
      </c>
      <c r="D165" s="58">
        <v>4192535</v>
      </c>
      <c r="E165" s="59">
        <f>SUM(C165:D165)</f>
        <v>8267561</v>
      </c>
      <c r="F165" s="60"/>
    </row>
    <row r="166" spans="1:6" ht="15" customHeight="1" x14ac:dyDescent="0.3">
      <c r="A166" s="183"/>
      <c r="B166" s="104" t="s">
        <v>38</v>
      </c>
      <c r="C166" s="105">
        <v>3474631</v>
      </c>
      <c r="D166" s="106">
        <v>3406418</v>
      </c>
      <c r="E166" s="107">
        <f t="shared" si="2"/>
        <v>6881049</v>
      </c>
      <c r="F166" s="60"/>
    </row>
    <row r="167" spans="1:6" ht="15" customHeight="1" x14ac:dyDescent="0.3">
      <c r="A167" s="183"/>
      <c r="B167" s="56" t="s">
        <v>39</v>
      </c>
      <c r="C167" s="57">
        <v>223</v>
      </c>
      <c r="D167" s="58">
        <v>161</v>
      </c>
      <c r="E167" s="59">
        <f t="shared" si="2"/>
        <v>384</v>
      </c>
      <c r="F167" s="60"/>
    </row>
    <row r="168" spans="1:6" ht="15" customHeight="1" x14ac:dyDescent="0.3">
      <c r="A168" s="183"/>
      <c r="B168" s="104" t="s">
        <v>41</v>
      </c>
      <c r="C168" s="105">
        <v>296268</v>
      </c>
      <c r="D168" s="106">
        <v>298041</v>
      </c>
      <c r="E168" s="107">
        <f t="shared" si="2"/>
        <v>594309</v>
      </c>
      <c r="F168" s="60"/>
    </row>
    <row r="169" spans="1:6" ht="15" customHeight="1" x14ac:dyDescent="0.3">
      <c r="A169" s="183"/>
      <c r="B169" s="56" t="s">
        <v>42</v>
      </c>
      <c r="C169" s="57">
        <v>943968</v>
      </c>
      <c r="D169" s="58">
        <v>959210</v>
      </c>
      <c r="E169" s="59">
        <f t="shared" si="2"/>
        <v>1903178</v>
      </c>
      <c r="F169" s="60"/>
    </row>
    <row r="170" spans="1:6" ht="15" customHeight="1" x14ac:dyDescent="0.3">
      <c r="A170" s="183"/>
      <c r="B170" s="104" t="s">
        <v>43</v>
      </c>
      <c r="C170" s="105">
        <v>0</v>
      </c>
      <c r="D170" s="106">
        <v>0</v>
      </c>
      <c r="E170" s="107">
        <f t="shared" si="2"/>
        <v>0</v>
      </c>
      <c r="F170" s="60"/>
    </row>
    <row r="171" spans="1:6" ht="15" customHeight="1" x14ac:dyDescent="0.3">
      <c r="A171" s="183"/>
      <c r="B171" s="56" t="s">
        <v>44</v>
      </c>
      <c r="C171" s="57">
        <v>12525</v>
      </c>
      <c r="D171" s="58">
        <v>12869</v>
      </c>
      <c r="E171" s="59">
        <f t="shared" si="2"/>
        <v>25394</v>
      </c>
      <c r="F171" s="60"/>
    </row>
    <row r="172" spans="1:6" ht="15" customHeight="1" x14ac:dyDescent="0.3">
      <c r="A172" s="183"/>
      <c r="B172" s="104" t="s">
        <v>45</v>
      </c>
      <c r="C172" s="105">
        <v>126683</v>
      </c>
      <c r="D172" s="106">
        <v>133291</v>
      </c>
      <c r="E172" s="107">
        <f t="shared" si="2"/>
        <v>259974</v>
      </c>
      <c r="F172" s="60"/>
    </row>
    <row r="173" spans="1:6" ht="15" customHeight="1" x14ac:dyDescent="0.3">
      <c r="A173" s="183"/>
      <c r="B173" s="56" t="s">
        <v>46</v>
      </c>
      <c r="C173" s="57">
        <v>120982</v>
      </c>
      <c r="D173" s="58">
        <v>121441</v>
      </c>
      <c r="E173" s="59">
        <f t="shared" si="2"/>
        <v>242423</v>
      </c>
      <c r="F173" s="60"/>
    </row>
    <row r="174" spans="1:6" ht="15" customHeight="1" x14ac:dyDescent="0.3">
      <c r="A174" s="183"/>
      <c r="B174" s="104" t="s">
        <v>47</v>
      </c>
      <c r="C174" s="105">
        <v>216758</v>
      </c>
      <c r="D174" s="106">
        <v>235601</v>
      </c>
      <c r="E174" s="107">
        <f t="shared" si="2"/>
        <v>452359</v>
      </c>
      <c r="F174" s="60"/>
    </row>
    <row r="175" spans="1:6" ht="15" customHeight="1" x14ac:dyDescent="0.3">
      <c r="A175" s="183"/>
      <c r="B175" s="56" t="s">
        <v>48</v>
      </c>
      <c r="C175" s="57">
        <v>62882</v>
      </c>
      <c r="D175" s="58">
        <v>58214</v>
      </c>
      <c r="E175" s="59">
        <f t="shared" si="2"/>
        <v>121096</v>
      </c>
      <c r="F175" s="60"/>
    </row>
    <row r="176" spans="1:6" ht="15" customHeight="1" thickBot="1" x14ac:dyDescent="0.35">
      <c r="A176" s="184"/>
      <c r="B176" s="108" t="s">
        <v>128</v>
      </c>
      <c r="C176" s="109">
        <f>SUM(C155:C175)</f>
        <v>14486673</v>
      </c>
      <c r="D176" s="110">
        <f>SUM(D155:D175)</f>
        <v>14646680</v>
      </c>
      <c r="E176" s="111">
        <f>SUM(C176:D176)</f>
        <v>29133353</v>
      </c>
    </row>
    <row r="177" spans="1:5" ht="15" customHeight="1" x14ac:dyDescent="0.3">
      <c r="A177" s="182">
        <v>2016</v>
      </c>
      <c r="B177" s="52" t="s">
        <v>29</v>
      </c>
      <c r="C177" s="53">
        <v>652334</v>
      </c>
      <c r="D177" s="54">
        <v>624355</v>
      </c>
      <c r="E177" s="55">
        <f>SUM(C177:D177)</f>
        <v>1276689</v>
      </c>
    </row>
    <row r="178" spans="1:5" ht="15" customHeight="1" x14ac:dyDescent="0.3">
      <c r="A178" s="183"/>
      <c r="B178" s="104" t="s">
        <v>30</v>
      </c>
      <c r="C178" s="105">
        <v>10529</v>
      </c>
      <c r="D178" s="106">
        <v>10927</v>
      </c>
      <c r="E178" s="107">
        <f t="shared" ref="E178:E196" si="3">SUM(C178:D178)</f>
        <v>21456</v>
      </c>
    </row>
    <row r="179" spans="1:5" ht="15" customHeight="1" x14ac:dyDescent="0.3">
      <c r="A179" s="183"/>
      <c r="B179" s="56" t="s">
        <v>31</v>
      </c>
      <c r="C179" s="57">
        <v>172520</v>
      </c>
      <c r="D179" s="58">
        <v>164947</v>
      </c>
      <c r="E179" s="59">
        <f t="shared" si="3"/>
        <v>337467</v>
      </c>
    </row>
    <row r="180" spans="1:5" ht="15" customHeight="1" x14ac:dyDescent="0.3">
      <c r="A180" s="183"/>
      <c r="B180" s="104" t="s">
        <v>32</v>
      </c>
      <c r="C180" s="105">
        <v>116993</v>
      </c>
      <c r="D180" s="106">
        <v>115184</v>
      </c>
      <c r="E180" s="107">
        <f t="shared" si="3"/>
        <v>232177</v>
      </c>
    </row>
    <row r="181" spans="1:5" ht="15" customHeight="1" x14ac:dyDescent="0.3">
      <c r="A181" s="183"/>
      <c r="B181" s="56" t="s">
        <v>33</v>
      </c>
      <c r="C181" s="57">
        <v>220699</v>
      </c>
      <c r="D181" s="58">
        <v>194286</v>
      </c>
      <c r="E181" s="59">
        <f t="shared" si="3"/>
        <v>414985</v>
      </c>
    </row>
    <row r="182" spans="1:5" ht="15" customHeight="1" x14ac:dyDescent="0.3">
      <c r="A182" s="183"/>
      <c r="B182" s="104" t="s">
        <v>40</v>
      </c>
      <c r="C182" s="105">
        <v>20215</v>
      </c>
      <c r="D182" s="106">
        <v>17758</v>
      </c>
      <c r="E182" s="107">
        <f t="shared" si="3"/>
        <v>37973</v>
      </c>
    </row>
    <row r="183" spans="1:5" ht="15" customHeight="1" x14ac:dyDescent="0.3">
      <c r="A183" s="183"/>
      <c r="B183" s="56" t="s">
        <v>34</v>
      </c>
      <c r="C183" s="57">
        <v>209062</v>
      </c>
      <c r="D183" s="58">
        <v>207439</v>
      </c>
      <c r="E183" s="59">
        <f t="shared" si="3"/>
        <v>416501</v>
      </c>
    </row>
    <row r="184" spans="1:5" ht="15" customHeight="1" x14ac:dyDescent="0.3">
      <c r="A184" s="183"/>
      <c r="B184" s="104" t="s">
        <v>35</v>
      </c>
      <c r="C184" s="105">
        <v>236662</v>
      </c>
      <c r="D184" s="106">
        <v>201230</v>
      </c>
      <c r="E184" s="107">
        <f t="shared" si="3"/>
        <v>437892</v>
      </c>
    </row>
    <row r="185" spans="1:5" ht="15" customHeight="1" x14ac:dyDescent="0.3">
      <c r="A185" s="183"/>
      <c r="B185" s="56" t="s">
        <v>36</v>
      </c>
      <c r="C185" s="57">
        <v>16465</v>
      </c>
      <c r="D185" s="58">
        <v>15600</v>
      </c>
      <c r="E185" s="59">
        <f t="shared" si="3"/>
        <v>32065</v>
      </c>
    </row>
    <row r="186" spans="1:5" ht="15" customHeight="1" x14ac:dyDescent="0.3">
      <c r="A186" s="183"/>
      <c r="B186" s="104" t="s">
        <v>37</v>
      </c>
      <c r="C186" s="105">
        <v>3272574</v>
      </c>
      <c r="D186" s="106">
        <v>3366756</v>
      </c>
      <c r="E186" s="107">
        <f t="shared" si="3"/>
        <v>6639330</v>
      </c>
    </row>
    <row r="187" spans="1:5" ht="15" customHeight="1" x14ac:dyDescent="0.3">
      <c r="A187" s="183"/>
      <c r="B187" s="56" t="s">
        <v>7</v>
      </c>
      <c r="C187" s="57">
        <v>3848288</v>
      </c>
      <c r="D187" s="58">
        <v>3845194</v>
      </c>
      <c r="E187" s="59">
        <v>7693482</v>
      </c>
    </row>
    <row r="188" spans="1:5" ht="15" customHeight="1" x14ac:dyDescent="0.3">
      <c r="A188" s="183"/>
      <c r="B188" s="104" t="s">
        <v>38</v>
      </c>
      <c r="C188" s="105">
        <v>3366756</v>
      </c>
      <c r="D188" s="106">
        <v>3272574</v>
      </c>
      <c r="E188" s="107">
        <f t="shared" si="3"/>
        <v>6639330</v>
      </c>
    </row>
    <row r="189" spans="1:5" ht="15" customHeight="1" x14ac:dyDescent="0.3">
      <c r="A189" s="183"/>
      <c r="B189" s="56" t="s">
        <v>39</v>
      </c>
      <c r="C189" s="57">
        <v>948</v>
      </c>
      <c r="D189" s="58">
        <v>1105</v>
      </c>
      <c r="E189" s="59">
        <f t="shared" si="3"/>
        <v>2053</v>
      </c>
    </row>
    <row r="190" spans="1:5" ht="15" customHeight="1" x14ac:dyDescent="0.3">
      <c r="A190" s="183"/>
      <c r="B190" s="104" t="s">
        <v>41</v>
      </c>
      <c r="C190" s="105">
        <v>273581</v>
      </c>
      <c r="D190" s="106">
        <v>298308</v>
      </c>
      <c r="E190" s="107">
        <f t="shared" si="3"/>
        <v>571889</v>
      </c>
    </row>
    <row r="191" spans="1:5" ht="15" customHeight="1" x14ac:dyDescent="0.3">
      <c r="A191" s="183"/>
      <c r="B191" s="56" t="s">
        <v>42</v>
      </c>
      <c r="C191" s="57">
        <v>838306</v>
      </c>
      <c r="D191" s="58">
        <v>845024</v>
      </c>
      <c r="E191" s="59">
        <f t="shared" si="3"/>
        <v>1683330</v>
      </c>
    </row>
    <row r="192" spans="1:5" ht="15" customHeight="1" x14ac:dyDescent="0.3">
      <c r="A192" s="183"/>
      <c r="B192" s="104" t="s">
        <v>43</v>
      </c>
      <c r="C192" s="105">
        <v>61125</v>
      </c>
      <c r="D192" s="106">
        <v>54620</v>
      </c>
      <c r="E192" s="107">
        <f t="shared" si="3"/>
        <v>115745</v>
      </c>
    </row>
    <row r="193" spans="1:5" ht="15" customHeight="1" x14ac:dyDescent="0.3">
      <c r="A193" s="183"/>
      <c r="B193" s="56" t="s">
        <v>44</v>
      </c>
      <c r="C193" s="57">
        <v>19181</v>
      </c>
      <c r="D193" s="58">
        <v>22197</v>
      </c>
      <c r="E193" s="59">
        <f t="shared" si="3"/>
        <v>41378</v>
      </c>
    </row>
    <row r="194" spans="1:5" ht="15" customHeight="1" x14ac:dyDescent="0.3">
      <c r="A194" s="183"/>
      <c r="B194" s="104" t="s">
        <v>45</v>
      </c>
      <c r="C194" s="105">
        <v>119779</v>
      </c>
      <c r="D194" s="106">
        <v>118508</v>
      </c>
      <c r="E194" s="107">
        <f t="shared" si="3"/>
        <v>238287</v>
      </c>
    </row>
    <row r="195" spans="1:5" ht="15" customHeight="1" x14ac:dyDescent="0.3">
      <c r="A195" s="183"/>
      <c r="B195" s="56" t="s">
        <v>46</v>
      </c>
      <c r="C195" s="57">
        <v>128339</v>
      </c>
      <c r="D195" s="58">
        <v>106566</v>
      </c>
      <c r="E195" s="59">
        <f t="shared" si="3"/>
        <v>234905</v>
      </c>
    </row>
    <row r="196" spans="1:5" ht="15" customHeight="1" x14ac:dyDescent="0.3">
      <c r="A196" s="183"/>
      <c r="B196" s="104" t="s">
        <v>47</v>
      </c>
      <c r="C196" s="105">
        <v>201230</v>
      </c>
      <c r="D196" s="106">
        <v>236662</v>
      </c>
      <c r="E196" s="107">
        <f t="shared" si="3"/>
        <v>437892</v>
      </c>
    </row>
    <row r="197" spans="1:5" ht="15" customHeight="1" x14ac:dyDescent="0.3">
      <c r="A197" s="183"/>
      <c r="B197" s="56" t="s">
        <v>48</v>
      </c>
      <c r="C197" s="57">
        <v>49940</v>
      </c>
      <c r="D197" s="58">
        <v>44952</v>
      </c>
      <c r="E197" s="59">
        <f>SUM(C197:D197)</f>
        <v>94892</v>
      </c>
    </row>
    <row r="198" spans="1:5" ht="15" customHeight="1" thickBot="1" x14ac:dyDescent="0.35">
      <c r="A198" s="184"/>
      <c r="B198" s="108" t="s">
        <v>128</v>
      </c>
      <c r="C198" s="109">
        <f>SUM(C177:C197)</f>
        <v>13835526</v>
      </c>
      <c r="D198" s="110">
        <f>SUM(D177:D197)</f>
        <v>13764192</v>
      </c>
      <c r="E198" s="111">
        <f>SUM(C198:D198)</f>
        <v>27599718</v>
      </c>
    </row>
    <row r="199" spans="1:5" ht="15" customHeight="1" x14ac:dyDescent="0.3">
      <c r="A199" s="182">
        <v>2015</v>
      </c>
      <c r="B199" s="52" t="s">
        <v>29</v>
      </c>
      <c r="C199" s="53">
        <v>647388</v>
      </c>
      <c r="D199" s="54">
        <v>628633</v>
      </c>
      <c r="E199" s="55">
        <f>SUM(C199:D199)</f>
        <v>1276021</v>
      </c>
    </row>
    <row r="200" spans="1:5" ht="15" customHeight="1" x14ac:dyDescent="0.3">
      <c r="A200" s="183"/>
      <c r="B200" s="104" t="s">
        <v>30</v>
      </c>
      <c r="C200" s="105">
        <v>15342</v>
      </c>
      <c r="D200" s="106">
        <v>23959</v>
      </c>
      <c r="E200" s="107">
        <f t="shared" ref="E200:E218" si="4">SUM(C200:D200)</f>
        <v>39301</v>
      </c>
    </row>
    <row r="201" spans="1:5" ht="15" customHeight="1" x14ac:dyDescent="0.3">
      <c r="A201" s="183"/>
      <c r="B201" s="56" t="s">
        <v>31</v>
      </c>
      <c r="C201" s="57">
        <v>158739</v>
      </c>
      <c r="D201" s="58">
        <v>154587</v>
      </c>
      <c r="E201" s="59">
        <f t="shared" si="4"/>
        <v>313326</v>
      </c>
    </row>
    <row r="202" spans="1:5" ht="15" customHeight="1" x14ac:dyDescent="0.3">
      <c r="A202" s="183"/>
      <c r="B202" s="104" t="s">
        <v>32</v>
      </c>
      <c r="C202" s="105">
        <v>119737</v>
      </c>
      <c r="D202" s="106">
        <v>117206</v>
      </c>
      <c r="E202" s="107">
        <f t="shared" si="4"/>
        <v>236943</v>
      </c>
    </row>
    <row r="203" spans="1:5" ht="15" customHeight="1" x14ac:dyDescent="0.3">
      <c r="A203" s="183"/>
      <c r="B203" s="56" t="s">
        <v>33</v>
      </c>
      <c r="C203" s="57">
        <v>203806</v>
      </c>
      <c r="D203" s="58">
        <v>214747</v>
      </c>
      <c r="E203" s="59">
        <f t="shared" si="4"/>
        <v>418553</v>
      </c>
    </row>
    <row r="204" spans="1:5" ht="15" customHeight="1" x14ac:dyDescent="0.3">
      <c r="A204" s="183"/>
      <c r="B204" s="104" t="s">
        <v>40</v>
      </c>
      <c r="C204" s="105">
        <v>19397</v>
      </c>
      <c r="D204" s="106">
        <v>19183</v>
      </c>
      <c r="E204" s="107">
        <f t="shared" si="4"/>
        <v>38580</v>
      </c>
    </row>
    <row r="205" spans="1:5" ht="15" customHeight="1" x14ac:dyDescent="0.3">
      <c r="A205" s="183"/>
      <c r="B205" s="56" t="s">
        <v>34</v>
      </c>
      <c r="C205" s="57">
        <v>194849</v>
      </c>
      <c r="D205" s="58">
        <v>190172</v>
      </c>
      <c r="E205" s="59">
        <f t="shared" si="4"/>
        <v>385021</v>
      </c>
    </row>
    <row r="206" spans="1:5" ht="15" customHeight="1" x14ac:dyDescent="0.3">
      <c r="A206" s="183"/>
      <c r="B206" s="104" t="s">
        <v>35</v>
      </c>
      <c r="C206" s="105">
        <v>248061</v>
      </c>
      <c r="D206" s="106">
        <v>228759</v>
      </c>
      <c r="E206" s="107">
        <f t="shared" si="4"/>
        <v>476820</v>
      </c>
    </row>
    <row r="207" spans="1:5" ht="15" customHeight="1" x14ac:dyDescent="0.3">
      <c r="A207" s="183"/>
      <c r="B207" s="56" t="s">
        <v>36</v>
      </c>
      <c r="C207" s="57">
        <v>13949</v>
      </c>
      <c r="D207" s="58">
        <v>12198</v>
      </c>
      <c r="E207" s="59">
        <f t="shared" si="4"/>
        <v>26147</v>
      </c>
    </row>
    <row r="208" spans="1:5" ht="15" customHeight="1" x14ac:dyDescent="0.3">
      <c r="A208" s="183"/>
      <c r="B208" s="104" t="s">
        <v>37</v>
      </c>
      <c r="C208" s="105">
        <v>3538530</v>
      </c>
      <c r="D208" s="106">
        <v>3511459</v>
      </c>
      <c r="E208" s="107">
        <f t="shared" si="4"/>
        <v>7049989</v>
      </c>
    </row>
    <row r="209" spans="1:5" ht="15" customHeight="1" x14ac:dyDescent="0.3">
      <c r="A209" s="183"/>
      <c r="B209" s="56" t="s">
        <v>7</v>
      </c>
      <c r="C209" s="57">
        <v>4116371</v>
      </c>
      <c r="D209" s="58">
        <v>3769039</v>
      </c>
      <c r="E209" s="59">
        <v>7885410</v>
      </c>
    </row>
    <row r="210" spans="1:5" ht="15" customHeight="1" x14ac:dyDescent="0.3">
      <c r="A210" s="183"/>
      <c r="B210" s="104" t="s">
        <v>38</v>
      </c>
      <c r="C210" s="105">
        <v>3511459</v>
      </c>
      <c r="D210" s="106">
        <v>3538530</v>
      </c>
      <c r="E210" s="107">
        <f t="shared" si="4"/>
        <v>7049989</v>
      </c>
    </row>
    <row r="211" spans="1:5" ht="15" customHeight="1" x14ac:dyDescent="0.3">
      <c r="A211" s="183"/>
      <c r="B211" s="56" t="s">
        <v>39</v>
      </c>
      <c r="C211" s="57">
        <v>1136</v>
      </c>
      <c r="D211" s="58">
        <v>1060</v>
      </c>
      <c r="E211" s="59">
        <f t="shared" si="4"/>
        <v>2196</v>
      </c>
    </row>
    <row r="212" spans="1:5" ht="15" customHeight="1" x14ac:dyDescent="0.3">
      <c r="A212" s="183"/>
      <c r="B212" s="104" t="s">
        <v>41</v>
      </c>
      <c r="C212" s="105">
        <v>288846</v>
      </c>
      <c r="D212" s="106">
        <v>275504</v>
      </c>
      <c r="E212" s="107">
        <f t="shared" si="4"/>
        <v>564350</v>
      </c>
    </row>
    <row r="213" spans="1:5" ht="15" customHeight="1" x14ac:dyDescent="0.3">
      <c r="A213" s="183"/>
      <c r="B213" s="56" t="s">
        <v>42</v>
      </c>
      <c r="C213" s="57">
        <v>805498</v>
      </c>
      <c r="D213" s="58">
        <v>810830</v>
      </c>
      <c r="E213" s="59">
        <f t="shared" si="4"/>
        <v>1616328</v>
      </c>
    </row>
    <row r="214" spans="1:5" ht="15" customHeight="1" x14ac:dyDescent="0.3">
      <c r="A214" s="183"/>
      <c r="B214" s="104" t="s">
        <v>43</v>
      </c>
      <c r="C214" s="105">
        <v>137645</v>
      </c>
      <c r="D214" s="106">
        <v>125041</v>
      </c>
      <c r="E214" s="107">
        <f t="shared" si="4"/>
        <v>262686</v>
      </c>
    </row>
    <row r="215" spans="1:5" ht="15" customHeight="1" x14ac:dyDescent="0.3">
      <c r="A215" s="183"/>
      <c r="B215" s="56" t="s">
        <v>44</v>
      </c>
      <c r="C215" s="57">
        <v>18777</v>
      </c>
      <c r="D215" s="58">
        <v>2921</v>
      </c>
      <c r="E215" s="59">
        <f t="shared" si="4"/>
        <v>21698</v>
      </c>
    </row>
    <row r="216" spans="1:5" ht="15" customHeight="1" x14ac:dyDescent="0.3">
      <c r="A216" s="183"/>
      <c r="B216" s="104" t="s">
        <v>45</v>
      </c>
      <c r="C216" s="105">
        <v>115628</v>
      </c>
      <c r="D216" s="106">
        <v>115479</v>
      </c>
      <c r="E216" s="107">
        <f t="shared" si="4"/>
        <v>231107</v>
      </c>
    </row>
    <row r="217" spans="1:5" ht="15" customHeight="1" x14ac:dyDescent="0.3">
      <c r="A217" s="183"/>
      <c r="B217" s="56" t="s">
        <v>46</v>
      </c>
      <c r="C217" s="57">
        <v>104259</v>
      </c>
      <c r="D217" s="58">
        <v>105819</v>
      </c>
      <c r="E217" s="59">
        <f t="shared" si="4"/>
        <v>210078</v>
      </c>
    </row>
    <row r="218" spans="1:5" ht="15" customHeight="1" x14ac:dyDescent="0.3">
      <c r="A218" s="183"/>
      <c r="B218" s="104" t="s">
        <v>47</v>
      </c>
      <c r="C218" s="105">
        <v>228759</v>
      </c>
      <c r="D218" s="106">
        <v>248061</v>
      </c>
      <c r="E218" s="107">
        <f t="shared" si="4"/>
        <v>476820</v>
      </c>
    </row>
    <row r="219" spans="1:5" ht="15" customHeight="1" x14ac:dyDescent="0.3">
      <c r="A219" s="183"/>
      <c r="B219" s="56" t="s">
        <v>48</v>
      </c>
      <c r="C219" s="57">
        <v>102287</v>
      </c>
      <c r="D219" s="58">
        <v>98995</v>
      </c>
      <c r="E219" s="59">
        <f>SUM(C219:D219)</f>
        <v>201282</v>
      </c>
    </row>
    <row r="220" spans="1:5" ht="15" customHeight="1" thickBot="1" x14ac:dyDescent="0.35">
      <c r="A220" s="184"/>
      <c r="B220" s="108" t="s">
        <v>128</v>
      </c>
      <c r="C220" s="109">
        <f>SUM(C199:C219)</f>
        <v>14590463</v>
      </c>
      <c r="D220" s="110">
        <f>SUM(D199:D219)</f>
        <v>14192182</v>
      </c>
      <c r="E220" s="111">
        <f>SUM(C220:D220)</f>
        <v>28782645</v>
      </c>
    </row>
    <row r="221" spans="1:5" ht="15" customHeight="1" x14ac:dyDescent="0.3">
      <c r="A221" s="182">
        <v>2014</v>
      </c>
      <c r="B221" s="52" t="s">
        <v>29</v>
      </c>
      <c r="C221" s="53">
        <v>674139</v>
      </c>
      <c r="D221" s="54">
        <v>674612</v>
      </c>
      <c r="E221" s="55">
        <f>SUM(C221:D221)</f>
        <v>1348751</v>
      </c>
    </row>
    <row r="222" spans="1:5" ht="15" customHeight="1" x14ac:dyDescent="0.3">
      <c r="A222" s="183"/>
      <c r="B222" s="104" t="s">
        <v>30</v>
      </c>
      <c r="C222" s="105">
        <v>19593</v>
      </c>
      <c r="D222" s="106">
        <v>16967</v>
      </c>
      <c r="E222" s="107">
        <f t="shared" ref="E222:E240" si="5">SUM(C222:D222)</f>
        <v>36560</v>
      </c>
    </row>
    <row r="223" spans="1:5" ht="15" customHeight="1" x14ac:dyDescent="0.3">
      <c r="A223" s="183"/>
      <c r="B223" s="56" t="s">
        <v>31</v>
      </c>
      <c r="C223" s="57">
        <v>164852</v>
      </c>
      <c r="D223" s="58">
        <v>169344</v>
      </c>
      <c r="E223" s="59">
        <f t="shared" si="5"/>
        <v>334196</v>
      </c>
    </row>
    <row r="224" spans="1:5" ht="15" customHeight="1" x14ac:dyDescent="0.3">
      <c r="A224" s="183"/>
      <c r="B224" s="104" t="s">
        <v>32</v>
      </c>
      <c r="C224" s="105">
        <v>111593</v>
      </c>
      <c r="D224" s="106">
        <v>111682</v>
      </c>
      <c r="E224" s="107">
        <f t="shared" si="5"/>
        <v>223275</v>
      </c>
    </row>
    <row r="225" spans="1:5" ht="15" customHeight="1" x14ac:dyDescent="0.3">
      <c r="A225" s="183"/>
      <c r="B225" s="56" t="s">
        <v>33</v>
      </c>
      <c r="C225" s="57">
        <v>174675</v>
      </c>
      <c r="D225" s="58">
        <v>187587</v>
      </c>
      <c r="E225" s="59">
        <f t="shared" si="5"/>
        <v>362262</v>
      </c>
    </row>
    <row r="226" spans="1:5" ht="15" customHeight="1" x14ac:dyDescent="0.3">
      <c r="A226" s="183"/>
      <c r="B226" s="104" t="s">
        <v>40</v>
      </c>
      <c r="C226" s="105">
        <v>22249</v>
      </c>
      <c r="D226" s="106">
        <v>23524</v>
      </c>
      <c r="E226" s="107">
        <f t="shared" si="5"/>
        <v>45773</v>
      </c>
    </row>
    <row r="227" spans="1:5" ht="15" customHeight="1" x14ac:dyDescent="0.3">
      <c r="A227" s="183"/>
      <c r="B227" s="56" t="s">
        <v>34</v>
      </c>
      <c r="C227" s="57">
        <v>201032</v>
      </c>
      <c r="D227" s="58">
        <v>199130</v>
      </c>
      <c r="E227" s="59">
        <f t="shared" si="5"/>
        <v>400162</v>
      </c>
    </row>
    <row r="228" spans="1:5" ht="15" customHeight="1" x14ac:dyDescent="0.3">
      <c r="A228" s="183"/>
      <c r="B228" s="104" t="s">
        <v>35</v>
      </c>
      <c r="C228" s="105">
        <v>269421</v>
      </c>
      <c r="D228" s="106">
        <v>277688</v>
      </c>
      <c r="E228" s="107">
        <f t="shared" si="5"/>
        <v>547109</v>
      </c>
    </row>
    <row r="229" spans="1:5" ht="15" customHeight="1" x14ac:dyDescent="0.3">
      <c r="A229" s="183"/>
      <c r="B229" s="56" t="s">
        <v>36</v>
      </c>
      <c r="C229" s="57">
        <v>18748</v>
      </c>
      <c r="D229" s="58">
        <v>24066</v>
      </c>
      <c r="E229" s="59">
        <f t="shared" si="5"/>
        <v>42814</v>
      </c>
    </row>
    <row r="230" spans="1:5" ht="15" customHeight="1" x14ac:dyDescent="0.3">
      <c r="A230" s="183"/>
      <c r="B230" s="104" t="s">
        <v>37</v>
      </c>
      <c r="C230" s="105">
        <v>3472628</v>
      </c>
      <c r="D230" s="106">
        <v>3543005</v>
      </c>
      <c r="E230" s="107">
        <f t="shared" si="5"/>
        <v>7015633</v>
      </c>
    </row>
    <row r="231" spans="1:5" ht="15" customHeight="1" x14ac:dyDescent="0.3">
      <c r="A231" s="183"/>
      <c r="B231" s="56" t="s">
        <v>7</v>
      </c>
      <c r="C231" s="57">
        <v>3905147</v>
      </c>
      <c r="D231" s="58">
        <v>3986785</v>
      </c>
      <c r="E231" s="59">
        <v>7891932</v>
      </c>
    </row>
    <row r="232" spans="1:5" ht="15" customHeight="1" x14ac:dyDescent="0.3">
      <c r="A232" s="183"/>
      <c r="B232" s="104" t="s">
        <v>38</v>
      </c>
      <c r="C232" s="105">
        <v>3543005</v>
      </c>
      <c r="D232" s="106">
        <v>3472628</v>
      </c>
      <c r="E232" s="107">
        <f t="shared" si="5"/>
        <v>7015633</v>
      </c>
    </row>
    <row r="233" spans="1:5" ht="15" customHeight="1" x14ac:dyDescent="0.3">
      <c r="A233" s="183"/>
      <c r="B233" s="56" t="s">
        <v>39</v>
      </c>
      <c r="C233" s="57">
        <v>1369</v>
      </c>
      <c r="D233" s="58">
        <v>1383</v>
      </c>
      <c r="E233" s="59">
        <f t="shared" si="5"/>
        <v>2752</v>
      </c>
    </row>
    <row r="234" spans="1:5" ht="15" customHeight="1" x14ac:dyDescent="0.3">
      <c r="A234" s="183"/>
      <c r="B234" s="104" t="s">
        <v>41</v>
      </c>
      <c r="C234" s="105">
        <v>274813</v>
      </c>
      <c r="D234" s="106">
        <v>258523</v>
      </c>
      <c r="E234" s="107">
        <f t="shared" si="5"/>
        <v>533336</v>
      </c>
    </row>
    <row r="235" spans="1:5" ht="15" customHeight="1" x14ac:dyDescent="0.3">
      <c r="A235" s="183"/>
      <c r="B235" s="56" t="s">
        <v>42</v>
      </c>
      <c r="C235" s="57">
        <v>873489</v>
      </c>
      <c r="D235" s="58">
        <v>844819</v>
      </c>
      <c r="E235" s="59">
        <f t="shared" si="5"/>
        <v>1718308</v>
      </c>
    </row>
    <row r="236" spans="1:5" ht="15" customHeight="1" x14ac:dyDescent="0.3">
      <c r="A236" s="183"/>
      <c r="B236" s="104" t="s">
        <v>43</v>
      </c>
      <c r="C236" s="105">
        <v>95974</v>
      </c>
      <c r="D236" s="106">
        <v>108610</v>
      </c>
      <c r="E236" s="107">
        <f t="shared" si="5"/>
        <v>204584</v>
      </c>
    </row>
    <row r="237" spans="1:5" ht="15" customHeight="1" x14ac:dyDescent="0.3">
      <c r="A237" s="183"/>
      <c r="B237" s="56" t="s">
        <v>44</v>
      </c>
      <c r="C237" s="57">
        <v>12199</v>
      </c>
      <c r="D237" s="58">
        <v>14901</v>
      </c>
      <c r="E237" s="59">
        <f t="shared" si="5"/>
        <v>27100</v>
      </c>
    </row>
    <row r="238" spans="1:5" ht="15" customHeight="1" x14ac:dyDescent="0.3">
      <c r="A238" s="183"/>
      <c r="B238" s="104" t="s">
        <v>45</v>
      </c>
      <c r="C238" s="105">
        <v>121996</v>
      </c>
      <c r="D238" s="106">
        <v>123742</v>
      </c>
      <c r="E238" s="107">
        <f t="shared" si="5"/>
        <v>245738</v>
      </c>
    </row>
    <row r="239" spans="1:5" ht="15" customHeight="1" x14ac:dyDescent="0.3">
      <c r="A239" s="183"/>
      <c r="B239" s="56" t="s">
        <v>46</v>
      </c>
      <c r="C239" s="57">
        <v>102285</v>
      </c>
      <c r="D239" s="58">
        <v>102138</v>
      </c>
      <c r="E239" s="59">
        <f t="shared" si="5"/>
        <v>204423</v>
      </c>
    </row>
    <row r="240" spans="1:5" ht="15" customHeight="1" x14ac:dyDescent="0.3">
      <c r="A240" s="183"/>
      <c r="B240" s="104" t="s">
        <v>47</v>
      </c>
      <c r="C240" s="105">
        <v>277688</v>
      </c>
      <c r="D240" s="106">
        <v>269421</v>
      </c>
      <c r="E240" s="107">
        <f t="shared" si="5"/>
        <v>547109</v>
      </c>
    </row>
    <row r="241" spans="1:5" ht="15" customHeight="1" x14ac:dyDescent="0.3">
      <c r="A241" s="183"/>
      <c r="B241" s="56" t="s">
        <v>48</v>
      </c>
      <c r="C241" s="57">
        <v>81189</v>
      </c>
      <c r="D241" s="58">
        <v>80882</v>
      </c>
      <c r="E241" s="59">
        <f>SUM(C241:D241)</f>
        <v>162071</v>
      </c>
    </row>
    <row r="242" spans="1:5" ht="15" customHeight="1" thickBot="1" x14ac:dyDescent="0.35">
      <c r="A242" s="184"/>
      <c r="B242" s="108" t="s">
        <v>128</v>
      </c>
      <c r="C242" s="109">
        <f>SUM(C221:C241)</f>
        <v>14418084</v>
      </c>
      <c r="D242" s="110">
        <f>SUM(D221:D241)</f>
        <v>14491437</v>
      </c>
      <c r="E242" s="111">
        <f>SUM(C242:D242)</f>
        <v>28909521</v>
      </c>
    </row>
    <row r="243" spans="1:5" ht="15" customHeight="1" x14ac:dyDescent="0.3">
      <c r="A243" s="182">
        <v>2013</v>
      </c>
      <c r="B243" s="52" t="s">
        <v>29</v>
      </c>
      <c r="C243" s="53">
        <v>647416</v>
      </c>
      <c r="D243" s="54">
        <v>646881</v>
      </c>
      <c r="E243" s="55">
        <f>SUM(C243:D243)</f>
        <v>1294297</v>
      </c>
    </row>
    <row r="244" spans="1:5" ht="15" customHeight="1" x14ac:dyDescent="0.3">
      <c r="A244" s="183"/>
      <c r="B244" s="104" t="s">
        <v>30</v>
      </c>
      <c r="C244" s="105">
        <v>18951</v>
      </c>
      <c r="D244" s="106">
        <v>14583</v>
      </c>
      <c r="E244" s="107">
        <f t="shared" ref="E244:E262" si="6">SUM(C244:D244)</f>
        <v>33534</v>
      </c>
    </row>
    <row r="245" spans="1:5" ht="15" customHeight="1" x14ac:dyDescent="0.3">
      <c r="A245" s="183"/>
      <c r="B245" s="56" t="s">
        <v>31</v>
      </c>
      <c r="C245" s="57">
        <v>168958</v>
      </c>
      <c r="D245" s="58">
        <v>174183</v>
      </c>
      <c r="E245" s="59">
        <f t="shared" si="6"/>
        <v>343141</v>
      </c>
    </row>
    <row r="246" spans="1:5" ht="15" customHeight="1" x14ac:dyDescent="0.3">
      <c r="A246" s="183"/>
      <c r="B246" s="104" t="s">
        <v>32</v>
      </c>
      <c r="C246" s="105">
        <v>103918</v>
      </c>
      <c r="D246" s="106">
        <v>105535</v>
      </c>
      <c r="E246" s="107">
        <f t="shared" si="6"/>
        <v>209453</v>
      </c>
    </row>
    <row r="247" spans="1:5" ht="15" customHeight="1" x14ac:dyDescent="0.3">
      <c r="A247" s="183"/>
      <c r="B247" s="56" t="s">
        <v>33</v>
      </c>
      <c r="C247" s="57">
        <v>175625</v>
      </c>
      <c r="D247" s="58">
        <v>208219</v>
      </c>
      <c r="E247" s="59">
        <f t="shared" si="6"/>
        <v>383844</v>
      </c>
    </row>
    <row r="248" spans="1:5" ht="15" customHeight="1" x14ac:dyDescent="0.3">
      <c r="A248" s="183"/>
      <c r="B248" s="104" t="s">
        <v>40</v>
      </c>
      <c r="C248" s="105">
        <v>22595</v>
      </c>
      <c r="D248" s="106">
        <v>24995</v>
      </c>
      <c r="E248" s="107">
        <f t="shared" si="6"/>
        <v>47590</v>
      </c>
    </row>
    <row r="249" spans="1:5" ht="15" customHeight="1" x14ac:dyDescent="0.3">
      <c r="A249" s="183"/>
      <c r="B249" s="56" t="s">
        <v>34</v>
      </c>
      <c r="C249" s="57">
        <v>216311</v>
      </c>
      <c r="D249" s="58">
        <v>215844</v>
      </c>
      <c r="E249" s="59">
        <f t="shared" si="6"/>
        <v>432155</v>
      </c>
    </row>
    <row r="250" spans="1:5" ht="15" customHeight="1" x14ac:dyDescent="0.3">
      <c r="A250" s="183"/>
      <c r="B250" s="104" t="s">
        <v>35</v>
      </c>
      <c r="C250" s="105">
        <v>325443</v>
      </c>
      <c r="D250" s="106">
        <v>337080</v>
      </c>
      <c r="E250" s="107">
        <f t="shared" si="6"/>
        <v>662523</v>
      </c>
    </row>
    <row r="251" spans="1:5" ht="15" customHeight="1" x14ac:dyDescent="0.3">
      <c r="A251" s="183"/>
      <c r="B251" s="56" t="s">
        <v>36</v>
      </c>
      <c r="C251" s="57">
        <v>19840</v>
      </c>
      <c r="D251" s="58">
        <v>18374</v>
      </c>
      <c r="E251" s="59">
        <f t="shared" si="6"/>
        <v>38214</v>
      </c>
    </row>
    <row r="252" spans="1:5" ht="15" customHeight="1" x14ac:dyDescent="0.3">
      <c r="A252" s="183"/>
      <c r="B252" s="104" t="s">
        <v>37</v>
      </c>
      <c r="C252" s="105">
        <v>5310769</v>
      </c>
      <c r="D252" s="106">
        <v>5310769</v>
      </c>
      <c r="E252" s="107">
        <f t="shared" si="6"/>
        <v>10621538</v>
      </c>
    </row>
    <row r="253" spans="1:5" ht="15" customHeight="1" x14ac:dyDescent="0.3">
      <c r="A253" s="183"/>
      <c r="B253" s="56" t="s">
        <v>7</v>
      </c>
      <c r="C253" s="57">
        <v>3633751</v>
      </c>
      <c r="D253" s="58">
        <v>3780399</v>
      </c>
      <c r="E253" s="59">
        <f t="shared" si="6"/>
        <v>7414150</v>
      </c>
    </row>
    <row r="254" spans="1:5" ht="15" customHeight="1" x14ac:dyDescent="0.3">
      <c r="A254" s="183"/>
      <c r="B254" s="104" t="s">
        <v>38</v>
      </c>
      <c r="C254" s="105">
        <v>5413565</v>
      </c>
      <c r="D254" s="106">
        <v>5413565</v>
      </c>
      <c r="E254" s="107">
        <f t="shared" si="6"/>
        <v>10827130</v>
      </c>
    </row>
    <row r="255" spans="1:5" ht="15" customHeight="1" x14ac:dyDescent="0.3">
      <c r="A255" s="183"/>
      <c r="B255" s="56" t="s">
        <v>39</v>
      </c>
      <c r="C255" s="57">
        <v>1377</v>
      </c>
      <c r="D255" s="58">
        <v>1686</v>
      </c>
      <c r="E255" s="59">
        <f t="shared" si="6"/>
        <v>3063</v>
      </c>
    </row>
    <row r="256" spans="1:5" ht="15" customHeight="1" x14ac:dyDescent="0.3">
      <c r="A256" s="183"/>
      <c r="B256" s="104" t="s">
        <v>41</v>
      </c>
      <c r="C256" s="105">
        <v>280462</v>
      </c>
      <c r="D256" s="106">
        <v>250971</v>
      </c>
      <c r="E256" s="107">
        <f t="shared" si="6"/>
        <v>531433</v>
      </c>
    </row>
    <row r="257" spans="1:5" ht="15" customHeight="1" x14ac:dyDescent="0.3">
      <c r="A257" s="183"/>
      <c r="B257" s="56" t="s">
        <v>42</v>
      </c>
      <c r="C257" s="57">
        <v>859301</v>
      </c>
      <c r="D257" s="58">
        <v>842294</v>
      </c>
      <c r="E257" s="59">
        <f t="shared" si="6"/>
        <v>1701595</v>
      </c>
    </row>
    <row r="258" spans="1:5" ht="15" customHeight="1" x14ac:dyDescent="0.3">
      <c r="A258" s="183"/>
      <c r="B258" s="104" t="s">
        <v>43</v>
      </c>
      <c r="C258" s="105">
        <v>103231</v>
      </c>
      <c r="D258" s="106">
        <v>117067</v>
      </c>
      <c r="E258" s="107">
        <f t="shared" si="6"/>
        <v>220298</v>
      </c>
    </row>
    <row r="259" spans="1:5" ht="15" customHeight="1" x14ac:dyDescent="0.3">
      <c r="A259" s="183"/>
      <c r="B259" s="56" t="s">
        <v>44</v>
      </c>
      <c r="C259" s="57">
        <v>11081</v>
      </c>
      <c r="D259" s="58">
        <v>17465</v>
      </c>
      <c r="E259" s="59">
        <f t="shared" si="6"/>
        <v>28546</v>
      </c>
    </row>
    <row r="260" spans="1:5" ht="15" customHeight="1" x14ac:dyDescent="0.3">
      <c r="A260" s="183"/>
      <c r="B260" s="104" t="s">
        <v>45</v>
      </c>
      <c r="C260" s="105">
        <v>108091</v>
      </c>
      <c r="D260" s="106">
        <v>110285</v>
      </c>
      <c r="E260" s="107">
        <f t="shared" si="6"/>
        <v>218376</v>
      </c>
    </row>
    <row r="261" spans="1:5" ht="15" customHeight="1" x14ac:dyDescent="0.3">
      <c r="A261" s="183"/>
      <c r="B261" s="56" t="s">
        <v>46</v>
      </c>
      <c r="C261" s="57">
        <v>90275</v>
      </c>
      <c r="D261" s="58">
        <v>90490</v>
      </c>
      <c r="E261" s="59">
        <f t="shared" si="6"/>
        <v>180765</v>
      </c>
    </row>
    <row r="262" spans="1:5" ht="15" customHeight="1" x14ac:dyDescent="0.3">
      <c r="A262" s="183"/>
      <c r="B262" s="104" t="s">
        <v>47</v>
      </c>
      <c r="C262" s="105">
        <v>337080</v>
      </c>
      <c r="D262" s="106">
        <v>325443</v>
      </c>
      <c r="E262" s="107">
        <f t="shared" si="6"/>
        <v>662523</v>
      </c>
    </row>
    <row r="263" spans="1:5" ht="15" customHeight="1" x14ac:dyDescent="0.3">
      <c r="A263" s="183"/>
      <c r="B263" s="56" t="s">
        <v>48</v>
      </c>
      <c r="C263" s="57">
        <v>158104</v>
      </c>
      <c r="D263" s="58">
        <v>150987</v>
      </c>
      <c r="E263" s="59">
        <f>SUM(C263:D263)</f>
        <v>309091</v>
      </c>
    </row>
    <row r="264" spans="1:5" ht="15" customHeight="1" thickBot="1" x14ac:dyDescent="0.35">
      <c r="A264" s="184"/>
      <c r="B264" s="108" t="s">
        <v>128</v>
      </c>
      <c r="C264" s="109">
        <f>SUM(C243:C263)</f>
        <v>18006144</v>
      </c>
      <c r="D264" s="110">
        <f>SUM(D243:D263)</f>
        <v>18157115</v>
      </c>
      <c r="E264" s="111">
        <f>SUM(C264:D264)</f>
        <v>36163259</v>
      </c>
    </row>
    <row r="265" spans="1:5" ht="15" customHeight="1" x14ac:dyDescent="0.3">
      <c r="A265" s="112" t="s">
        <v>138</v>
      </c>
    </row>
    <row r="311" spans="1:3" ht="15" customHeight="1" x14ac:dyDescent="0.3">
      <c r="A311" s="181"/>
      <c r="B311" s="181"/>
      <c r="C311" s="3"/>
    </row>
  </sheetData>
  <mergeCells count="14">
    <mergeCell ref="A311:B311"/>
    <mergeCell ref="A243:A264"/>
    <mergeCell ref="A199:A220"/>
    <mergeCell ref="A2:E2"/>
    <mergeCell ref="A133:A154"/>
    <mergeCell ref="A155:A176"/>
    <mergeCell ref="A221:A242"/>
    <mergeCell ref="A177:A198"/>
    <mergeCell ref="A111:A132"/>
    <mergeCell ref="A89:A110"/>
    <mergeCell ref="A67:A88"/>
    <mergeCell ref="A47:A66"/>
    <mergeCell ref="A26:A46"/>
    <mergeCell ref="A5:A25"/>
  </mergeCells>
  <pageMargins left="0.70866141732283472" right="0.70866141732283472" top="0.74803149606299213" bottom="0.74803149606299213" header="0.31496062992125984" footer="0.31496062992125984"/>
  <pageSetup paperSize="9" scale="58" fitToWidth="0" orientation="landscape" r:id="rId1"/>
  <headerFooter>
    <oddHeader>&amp;R&amp;G</oddHeader>
    <oddFooter>&amp;L&amp;F&amp;C&amp;P / &amp;N&amp;R&amp;A</oddFooter>
  </headerFooter>
  <rowBreaks count="2" manualBreakCount="2">
    <brk id="198" max="4" man="1"/>
    <brk id="242" max="5" man="1"/>
  </rowBreaks>
  <colBreaks count="1" manualBreakCount="1">
    <brk id="5" max="1048575" man="1"/>
  </col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B9C48-D5EE-4A39-8E7C-10589937D3DF}">
  <sheetPr>
    <tabColor theme="6"/>
  </sheetPr>
  <dimension ref="A3:O25"/>
  <sheetViews>
    <sheetView showGridLines="0" zoomScaleNormal="100" workbookViewId="0">
      <pane xSplit="1" topLeftCell="B1" activePane="topRight" state="frozen"/>
      <selection pane="topRight" activeCell="N19" sqref="N19"/>
    </sheetView>
  </sheetViews>
  <sheetFormatPr defaultRowHeight="15" customHeight="1" x14ac:dyDescent="0.3"/>
  <cols>
    <col min="1" max="1" width="11.109375" style="11" customWidth="1"/>
    <col min="2" max="2" width="16.44140625" style="11" customWidth="1"/>
    <col min="3" max="15" width="9.77734375" style="11" customWidth="1"/>
    <col min="16" max="16384" width="8.88671875" style="11"/>
  </cols>
  <sheetData>
    <row r="3" spans="1:15" ht="15" customHeight="1" x14ac:dyDescent="0.3">
      <c r="A3" s="190" t="s">
        <v>181</v>
      </c>
      <c r="B3" s="190"/>
      <c r="C3" s="190"/>
      <c r="D3" s="190"/>
      <c r="E3" s="190"/>
      <c r="F3" s="190"/>
      <c r="G3" s="190"/>
      <c r="H3" s="190"/>
      <c r="I3" s="190"/>
      <c r="J3" s="190"/>
      <c r="K3" s="190"/>
      <c r="L3" s="190"/>
      <c r="M3" s="190"/>
      <c r="N3" s="190"/>
      <c r="O3" s="190"/>
    </row>
    <row r="4" spans="1:15" ht="15" customHeight="1" x14ac:dyDescent="0.3">
      <c r="A4" s="48" t="s">
        <v>126</v>
      </c>
      <c r="B4" s="48"/>
      <c r="C4" s="49">
        <v>2013</v>
      </c>
      <c r="D4" s="49">
        <v>2014</v>
      </c>
      <c r="E4" s="49">
        <v>2015</v>
      </c>
      <c r="F4" s="49">
        <v>2016</v>
      </c>
      <c r="G4" s="49">
        <v>2017</v>
      </c>
      <c r="H4" s="49">
        <v>2018</v>
      </c>
      <c r="I4" s="49">
        <v>2019</v>
      </c>
      <c r="J4" s="49">
        <v>2020</v>
      </c>
      <c r="K4" s="49">
        <v>2021</v>
      </c>
      <c r="L4" s="49">
        <v>2022</v>
      </c>
      <c r="M4" s="49">
        <v>2023</v>
      </c>
      <c r="N4" s="49">
        <v>2024</v>
      </c>
      <c r="O4" s="49">
        <v>2025</v>
      </c>
    </row>
    <row r="5" spans="1:15" ht="15" customHeight="1" x14ac:dyDescent="0.3">
      <c r="A5" s="194" t="s">
        <v>7</v>
      </c>
      <c r="B5" s="115" t="s">
        <v>101</v>
      </c>
      <c r="C5" s="116">
        <v>711</v>
      </c>
      <c r="D5" s="116">
        <v>606</v>
      </c>
      <c r="E5" s="50">
        <v>621</v>
      </c>
      <c r="F5" s="50">
        <v>625</v>
      </c>
      <c r="G5" s="50">
        <v>576</v>
      </c>
      <c r="H5" s="50">
        <v>524</v>
      </c>
      <c r="I5" s="50">
        <v>622</v>
      </c>
      <c r="J5" s="50">
        <v>76</v>
      </c>
      <c r="K5" s="50">
        <v>379</v>
      </c>
      <c r="L5" s="50">
        <v>674</v>
      </c>
      <c r="M5" s="50">
        <v>760</v>
      </c>
      <c r="N5" s="50">
        <v>810</v>
      </c>
      <c r="O5" s="50">
        <v>863</v>
      </c>
    </row>
    <row r="6" spans="1:15" ht="15" customHeight="1" x14ac:dyDescent="0.3">
      <c r="A6" s="192"/>
      <c r="B6" s="117" t="s">
        <v>102</v>
      </c>
      <c r="C6" s="118">
        <v>1302581</v>
      </c>
      <c r="D6" s="118">
        <v>1055556</v>
      </c>
      <c r="E6" s="118">
        <v>980149</v>
      </c>
      <c r="F6" s="118">
        <v>1094135</v>
      </c>
      <c r="G6" s="118">
        <v>1055559</v>
      </c>
      <c r="H6" s="118">
        <v>961632</v>
      </c>
      <c r="I6" s="118">
        <v>1098091</v>
      </c>
      <c r="J6" s="118">
        <v>16640</v>
      </c>
      <c r="K6" s="118">
        <v>303665</v>
      </c>
      <c r="L6" s="118">
        <v>880416</v>
      </c>
      <c r="M6" s="118">
        <v>1500000</v>
      </c>
      <c r="N6" s="118">
        <v>1730000</v>
      </c>
      <c r="O6" s="118">
        <v>1850000</v>
      </c>
    </row>
    <row r="7" spans="1:15" ht="15" customHeight="1" x14ac:dyDescent="0.3">
      <c r="A7" s="195" t="s">
        <v>34</v>
      </c>
      <c r="B7" s="119" t="s">
        <v>101</v>
      </c>
      <c r="C7" s="120">
        <v>20</v>
      </c>
      <c r="D7" s="120">
        <v>30</v>
      </c>
      <c r="E7" s="121">
        <v>55</v>
      </c>
      <c r="F7" s="121">
        <v>65</v>
      </c>
      <c r="G7" s="121">
        <v>26</v>
      </c>
      <c r="H7" s="121">
        <v>0</v>
      </c>
      <c r="I7" s="121">
        <v>0</v>
      </c>
      <c r="J7" s="121">
        <v>0</v>
      </c>
      <c r="K7" s="121">
        <v>22</v>
      </c>
      <c r="L7" s="121">
        <v>86</v>
      </c>
      <c r="M7" s="121">
        <v>99</v>
      </c>
      <c r="N7" s="121">
        <v>102</v>
      </c>
      <c r="O7" s="121">
        <v>128</v>
      </c>
    </row>
    <row r="8" spans="1:15" ht="15" customHeight="1" x14ac:dyDescent="0.3">
      <c r="A8" s="196"/>
      <c r="B8" s="122" t="s">
        <v>102</v>
      </c>
      <c r="C8" s="123">
        <v>13504</v>
      </c>
      <c r="D8" s="123">
        <v>30493</v>
      </c>
      <c r="E8" s="123">
        <v>44815</v>
      </c>
      <c r="F8" s="123">
        <v>43236</v>
      </c>
      <c r="G8" s="123">
        <v>17406</v>
      </c>
      <c r="H8" s="123">
        <v>0</v>
      </c>
      <c r="I8" s="123">
        <v>0</v>
      </c>
      <c r="J8" s="123">
        <v>0</v>
      </c>
      <c r="K8" s="123">
        <v>15735</v>
      </c>
      <c r="L8" s="123">
        <v>94948</v>
      </c>
      <c r="M8" s="123">
        <v>123383</v>
      </c>
      <c r="N8" s="123">
        <v>146396</v>
      </c>
      <c r="O8" s="123">
        <v>252828</v>
      </c>
    </row>
    <row r="9" spans="1:15" ht="15" customHeight="1" x14ac:dyDescent="0.3">
      <c r="A9" s="191" t="s">
        <v>129</v>
      </c>
      <c r="B9" s="124" t="s">
        <v>101</v>
      </c>
      <c r="C9" s="125">
        <v>20</v>
      </c>
      <c r="D9" s="125">
        <v>2</v>
      </c>
      <c r="E9" s="125">
        <v>4</v>
      </c>
      <c r="F9" s="125">
        <v>18</v>
      </c>
      <c r="G9" s="125">
        <v>5</v>
      </c>
      <c r="H9" s="125">
        <v>2</v>
      </c>
      <c r="I9" s="125">
        <v>3</v>
      </c>
      <c r="J9" s="125">
        <v>0</v>
      </c>
      <c r="K9" s="125">
        <v>1</v>
      </c>
      <c r="L9" s="125">
        <v>12</v>
      </c>
      <c r="M9" s="125">
        <v>16</v>
      </c>
      <c r="N9" s="125">
        <v>2</v>
      </c>
      <c r="O9" s="125">
        <v>5</v>
      </c>
    </row>
    <row r="10" spans="1:15" ht="15" customHeight="1" x14ac:dyDescent="0.3">
      <c r="A10" s="192"/>
      <c r="B10" s="126" t="s">
        <v>102</v>
      </c>
      <c r="C10" s="118">
        <v>862</v>
      </c>
      <c r="D10" s="118">
        <v>395</v>
      </c>
      <c r="E10" s="118">
        <v>1050</v>
      </c>
      <c r="F10" s="118">
        <v>4479</v>
      </c>
      <c r="G10" s="118">
        <v>1298</v>
      </c>
      <c r="H10" s="118">
        <v>92</v>
      </c>
      <c r="I10" s="118">
        <v>500</v>
      </c>
      <c r="J10" s="118">
        <v>0</v>
      </c>
      <c r="K10" s="118">
        <v>26</v>
      </c>
      <c r="L10" s="118">
        <v>788</v>
      </c>
      <c r="M10" s="118">
        <v>839</v>
      </c>
      <c r="N10" s="118">
        <v>182</v>
      </c>
      <c r="O10" s="118">
        <v>582</v>
      </c>
    </row>
    <row r="11" spans="1:15" ht="15" customHeight="1" x14ac:dyDescent="0.3">
      <c r="A11" s="195" t="s">
        <v>46</v>
      </c>
      <c r="B11" s="119" t="s">
        <v>101</v>
      </c>
      <c r="C11" s="120">
        <v>0</v>
      </c>
      <c r="D11" s="120">
        <v>0</v>
      </c>
      <c r="E11" s="121">
        <v>0</v>
      </c>
      <c r="F11" s="121">
        <v>0</v>
      </c>
      <c r="G11" s="121">
        <v>0</v>
      </c>
      <c r="H11" s="121">
        <v>0</v>
      </c>
      <c r="I11" s="121">
        <v>37</v>
      </c>
      <c r="J11" s="121">
        <v>3</v>
      </c>
      <c r="K11" s="121">
        <v>17</v>
      </c>
      <c r="L11" s="121">
        <v>54</v>
      </c>
      <c r="M11" s="121">
        <v>50</v>
      </c>
      <c r="N11" s="121">
        <v>34</v>
      </c>
      <c r="O11" s="121">
        <v>43</v>
      </c>
    </row>
    <row r="12" spans="1:15" ht="15" customHeight="1" x14ac:dyDescent="0.3">
      <c r="A12" s="196"/>
      <c r="B12" s="122" t="s">
        <v>102</v>
      </c>
      <c r="C12" s="123">
        <v>0</v>
      </c>
      <c r="D12" s="123">
        <v>0</v>
      </c>
      <c r="E12" s="123">
        <v>0</v>
      </c>
      <c r="F12" s="123">
        <v>0</v>
      </c>
      <c r="G12" s="123">
        <v>0</v>
      </c>
      <c r="H12" s="123">
        <v>0</v>
      </c>
      <c r="I12" s="123">
        <v>4947</v>
      </c>
      <c r="J12" s="123">
        <v>327</v>
      </c>
      <c r="K12" s="123">
        <v>2174</v>
      </c>
      <c r="L12" s="123">
        <v>6775</v>
      </c>
      <c r="M12" s="123">
        <v>13707</v>
      </c>
      <c r="N12" s="123">
        <v>11995</v>
      </c>
      <c r="O12" s="123">
        <v>14186</v>
      </c>
    </row>
    <row r="13" spans="1:15" ht="15" customHeight="1" x14ac:dyDescent="0.3">
      <c r="A13" s="191" t="s">
        <v>45</v>
      </c>
      <c r="B13" s="124" t="s">
        <v>101</v>
      </c>
      <c r="C13" s="125">
        <v>0</v>
      </c>
      <c r="D13" s="125">
        <v>0</v>
      </c>
      <c r="E13" s="125">
        <v>0</v>
      </c>
      <c r="F13" s="125">
        <v>0</v>
      </c>
      <c r="G13" s="125">
        <v>0</v>
      </c>
      <c r="H13" s="125">
        <v>0</v>
      </c>
      <c r="I13" s="125">
        <v>15</v>
      </c>
      <c r="J13" s="125">
        <v>0</v>
      </c>
      <c r="K13" s="125">
        <v>7</v>
      </c>
      <c r="L13" s="125">
        <v>35</v>
      </c>
      <c r="M13" s="125">
        <v>21</v>
      </c>
      <c r="N13" s="125">
        <v>29</v>
      </c>
      <c r="O13" s="125">
        <v>41</v>
      </c>
    </row>
    <row r="14" spans="1:15" ht="15" customHeight="1" x14ac:dyDescent="0.3">
      <c r="A14" s="192"/>
      <c r="B14" s="126" t="s">
        <v>102</v>
      </c>
      <c r="C14" s="118">
        <v>0</v>
      </c>
      <c r="D14" s="118">
        <v>0</v>
      </c>
      <c r="E14" s="118">
        <v>0</v>
      </c>
      <c r="F14" s="118">
        <v>0</v>
      </c>
      <c r="G14" s="118">
        <v>0</v>
      </c>
      <c r="H14" s="118">
        <v>0</v>
      </c>
      <c r="I14" s="118">
        <v>4683</v>
      </c>
      <c r="J14" s="118">
        <v>0</v>
      </c>
      <c r="K14" s="118">
        <v>1296</v>
      </c>
      <c r="L14" s="118">
        <v>4937</v>
      </c>
      <c r="M14" s="118">
        <v>5348</v>
      </c>
      <c r="N14" s="118">
        <v>3400</v>
      </c>
      <c r="O14" s="118">
        <v>6510</v>
      </c>
    </row>
    <row r="15" spans="1:15" ht="15" customHeight="1" x14ac:dyDescent="0.3">
      <c r="A15" s="193" t="s">
        <v>128</v>
      </c>
      <c r="B15" s="113" t="s">
        <v>101</v>
      </c>
      <c r="C15" s="114">
        <f>SUMIF($B$5:$B$14,$B$5,C5:M14)</f>
        <v>751</v>
      </c>
      <c r="D15" s="114">
        <f t="shared" ref="D15:O16" si="0">SUMIF($B$5:$B$14,$B$5,D5:P14)</f>
        <v>638</v>
      </c>
      <c r="E15" s="114">
        <f t="shared" si="0"/>
        <v>680</v>
      </c>
      <c r="F15" s="114">
        <f t="shared" si="0"/>
        <v>708</v>
      </c>
      <c r="G15" s="114">
        <f t="shared" si="0"/>
        <v>607</v>
      </c>
      <c r="H15" s="114">
        <f t="shared" si="0"/>
        <v>526</v>
      </c>
      <c r="I15" s="114">
        <f t="shared" si="0"/>
        <v>677</v>
      </c>
      <c r="J15" s="114">
        <f t="shared" si="0"/>
        <v>79</v>
      </c>
      <c r="K15" s="114">
        <f t="shared" si="0"/>
        <v>426</v>
      </c>
      <c r="L15" s="114">
        <f t="shared" si="0"/>
        <v>861</v>
      </c>
      <c r="M15" s="114">
        <f t="shared" si="0"/>
        <v>946</v>
      </c>
      <c r="N15" s="114">
        <f t="shared" si="0"/>
        <v>977</v>
      </c>
      <c r="O15" s="114">
        <f t="shared" si="0"/>
        <v>1080</v>
      </c>
    </row>
    <row r="16" spans="1:15" ht="15" customHeight="1" x14ac:dyDescent="0.3">
      <c r="A16" s="193"/>
      <c r="B16" s="114" t="s">
        <v>102</v>
      </c>
      <c r="C16" s="114">
        <f>SUMIF($B$5:$B$14,$B$5,C6:M15)</f>
        <v>1316947</v>
      </c>
      <c r="D16" s="114">
        <f t="shared" si="0"/>
        <v>1086444</v>
      </c>
      <c r="E16" s="114">
        <f t="shared" si="0"/>
        <v>1026014</v>
      </c>
      <c r="F16" s="114">
        <f t="shared" si="0"/>
        <v>1141850</v>
      </c>
      <c r="G16" s="114">
        <f t="shared" si="0"/>
        <v>1074263</v>
      </c>
      <c r="H16" s="114">
        <f t="shared" si="0"/>
        <v>961724</v>
      </c>
      <c r="I16" s="114">
        <f t="shared" si="0"/>
        <v>1108221</v>
      </c>
      <c r="J16" s="114">
        <f t="shared" si="0"/>
        <v>16967</v>
      </c>
      <c r="K16" s="114">
        <f t="shared" si="0"/>
        <v>322896</v>
      </c>
      <c r="L16" s="114">
        <f t="shared" si="0"/>
        <v>987864</v>
      </c>
      <c r="M16" s="114">
        <f t="shared" si="0"/>
        <v>1643277</v>
      </c>
      <c r="N16" s="114">
        <f t="shared" si="0"/>
        <v>1891973</v>
      </c>
      <c r="O16" s="114">
        <f t="shared" si="0"/>
        <v>2124106</v>
      </c>
    </row>
    <row r="17" spans="1:15" ht="15" customHeight="1" x14ac:dyDescent="0.3">
      <c r="A17" s="51" t="s">
        <v>127</v>
      </c>
      <c r="B17" s="51"/>
      <c r="C17" s="51"/>
      <c r="D17" s="51"/>
    </row>
    <row r="24" spans="1:15" ht="15" customHeight="1" x14ac:dyDescent="0.3">
      <c r="C24" s="60"/>
      <c r="D24" s="60"/>
      <c r="E24" s="60"/>
      <c r="F24" s="60"/>
      <c r="G24" s="60"/>
      <c r="H24" s="60"/>
      <c r="I24" s="60"/>
      <c r="J24" s="60"/>
      <c r="K24" s="60"/>
      <c r="L24" s="60"/>
      <c r="M24" s="60"/>
      <c r="N24" s="60"/>
      <c r="O24" s="60"/>
    </row>
    <row r="25" spans="1:15" ht="15" customHeight="1" x14ac:dyDescent="0.3">
      <c r="C25" s="60"/>
      <c r="D25" s="60"/>
      <c r="E25" s="60"/>
      <c r="F25" s="60"/>
      <c r="G25" s="60"/>
      <c r="H25" s="60"/>
      <c r="I25" s="60"/>
      <c r="J25" s="60"/>
      <c r="K25" s="60"/>
      <c r="L25" s="60"/>
      <c r="M25" s="60"/>
      <c r="N25" s="60"/>
      <c r="O25" s="60"/>
    </row>
  </sheetData>
  <mergeCells count="7">
    <mergeCell ref="A3:O3"/>
    <mergeCell ref="A13:A14"/>
    <mergeCell ref="A15:A16"/>
    <mergeCell ref="A5:A6"/>
    <mergeCell ref="A7:A8"/>
    <mergeCell ref="A9:A10"/>
    <mergeCell ref="A11:A12"/>
  </mergeCells>
  <pageMargins left="0.7" right="0.7" top="0.75" bottom="0.75" header="0.3" footer="0.3"/>
  <pageSetup paperSize="9" orientation="landscape" r:id="rId1"/>
  <headerFooter>
    <oddHeader>&amp;R&amp;G</oddHeader>
    <oddFooter>&amp;L&amp;F&amp;C&amp;P&amp;R&amp;A</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A3:Q23"/>
  <sheetViews>
    <sheetView showGridLines="0" zoomScaleNormal="100" workbookViewId="0">
      <pane xSplit="1" topLeftCell="B1" activePane="topRight" state="frozen"/>
      <selection activeCell="B27" sqref="B27:B28"/>
      <selection pane="topRight" activeCell="N15" sqref="N15:O16"/>
    </sheetView>
  </sheetViews>
  <sheetFormatPr defaultRowHeight="15" customHeight="1" x14ac:dyDescent="0.3"/>
  <cols>
    <col min="1" max="1" width="10.33203125" style="11" customWidth="1"/>
    <col min="2" max="2" width="17.33203125" style="11" bestFit="1" customWidth="1"/>
    <col min="3" max="5" width="10.88671875" style="11" bestFit="1" customWidth="1"/>
    <col min="6" max="6" width="10" style="11" customWidth="1"/>
    <col min="7" max="10" width="10.88671875" style="11" bestFit="1" customWidth="1"/>
    <col min="11" max="15" width="10.88671875" style="11" customWidth="1"/>
    <col min="16" max="16384" width="8.88671875" style="11"/>
  </cols>
  <sheetData>
    <row r="3" spans="1:17" ht="15" customHeight="1" x14ac:dyDescent="0.3">
      <c r="A3" s="162" t="s">
        <v>184</v>
      </c>
      <c r="B3" s="162"/>
      <c r="C3" s="162"/>
      <c r="D3" s="162"/>
      <c r="E3" s="162"/>
      <c r="F3" s="162"/>
      <c r="G3" s="162"/>
      <c r="H3" s="162"/>
      <c r="I3" s="162"/>
      <c r="J3" s="162"/>
      <c r="K3" s="162"/>
      <c r="L3" s="162"/>
      <c r="M3" s="162"/>
      <c r="N3" s="162"/>
      <c r="O3" s="162"/>
    </row>
    <row r="4" spans="1:17" ht="15" customHeight="1" x14ac:dyDescent="0.3">
      <c r="A4" s="45" t="s">
        <v>113</v>
      </c>
      <c r="B4" s="46"/>
      <c r="C4" s="44">
        <v>2013</v>
      </c>
      <c r="D4" s="44">
        <v>2014</v>
      </c>
      <c r="E4" s="44">
        <v>2015</v>
      </c>
      <c r="F4" s="44">
        <v>2016</v>
      </c>
      <c r="G4" s="44">
        <v>2017</v>
      </c>
      <c r="H4" s="44">
        <v>2018</v>
      </c>
      <c r="I4" s="44">
        <v>2019</v>
      </c>
      <c r="J4" s="44">
        <v>2020</v>
      </c>
      <c r="K4" s="44">
        <v>2021</v>
      </c>
      <c r="L4" s="44">
        <v>2022</v>
      </c>
      <c r="M4" s="44">
        <v>2023</v>
      </c>
      <c r="N4" s="44">
        <v>2024</v>
      </c>
      <c r="O4" s="44">
        <v>2025</v>
      </c>
      <c r="P4" s="47"/>
      <c r="Q4" s="47"/>
    </row>
    <row r="5" spans="1:17" ht="15" customHeight="1" x14ac:dyDescent="0.3">
      <c r="A5" s="198" t="s">
        <v>12</v>
      </c>
      <c r="B5" s="20" t="s">
        <v>17</v>
      </c>
      <c r="C5" s="127">
        <v>1723816</v>
      </c>
      <c r="D5" s="127">
        <v>2140133</v>
      </c>
      <c r="E5" s="127">
        <v>2270984</v>
      </c>
      <c r="F5" s="127">
        <v>2132383</v>
      </c>
      <c r="G5" s="127">
        <v>2491266</v>
      </c>
      <c r="H5" s="127">
        <v>2706049</v>
      </c>
      <c r="I5" s="127">
        <v>2753385</v>
      </c>
      <c r="J5" s="127">
        <v>515711</v>
      </c>
      <c r="K5" s="127">
        <v>1007109</v>
      </c>
      <c r="L5" s="127">
        <v>2350952</v>
      </c>
      <c r="M5" s="127">
        <v>3040115</v>
      </c>
      <c r="N5" s="127">
        <v>3183484</v>
      </c>
      <c r="O5" s="127">
        <v>3224059</v>
      </c>
    </row>
    <row r="6" spans="1:17" ht="15" customHeight="1" x14ac:dyDescent="0.3">
      <c r="A6" s="198"/>
      <c r="B6" s="128" t="s">
        <v>121</v>
      </c>
      <c r="C6" s="127">
        <v>2492135</v>
      </c>
      <c r="D6" s="127">
        <v>3267967</v>
      </c>
      <c r="E6" s="127">
        <v>3721654</v>
      </c>
      <c r="F6" s="127">
        <v>3523616</v>
      </c>
      <c r="G6" s="127">
        <v>4432193</v>
      </c>
      <c r="H6" s="127">
        <v>5095504</v>
      </c>
      <c r="I6" s="127">
        <v>5679636</v>
      </c>
      <c r="J6" s="127">
        <v>879218</v>
      </c>
      <c r="K6" s="127">
        <v>1587804</v>
      </c>
      <c r="L6" s="127">
        <v>3812812</v>
      </c>
      <c r="M6" s="127">
        <v>4904694</v>
      </c>
      <c r="N6" s="127">
        <v>5516429</v>
      </c>
      <c r="O6" s="127">
        <v>5763113</v>
      </c>
    </row>
    <row r="7" spans="1:17" ht="15" customHeight="1" x14ac:dyDescent="0.3">
      <c r="A7" s="199" t="s">
        <v>145</v>
      </c>
      <c r="B7" s="137" t="s">
        <v>17</v>
      </c>
      <c r="C7" s="138">
        <v>8439</v>
      </c>
      <c r="D7" s="138">
        <v>8544</v>
      </c>
      <c r="E7" s="138">
        <v>9016</v>
      </c>
      <c r="F7" s="138">
        <v>9628</v>
      </c>
      <c r="G7" s="138">
        <v>11541</v>
      </c>
      <c r="H7" s="138">
        <v>13211</v>
      </c>
      <c r="I7" s="138">
        <v>13400</v>
      </c>
      <c r="J7" s="138">
        <v>4400</v>
      </c>
      <c r="K7" s="138">
        <v>8233</v>
      </c>
      <c r="L7" s="138">
        <v>14810</v>
      </c>
      <c r="M7" s="138">
        <v>17084</v>
      </c>
      <c r="N7" s="138">
        <v>17159</v>
      </c>
      <c r="O7" s="138">
        <v>18932</v>
      </c>
    </row>
    <row r="8" spans="1:17" ht="15" customHeight="1" x14ac:dyDescent="0.3">
      <c r="A8" s="199"/>
      <c r="B8" s="137" t="s">
        <v>121</v>
      </c>
      <c r="C8" s="138">
        <v>50247</v>
      </c>
      <c r="D8" s="138">
        <v>70453</v>
      </c>
      <c r="E8" s="138">
        <v>73522</v>
      </c>
      <c r="F8" s="138">
        <v>74071</v>
      </c>
      <c r="G8" s="138">
        <v>89196</v>
      </c>
      <c r="H8" s="138">
        <v>109069</v>
      </c>
      <c r="I8" s="138">
        <v>111451</v>
      </c>
      <c r="J8" s="138">
        <v>31695</v>
      </c>
      <c r="K8" s="138">
        <v>50462</v>
      </c>
      <c r="L8" s="138">
        <v>103794</v>
      </c>
      <c r="M8" s="138">
        <v>141996</v>
      </c>
      <c r="N8" s="138">
        <v>148109</v>
      </c>
      <c r="O8" s="138">
        <v>132306</v>
      </c>
    </row>
    <row r="9" spans="1:17" ht="15" customHeight="1" x14ac:dyDescent="0.3">
      <c r="A9" s="160" t="s">
        <v>7</v>
      </c>
      <c r="B9" s="128" t="s">
        <v>17</v>
      </c>
      <c r="C9" s="127">
        <v>9118</v>
      </c>
      <c r="D9" s="127">
        <v>10661</v>
      </c>
      <c r="E9" s="127">
        <v>12844</v>
      </c>
      <c r="F9" s="127">
        <v>10474</v>
      </c>
      <c r="G9" s="127">
        <v>11242</v>
      </c>
      <c r="H9" s="127">
        <v>11628</v>
      </c>
      <c r="I9" s="127">
        <v>12807</v>
      </c>
      <c r="J9" s="127">
        <v>4730</v>
      </c>
      <c r="K9" s="127">
        <v>4539</v>
      </c>
      <c r="L9" s="127">
        <v>12711</v>
      </c>
      <c r="M9" s="127">
        <v>14095</v>
      </c>
      <c r="N9" s="127">
        <v>16641</v>
      </c>
      <c r="O9" s="127">
        <v>17144</v>
      </c>
    </row>
    <row r="10" spans="1:17" ht="15" customHeight="1" x14ac:dyDescent="0.3">
      <c r="A10" s="160"/>
      <c r="B10" s="128" t="s">
        <v>121</v>
      </c>
      <c r="C10" s="127">
        <v>0</v>
      </c>
      <c r="D10" s="127">
        <v>0</v>
      </c>
      <c r="E10" s="127">
        <v>0</v>
      </c>
      <c r="F10" s="127">
        <v>0</v>
      </c>
      <c r="G10" s="127">
        <v>0</v>
      </c>
      <c r="H10" s="127">
        <v>0</v>
      </c>
      <c r="I10" s="127">
        <v>0</v>
      </c>
      <c r="J10" s="127">
        <v>0</v>
      </c>
      <c r="K10" s="127">
        <v>0</v>
      </c>
      <c r="L10" s="127">
        <v>0</v>
      </c>
      <c r="M10" s="127">
        <v>0</v>
      </c>
      <c r="N10" s="127">
        <v>0</v>
      </c>
      <c r="O10" s="127">
        <v>0</v>
      </c>
    </row>
    <row r="11" spans="1:17" ht="15" customHeight="1" x14ac:dyDescent="0.3">
      <c r="A11" s="199" t="s">
        <v>5</v>
      </c>
      <c r="B11" s="137" t="s">
        <v>17</v>
      </c>
      <c r="C11" s="138">
        <v>1252</v>
      </c>
      <c r="D11" s="138">
        <v>1566</v>
      </c>
      <c r="E11" s="138">
        <v>1634</v>
      </c>
      <c r="F11" s="138">
        <v>2044</v>
      </c>
      <c r="G11" s="138">
        <v>2015</v>
      </c>
      <c r="H11" s="138">
        <v>1878</v>
      </c>
      <c r="I11" s="138">
        <v>1942</v>
      </c>
      <c r="J11" s="138">
        <v>667</v>
      </c>
      <c r="K11" s="138">
        <v>817</v>
      </c>
      <c r="L11" s="138">
        <v>1784</v>
      </c>
      <c r="M11" s="138">
        <v>1963</v>
      </c>
      <c r="N11" s="138">
        <v>3037</v>
      </c>
      <c r="O11" s="138">
        <v>33312</v>
      </c>
    </row>
    <row r="12" spans="1:17" ht="15" customHeight="1" x14ac:dyDescent="0.3">
      <c r="A12" s="199"/>
      <c r="B12" s="137" t="s">
        <v>121</v>
      </c>
      <c r="C12" s="138">
        <v>201381</v>
      </c>
      <c r="D12" s="138">
        <v>238714</v>
      </c>
      <c r="E12" s="138">
        <v>306917</v>
      </c>
      <c r="F12" s="138">
        <v>325081</v>
      </c>
      <c r="G12" s="138">
        <v>351072</v>
      </c>
      <c r="H12" s="138">
        <v>366946</v>
      </c>
      <c r="I12" s="138">
        <v>397396</v>
      </c>
      <c r="J12" s="138">
        <v>126910</v>
      </c>
      <c r="K12" s="138">
        <v>206984</v>
      </c>
      <c r="L12" s="138">
        <v>395215</v>
      </c>
      <c r="M12" s="138">
        <v>486410</v>
      </c>
      <c r="N12" s="138">
        <v>503043</v>
      </c>
      <c r="O12" s="138">
        <v>450720</v>
      </c>
    </row>
    <row r="13" spans="1:17" ht="15" customHeight="1" x14ac:dyDescent="0.3">
      <c r="A13" s="168" t="s">
        <v>6</v>
      </c>
      <c r="B13" s="128" t="s">
        <v>17</v>
      </c>
      <c r="C13" s="127">
        <v>898</v>
      </c>
      <c r="D13" s="127">
        <v>1108</v>
      </c>
      <c r="E13" s="127">
        <v>1067</v>
      </c>
      <c r="F13" s="127">
        <v>1225</v>
      </c>
      <c r="G13" s="127">
        <v>2049</v>
      </c>
      <c r="H13" s="127">
        <v>1024</v>
      </c>
      <c r="I13" s="127">
        <v>1423</v>
      </c>
      <c r="J13" s="127">
        <v>401</v>
      </c>
      <c r="K13" s="127">
        <v>359</v>
      </c>
      <c r="L13" s="127">
        <v>903</v>
      </c>
      <c r="M13" s="127">
        <v>1302</v>
      </c>
      <c r="N13" s="127">
        <v>947</v>
      </c>
      <c r="O13" s="127">
        <v>1211</v>
      </c>
    </row>
    <row r="14" spans="1:17" ht="15" customHeight="1" x14ac:dyDescent="0.3">
      <c r="A14" s="168"/>
      <c r="B14" s="128" t="s">
        <v>121</v>
      </c>
      <c r="C14" s="127">
        <v>28281</v>
      </c>
      <c r="D14" s="127">
        <v>41278</v>
      </c>
      <c r="E14" s="127">
        <v>43000</v>
      </c>
      <c r="F14" s="127">
        <v>37744</v>
      </c>
      <c r="G14" s="127">
        <v>37663</v>
      </c>
      <c r="H14" s="127">
        <v>40458</v>
      </c>
      <c r="I14" s="127">
        <v>45671</v>
      </c>
      <c r="J14" s="127">
        <v>10810</v>
      </c>
      <c r="K14" s="127">
        <v>13848</v>
      </c>
      <c r="L14" s="127">
        <v>24066</v>
      </c>
      <c r="M14" s="127">
        <v>49144</v>
      </c>
      <c r="N14" s="127">
        <v>38684</v>
      </c>
      <c r="O14" s="127">
        <v>43560</v>
      </c>
    </row>
    <row r="15" spans="1:17" ht="15" customHeight="1" x14ac:dyDescent="0.3">
      <c r="A15" s="197" t="s">
        <v>1</v>
      </c>
      <c r="B15" s="139" t="s">
        <v>17</v>
      </c>
      <c r="C15" s="140">
        <v>1743523</v>
      </c>
      <c r="D15" s="140">
        <v>2162012</v>
      </c>
      <c r="E15" s="140">
        <v>2295545</v>
      </c>
      <c r="F15" s="140">
        <v>2155754</v>
      </c>
      <c r="G15" s="140">
        <v>2518113</v>
      </c>
      <c r="H15" s="140">
        <v>2733790</v>
      </c>
      <c r="I15" s="140">
        <v>2782957</v>
      </c>
      <c r="J15" s="140">
        <v>525909</v>
      </c>
      <c r="K15" s="140">
        <v>1021057</v>
      </c>
      <c r="L15" s="140">
        <v>2381160</v>
      </c>
      <c r="M15" s="140">
        <v>3074559</v>
      </c>
      <c r="N15" s="140">
        <v>3221268</v>
      </c>
      <c r="O15" s="140">
        <v>3294658</v>
      </c>
    </row>
    <row r="16" spans="1:17" ht="15" customHeight="1" x14ac:dyDescent="0.3">
      <c r="A16" s="197"/>
      <c r="B16" s="139" t="s">
        <v>121</v>
      </c>
      <c r="C16" s="140">
        <v>2772044</v>
      </c>
      <c r="D16" s="140">
        <v>3618412</v>
      </c>
      <c r="E16" s="140">
        <v>4145093</v>
      </c>
      <c r="F16" s="140">
        <v>3960512</v>
      </c>
      <c r="G16" s="140">
        <v>4910124</v>
      </c>
      <c r="H16" s="140">
        <v>5611977</v>
      </c>
      <c r="I16" s="140">
        <v>6234154</v>
      </c>
      <c r="J16" s="140">
        <v>1048633</v>
      </c>
      <c r="K16" s="140">
        <v>1859098</v>
      </c>
      <c r="L16" s="140">
        <v>4335887</v>
      </c>
      <c r="M16" s="140">
        <v>5582244</v>
      </c>
      <c r="N16" s="140">
        <v>6206265</v>
      </c>
      <c r="O16" s="140">
        <v>6389699</v>
      </c>
    </row>
    <row r="17" spans="1:15" ht="15" customHeight="1" x14ac:dyDescent="0.3">
      <c r="A17" s="6" t="s">
        <v>138</v>
      </c>
      <c r="B17" s="2"/>
    </row>
    <row r="22" spans="1:15" ht="15" customHeight="1" x14ac:dyDescent="0.3">
      <c r="C22" s="60"/>
      <c r="D22" s="60"/>
      <c r="E22" s="60"/>
      <c r="F22" s="60"/>
      <c r="G22" s="60"/>
      <c r="H22" s="60"/>
      <c r="I22" s="60"/>
      <c r="J22" s="60"/>
      <c r="K22" s="60"/>
      <c r="L22" s="60"/>
      <c r="M22" s="60"/>
      <c r="N22" s="60"/>
      <c r="O22" s="60"/>
    </row>
    <row r="23" spans="1:15" ht="15" customHeight="1" x14ac:dyDescent="0.3">
      <c r="C23" s="60"/>
      <c r="D23" s="60"/>
      <c r="E23" s="60"/>
      <c r="F23" s="60"/>
      <c r="G23" s="60"/>
      <c r="H23" s="60"/>
      <c r="I23" s="60"/>
      <c r="J23" s="60"/>
      <c r="K23" s="60"/>
      <c r="L23" s="60"/>
      <c r="M23" s="60"/>
      <c r="N23" s="60"/>
      <c r="O23" s="60"/>
    </row>
  </sheetData>
  <mergeCells count="7">
    <mergeCell ref="A3:O3"/>
    <mergeCell ref="A13:A14"/>
    <mergeCell ref="A15:A16"/>
    <mergeCell ref="A5:A6"/>
    <mergeCell ref="A7:A8"/>
    <mergeCell ref="A9:A10"/>
    <mergeCell ref="A11:A12"/>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colBreaks count="1" manualBreakCount="1">
    <brk id="5" max="1048575" man="1"/>
  </col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43F859-539F-4F1C-BEFB-CE6C4D9B28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10</vt:i4>
      </vt:variant>
    </vt:vector>
  </HeadingPairs>
  <TitlesOfParts>
    <vt:vector size="23" baseType="lpstr">
      <vt:lpstr>Cover Page</vt:lpstr>
      <vt:lpstr>Explanatory notes</vt:lpstr>
      <vt:lpstr>Key figures</vt:lpstr>
      <vt:lpstr>Employment</vt:lpstr>
      <vt:lpstr>Hotel capacity</vt:lpstr>
      <vt:lpstr>STR capacity</vt:lpstr>
      <vt:lpstr>Rooms for rent capacity</vt:lpstr>
      <vt:lpstr>Arrivals-Overnights-Occupancy</vt:lpstr>
      <vt:lpstr>Short stay_Arriv-Overnights</vt:lpstr>
      <vt:lpstr>Internat-domestic air arrivals</vt:lpstr>
      <vt:lpstr>Domestic Traffic in Ports</vt:lpstr>
      <vt:lpstr>Cruise ship traffic</vt:lpstr>
      <vt:lpstr>Admissions to museums</vt:lpstr>
      <vt:lpstr>'Admissions to museums'!Print_Area</vt:lpstr>
      <vt:lpstr>'Arrivals-Overnights-Occupancy'!Print_Area</vt:lpstr>
      <vt:lpstr>'Cover Page'!Print_Area</vt:lpstr>
      <vt:lpstr>'Domestic Traffic in Ports'!Print_Area</vt:lpstr>
      <vt:lpstr>Employment!Print_Area</vt:lpstr>
      <vt:lpstr>'Explanatory notes'!Print_Area</vt:lpstr>
      <vt:lpstr>'Internat-domestic air arrivals'!Print_Area</vt:lpstr>
      <vt:lpstr>'Short stay_Arriv-Overnights'!Print_Area</vt:lpstr>
      <vt:lpstr>'Domestic Traffic in Ports'!Print_Titles</vt:lpstr>
      <vt:lpstr>'Internat-domestic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2018-03-01T13:14:06Z</cp:lastPrinted>
  <dcterms:created xsi:type="dcterms:W3CDTF">2016-07-19T08:35:01Z</dcterms:created>
  <dcterms:modified xsi:type="dcterms:W3CDTF">2026-05-12T07:50:05Z</dcterms:modified>
</cp:coreProperties>
</file>